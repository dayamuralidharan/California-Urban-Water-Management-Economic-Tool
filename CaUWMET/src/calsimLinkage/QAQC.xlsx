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012200\GitHub_Repos\California-Urban-Water-Management-Economic-Tool\CaUWMET\src\calsimLinkage\"/>
    </mc:Choice>
  </mc:AlternateContent>
  <xr:revisionPtr revIDLastSave="0" documentId="13_ncr:9_{821DB5B7-479B-4EF6-B9DD-AA4901C7EAFB}" xr6:coauthVersionLast="47" xr6:coauthVersionMax="47" xr10:uidLastSave="{00000000-0000-0000-0000-000000000000}"/>
  <bookViews>
    <workbookView xWindow="-120" yWindow="-120" windowWidth="24240" windowHeight="13020" xr2:uid="{B69CECD3-E320-4A7E-A6BA-6D3476976CEA}"/>
  </bookViews>
  <sheets>
    <sheet name="swpCVPSupplyData_CCA1_v3.7.0__B" sheetId="1" r:id="rId1"/>
    <sheet name="Monthly CFS" sheetId="2" r:id="rId2"/>
    <sheet name="Monthly AF" sheetId="3" r:id="rId3"/>
    <sheet name="Annual AF" sheetId="4" r:id="rId4"/>
    <sheet name="CCWD" sheetId="5" r:id="rId5"/>
  </sheets>
  <calcPr calcId="0"/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8" i="2"/>
  <c r="B3" i="3"/>
  <c r="B2" i="3"/>
  <c r="K8" i="5" l="1"/>
  <c r="J10" i="5"/>
  <c r="M10" i="5" s="1"/>
  <c r="J30" i="5"/>
  <c r="M30" i="5" s="1"/>
  <c r="J43" i="5"/>
  <c r="L43" i="5" s="1"/>
  <c r="J50" i="5"/>
  <c r="M50" i="5" s="1"/>
  <c r="J63" i="5"/>
  <c r="M63" i="5" s="1"/>
  <c r="J70" i="5"/>
  <c r="M70" i="5" s="1"/>
  <c r="J83" i="5"/>
  <c r="L83" i="5" s="1"/>
  <c r="J90" i="5"/>
  <c r="M90" i="5" s="1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8" i="5"/>
  <c r="G9" i="5"/>
  <c r="G10" i="5"/>
  <c r="G11" i="5"/>
  <c r="G12" i="5"/>
  <c r="G13" i="5"/>
  <c r="J8" i="5" s="1"/>
  <c r="M8" i="5" s="1"/>
  <c r="G14" i="5"/>
  <c r="G15" i="5"/>
  <c r="G16" i="5"/>
  <c r="G17" i="5"/>
  <c r="G18" i="5"/>
  <c r="G19" i="5"/>
  <c r="G20" i="5"/>
  <c r="G21" i="5"/>
  <c r="G22" i="5"/>
  <c r="G23" i="5"/>
  <c r="G24" i="5"/>
  <c r="G25" i="5"/>
  <c r="J9" i="5" s="1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J11" i="5" s="1"/>
  <c r="G50" i="5"/>
  <c r="G51" i="5"/>
  <c r="G52" i="5"/>
  <c r="G53" i="5"/>
  <c r="G54" i="5"/>
  <c r="G55" i="5"/>
  <c r="G56" i="5"/>
  <c r="G57" i="5"/>
  <c r="G58" i="5"/>
  <c r="G59" i="5"/>
  <c r="G60" i="5"/>
  <c r="G61" i="5"/>
  <c r="J12" i="5" s="1"/>
  <c r="G62" i="5"/>
  <c r="G63" i="5"/>
  <c r="G64" i="5"/>
  <c r="G65" i="5"/>
  <c r="G66" i="5"/>
  <c r="G67" i="5"/>
  <c r="G68" i="5"/>
  <c r="G69" i="5"/>
  <c r="G70" i="5"/>
  <c r="G71" i="5"/>
  <c r="G72" i="5"/>
  <c r="G73" i="5"/>
  <c r="J13" i="5" s="1"/>
  <c r="G74" i="5"/>
  <c r="G75" i="5"/>
  <c r="G76" i="5"/>
  <c r="G77" i="5"/>
  <c r="G78" i="5"/>
  <c r="G79" i="5"/>
  <c r="G80" i="5"/>
  <c r="G81" i="5"/>
  <c r="G82" i="5"/>
  <c r="G83" i="5"/>
  <c r="G84" i="5"/>
  <c r="G85" i="5"/>
  <c r="J14" i="5" s="1"/>
  <c r="G86" i="5"/>
  <c r="G87" i="5"/>
  <c r="G88" i="5"/>
  <c r="G89" i="5"/>
  <c r="G90" i="5"/>
  <c r="G91" i="5"/>
  <c r="G92" i="5"/>
  <c r="G93" i="5"/>
  <c r="G94" i="5"/>
  <c r="G95" i="5"/>
  <c r="G96" i="5"/>
  <c r="G97" i="5"/>
  <c r="J15" i="5" s="1"/>
  <c r="G98" i="5"/>
  <c r="G99" i="5"/>
  <c r="G100" i="5"/>
  <c r="G101" i="5"/>
  <c r="G102" i="5"/>
  <c r="G103" i="5"/>
  <c r="G104" i="5"/>
  <c r="G105" i="5"/>
  <c r="G106" i="5"/>
  <c r="G107" i="5"/>
  <c r="G108" i="5"/>
  <c r="G109" i="5"/>
  <c r="J16" i="5" s="1"/>
  <c r="G110" i="5"/>
  <c r="G111" i="5"/>
  <c r="G112" i="5"/>
  <c r="G113" i="5"/>
  <c r="G114" i="5"/>
  <c r="G115" i="5"/>
  <c r="G116" i="5"/>
  <c r="G117" i="5"/>
  <c r="G118" i="5"/>
  <c r="G119" i="5"/>
  <c r="G120" i="5"/>
  <c r="G121" i="5"/>
  <c r="J17" i="5" s="1"/>
  <c r="G122" i="5"/>
  <c r="G123" i="5"/>
  <c r="G124" i="5"/>
  <c r="G125" i="5"/>
  <c r="G126" i="5"/>
  <c r="G127" i="5"/>
  <c r="G128" i="5"/>
  <c r="G129" i="5"/>
  <c r="G130" i="5"/>
  <c r="G131" i="5"/>
  <c r="G132" i="5"/>
  <c r="G133" i="5"/>
  <c r="J18" i="5" s="1"/>
  <c r="G134" i="5"/>
  <c r="G135" i="5"/>
  <c r="G136" i="5"/>
  <c r="G137" i="5"/>
  <c r="G138" i="5"/>
  <c r="G139" i="5"/>
  <c r="G140" i="5"/>
  <c r="G141" i="5"/>
  <c r="G142" i="5"/>
  <c r="G143" i="5"/>
  <c r="G144" i="5"/>
  <c r="G145" i="5"/>
  <c r="J19" i="5" s="1"/>
  <c r="G146" i="5"/>
  <c r="G147" i="5"/>
  <c r="G148" i="5"/>
  <c r="G149" i="5"/>
  <c r="G150" i="5"/>
  <c r="G151" i="5"/>
  <c r="G152" i="5"/>
  <c r="G153" i="5"/>
  <c r="G154" i="5"/>
  <c r="G155" i="5"/>
  <c r="G156" i="5"/>
  <c r="G157" i="5"/>
  <c r="J20" i="5" s="1"/>
  <c r="G158" i="5"/>
  <c r="G159" i="5"/>
  <c r="G160" i="5"/>
  <c r="G161" i="5"/>
  <c r="G162" i="5"/>
  <c r="G163" i="5"/>
  <c r="G164" i="5"/>
  <c r="G165" i="5"/>
  <c r="G166" i="5"/>
  <c r="G167" i="5"/>
  <c r="G168" i="5"/>
  <c r="G169" i="5"/>
  <c r="J21" i="5" s="1"/>
  <c r="G170" i="5"/>
  <c r="G171" i="5"/>
  <c r="G172" i="5"/>
  <c r="G173" i="5"/>
  <c r="G174" i="5"/>
  <c r="G175" i="5"/>
  <c r="G176" i="5"/>
  <c r="G177" i="5"/>
  <c r="G178" i="5"/>
  <c r="G179" i="5"/>
  <c r="G180" i="5"/>
  <c r="G181" i="5"/>
  <c r="J22" i="5" s="1"/>
  <c r="G182" i="5"/>
  <c r="G183" i="5"/>
  <c r="G184" i="5"/>
  <c r="G185" i="5"/>
  <c r="G186" i="5"/>
  <c r="G187" i="5"/>
  <c r="G188" i="5"/>
  <c r="G189" i="5"/>
  <c r="G190" i="5"/>
  <c r="G191" i="5"/>
  <c r="G192" i="5"/>
  <c r="G193" i="5"/>
  <c r="J23" i="5" s="1"/>
  <c r="G194" i="5"/>
  <c r="G195" i="5"/>
  <c r="G196" i="5"/>
  <c r="G197" i="5"/>
  <c r="G198" i="5"/>
  <c r="G199" i="5"/>
  <c r="G200" i="5"/>
  <c r="G201" i="5"/>
  <c r="G202" i="5"/>
  <c r="G203" i="5"/>
  <c r="G204" i="5"/>
  <c r="G205" i="5"/>
  <c r="J24" i="5" s="1"/>
  <c r="G206" i="5"/>
  <c r="G207" i="5"/>
  <c r="G208" i="5"/>
  <c r="G209" i="5"/>
  <c r="G210" i="5"/>
  <c r="G211" i="5"/>
  <c r="G212" i="5"/>
  <c r="G213" i="5"/>
  <c r="G214" i="5"/>
  <c r="G215" i="5"/>
  <c r="G216" i="5"/>
  <c r="G217" i="5"/>
  <c r="J25" i="5" s="1"/>
  <c r="G218" i="5"/>
  <c r="G219" i="5"/>
  <c r="G220" i="5"/>
  <c r="G221" i="5"/>
  <c r="G222" i="5"/>
  <c r="G223" i="5"/>
  <c r="G224" i="5"/>
  <c r="G225" i="5"/>
  <c r="G226" i="5"/>
  <c r="G227" i="5"/>
  <c r="G228" i="5"/>
  <c r="G229" i="5"/>
  <c r="J26" i="5" s="1"/>
  <c r="G230" i="5"/>
  <c r="G231" i="5"/>
  <c r="G232" i="5"/>
  <c r="G233" i="5"/>
  <c r="G234" i="5"/>
  <c r="G235" i="5"/>
  <c r="G236" i="5"/>
  <c r="G237" i="5"/>
  <c r="G238" i="5"/>
  <c r="G239" i="5"/>
  <c r="G240" i="5"/>
  <c r="G241" i="5"/>
  <c r="J27" i="5" s="1"/>
  <c r="G242" i="5"/>
  <c r="G243" i="5"/>
  <c r="G244" i="5"/>
  <c r="G245" i="5"/>
  <c r="G246" i="5"/>
  <c r="G247" i="5"/>
  <c r="G248" i="5"/>
  <c r="G249" i="5"/>
  <c r="G250" i="5"/>
  <c r="G251" i="5"/>
  <c r="G252" i="5"/>
  <c r="G253" i="5"/>
  <c r="J28" i="5" s="1"/>
  <c r="G254" i="5"/>
  <c r="G255" i="5"/>
  <c r="G256" i="5"/>
  <c r="G257" i="5"/>
  <c r="G258" i="5"/>
  <c r="G259" i="5"/>
  <c r="G260" i="5"/>
  <c r="G261" i="5"/>
  <c r="G262" i="5"/>
  <c r="G263" i="5"/>
  <c r="G264" i="5"/>
  <c r="G265" i="5"/>
  <c r="J29" i="5" s="1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J31" i="5" s="1"/>
  <c r="G290" i="5"/>
  <c r="G291" i="5"/>
  <c r="G292" i="5"/>
  <c r="G293" i="5"/>
  <c r="G294" i="5"/>
  <c r="G295" i="5"/>
  <c r="G296" i="5"/>
  <c r="G297" i="5"/>
  <c r="G298" i="5"/>
  <c r="G299" i="5"/>
  <c r="G300" i="5"/>
  <c r="G301" i="5"/>
  <c r="J32" i="5" s="1"/>
  <c r="G302" i="5"/>
  <c r="G303" i="5"/>
  <c r="G304" i="5"/>
  <c r="G305" i="5"/>
  <c r="G306" i="5"/>
  <c r="G307" i="5"/>
  <c r="G308" i="5"/>
  <c r="G309" i="5"/>
  <c r="G310" i="5"/>
  <c r="G311" i="5"/>
  <c r="G312" i="5"/>
  <c r="G313" i="5"/>
  <c r="J33" i="5" s="1"/>
  <c r="G314" i="5"/>
  <c r="G315" i="5"/>
  <c r="G316" i="5"/>
  <c r="G317" i="5"/>
  <c r="G318" i="5"/>
  <c r="G319" i="5"/>
  <c r="G320" i="5"/>
  <c r="G321" i="5"/>
  <c r="G322" i="5"/>
  <c r="G323" i="5"/>
  <c r="G324" i="5"/>
  <c r="G325" i="5"/>
  <c r="J34" i="5" s="1"/>
  <c r="G326" i="5"/>
  <c r="G327" i="5"/>
  <c r="G328" i="5"/>
  <c r="G329" i="5"/>
  <c r="G330" i="5"/>
  <c r="G331" i="5"/>
  <c r="G332" i="5"/>
  <c r="G333" i="5"/>
  <c r="G334" i="5"/>
  <c r="G335" i="5"/>
  <c r="G336" i="5"/>
  <c r="G337" i="5"/>
  <c r="J35" i="5" s="1"/>
  <c r="G338" i="5"/>
  <c r="G339" i="5"/>
  <c r="G340" i="5"/>
  <c r="G341" i="5"/>
  <c r="G342" i="5"/>
  <c r="G343" i="5"/>
  <c r="G344" i="5"/>
  <c r="G345" i="5"/>
  <c r="G346" i="5"/>
  <c r="G347" i="5"/>
  <c r="G348" i="5"/>
  <c r="G349" i="5"/>
  <c r="J36" i="5" s="1"/>
  <c r="G350" i="5"/>
  <c r="G351" i="5"/>
  <c r="G352" i="5"/>
  <c r="G353" i="5"/>
  <c r="G354" i="5"/>
  <c r="G355" i="5"/>
  <c r="G356" i="5"/>
  <c r="G357" i="5"/>
  <c r="G358" i="5"/>
  <c r="G359" i="5"/>
  <c r="G360" i="5"/>
  <c r="G361" i="5"/>
  <c r="J37" i="5" s="1"/>
  <c r="G362" i="5"/>
  <c r="G363" i="5"/>
  <c r="G364" i="5"/>
  <c r="G365" i="5"/>
  <c r="G366" i="5"/>
  <c r="G367" i="5"/>
  <c r="G368" i="5"/>
  <c r="G369" i="5"/>
  <c r="G370" i="5"/>
  <c r="G371" i="5"/>
  <c r="G372" i="5"/>
  <c r="G373" i="5"/>
  <c r="J38" i="5" s="1"/>
  <c r="G374" i="5"/>
  <c r="G375" i="5"/>
  <c r="G376" i="5"/>
  <c r="G377" i="5"/>
  <c r="G378" i="5"/>
  <c r="G379" i="5"/>
  <c r="G380" i="5"/>
  <c r="G381" i="5"/>
  <c r="G382" i="5"/>
  <c r="G383" i="5"/>
  <c r="G384" i="5"/>
  <c r="G385" i="5"/>
  <c r="J39" i="5" s="1"/>
  <c r="G386" i="5"/>
  <c r="G387" i="5"/>
  <c r="G388" i="5"/>
  <c r="G389" i="5"/>
  <c r="G390" i="5"/>
  <c r="G391" i="5"/>
  <c r="G392" i="5"/>
  <c r="G393" i="5"/>
  <c r="G394" i="5"/>
  <c r="G395" i="5"/>
  <c r="G396" i="5"/>
  <c r="G397" i="5"/>
  <c r="J40" i="5" s="1"/>
  <c r="G398" i="5"/>
  <c r="G399" i="5"/>
  <c r="G400" i="5"/>
  <c r="G401" i="5"/>
  <c r="G402" i="5"/>
  <c r="G403" i="5"/>
  <c r="G404" i="5"/>
  <c r="G405" i="5"/>
  <c r="G406" i="5"/>
  <c r="G407" i="5"/>
  <c r="G408" i="5"/>
  <c r="G409" i="5"/>
  <c r="J41" i="5" s="1"/>
  <c r="G410" i="5"/>
  <c r="G411" i="5"/>
  <c r="G412" i="5"/>
  <c r="G413" i="5"/>
  <c r="G414" i="5"/>
  <c r="G415" i="5"/>
  <c r="G416" i="5"/>
  <c r="G417" i="5"/>
  <c r="G418" i="5"/>
  <c r="G419" i="5"/>
  <c r="G420" i="5"/>
  <c r="G421" i="5"/>
  <c r="J42" i="5" s="1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J44" i="5" s="1"/>
  <c r="G446" i="5"/>
  <c r="G447" i="5"/>
  <c r="G448" i="5"/>
  <c r="G449" i="5"/>
  <c r="G450" i="5"/>
  <c r="G451" i="5"/>
  <c r="G452" i="5"/>
  <c r="G453" i="5"/>
  <c r="G454" i="5"/>
  <c r="G455" i="5"/>
  <c r="G456" i="5"/>
  <c r="G457" i="5"/>
  <c r="J45" i="5" s="1"/>
  <c r="G458" i="5"/>
  <c r="G459" i="5"/>
  <c r="G460" i="5"/>
  <c r="G461" i="5"/>
  <c r="G462" i="5"/>
  <c r="G463" i="5"/>
  <c r="G464" i="5"/>
  <c r="G465" i="5"/>
  <c r="G466" i="5"/>
  <c r="G467" i="5"/>
  <c r="G468" i="5"/>
  <c r="G469" i="5"/>
  <c r="J46" i="5" s="1"/>
  <c r="G470" i="5"/>
  <c r="G471" i="5"/>
  <c r="G472" i="5"/>
  <c r="G473" i="5"/>
  <c r="G474" i="5"/>
  <c r="G475" i="5"/>
  <c r="G476" i="5"/>
  <c r="G477" i="5"/>
  <c r="G478" i="5"/>
  <c r="G479" i="5"/>
  <c r="G480" i="5"/>
  <c r="G481" i="5"/>
  <c r="J47" i="5" s="1"/>
  <c r="G482" i="5"/>
  <c r="G483" i="5"/>
  <c r="G484" i="5"/>
  <c r="G485" i="5"/>
  <c r="G486" i="5"/>
  <c r="G487" i="5"/>
  <c r="G488" i="5"/>
  <c r="G489" i="5"/>
  <c r="G490" i="5"/>
  <c r="G491" i="5"/>
  <c r="G492" i="5"/>
  <c r="G493" i="5"/>
  <c r="J48" i="5" s="1"/>
  <c r="G494" i="5"/>
  <c r="G495" i="5"/>
  <c r="G496" i="5"/>
  <c r="G497" i="5"/>
  <c r="G498" i="5"/>
  <c r="G499" i="5"/>
  <c r="G500" i="5"/>
  <c r="G501" i="5"/>
  <c r="G502" i="5"/>
  <c r="G503" i="5"/>
  <c r="G504" i="5"/>
  <c r="G505" i="5"/>
  <c r="J49" i="5" s="1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J51" i="5" s="1"/>
  <c r="G530" i="5"/>
  <c r="G531" i="5"/>
  <c r="G532" i="5"/>
  <c r="G533" i="5"/>
  <c r="G534" i="5"/>
  <c r="G535" i="5"/>
  <c r="G536" i="5"/>
  <c r="G537" i="5"/>
  <c r="G538" i="5"/>
  <c r="G539" i="5"/>
  <c r="G540" i="5"/>
  <c r="G541" i="5"/>
  <c r="J52" i="5" s="1"/>
  <c r="G542" i="5"/>
  <c r="G543" i="5"/>
  <c r="G544" i="5"/>
  <c r="G545" i="5"/>
  <c r="G546" i="5"/>
  <c r="G547" i="5"/>
  <c r="G548" i="5"/>
  <c r="G549" i="5"/>
  <c r="G550" i="5"/>
  <c r="G551" i="5"/>
  <c r="G552" i="5"/>
  <c r="G553" i="5"/>
  <c r="J53" i="5" s="1"/>
  <c r="G554" i="5"/>
  <c r="G555" i="5"/>
  <c r="G556" i="5"/>
  <c r="G557" i="5"/>
  <c r="G558" i="5"/>
  <c r="G559" i="5"/>
  <c r="G560" i="5"/>
  <c r="G561" i="5"/>
  <c r="G562" i="5"/>
  <c r="G563" i="5"/>
  <c r="G564" i="5"/>
  <c r="G565" i="5"/>
  <c r="J54" i="5" s="1"/>
  <c r="G566" i="5"/>
  <c r="G567" i="5"/>
  <c r="G568" i="5"/>
  <c r="G569" i="5"/>
  <c r="G570" i="5"/>
  <c r="G571" i="5"/>
  <c r="G572" i="5"/>
  <c r="G573" i="5"/>
  <c r="G574" i="5"/>
  <c r="G575" i="5"/>
  <c r="G576" i="5"/>
  <c r="G577" i="5"/>
  <c r="J55" i="5" s="1"/>
  <c r="G578" i="5"/>
  <c r="G579" i="5"/>
  <c r="G580" i="5"/>
  <c r="G581" i="5"/>
  <c r="G582" i="5"/>
  <c r="G583" i="5"/>
  <c r="G584" i="5"/>
  <c r="G585" i="5"/>
  <c r="G586" i="5"/>
  <c r="G587" i="5"/>
  <c r="G588" i="5"/>
  <c r="G589" i="5"/>
  <c r="J56" i="5" s="1"/>
  <c r="G590" i="5"/>
  <c r="G591" i="5"/>
  <c r="G592" i="5"/>
  <c r="G593" i="5"/>
  <c r="G594" i="5"/>
  <c r="G595" i="5"/>
  <c r="G596" i="5"/>
  <c r="G597" i="5"/>
  <c r="G598" i="5"/>
  <c r="G599" i="5"/>
  <c r="G600" i="5"/>
  <c r="G601" i="5"/>
  <c r="J57" i="5" s="1"/>
  <c r="G602" i="5"/>
  <c r="G603" i="5"/>
  <c r="G604" i="5"/>
  <c r="G605" i="5"/>
  <c r="G606" i="5"/>
  <c r="G607" i="5"/>
  <c r="G608" i="5"/>
  <c r="G609" i="5"/>
  <c r="G610" i="5"/>
  <c r="G611" i="5"/>
  <c r="G612" i="5"/>
  <c r="G613" i="5"/>
  <c r="J58" i="5" s="1"/>
  <c r="G614" i="5"/>
  <c r="G615" i="5"/>
  <c r="G616" i="5"/>
  <c r="G617" i="5"/>
  <c r="G618" i="5"/>
  <c r="G619" i="5"/>
  <c r="G620" i="5"/>
  <c r="G621" i="5"/>
  <c r="G622" i="5"/>
  <c r="G623" i="5"/>
  <c r="G624" i="5"/>
  <c r="G625" i="5"/>
  <c r="J59" i="5" s="1"/>
  <c r="G626" i="5"/>
  <c r="G627" i="5"/>
  <c r="G628" i="5"/>
  <c r="G629" i="5"/>
  <c r="G630" i="5"/>
  <c r="G631" i="5"/>
  <c r="G632" i="5"/>
  <c r="G633" i="5"/>
  <c r="G634" i="5"/>
  <c r="G635" i="5"/>
  <c r="G636" i="5"/>
  <c r="G637" i="5"/>
  <c r="J60" i="5" s="1"/>
  <c r="G638" i="5"/>
  <c r="G639" i="5"/>
  <c r="G640" i="5"/>
  <c r="G641" i="5"/>
  <c r="G642" i="5"/>
  <c r="G643" i="5"/>
  <c r="G644" i="5"/>
  <c r="G645" i="5"/>
  <c r="G646" i="5"/>
  <c r="G647" i="5"/>
  <c r="G648" i="5"/>
  <c r="G649" i="5"/>
  <c r="J61" i="5" s="1"/>
  <c r="G650" i="5"/>
  <c r="G651" i="5"/>
  <c r="G652" i="5"/>
  <c r="G653" i="5"/>
  <c r="G654" i="5"/>
  <c r="G655" i="5"/>
  <c r="G656" i="5"/>
  <c r="G657" i="5"/>
  <c r="G658" i="5"/>
  <c r="G659" i="5"/>
  <c r="G660" i="5"/>
  <c r="G661" i="5"/>
  <c r="J62" i="5" s="1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J64" i="5" s="1"/>
  <c r="G686" i="5"/>
  <c r="G687" i="5"/>
  <c r="G688" i="5"/>
  <c r="G689" i="5"/>
  <c r="G690" i="5"/>
  <c r="G691" i="5"/>
  <c r="G692" i="5"/>
  <c r="G693" i="5"/>
  <c r="G694" i="5"/>
  <c r="G695" i="5"/>
  <c r="G696" i="5"/>
  <c r="G697" i="5"/>
  <c r="J65" i="5" s="1"/>
  <c r="G698" i="5"/>
  <c r="G699" i="5"/>
  <c r="G700" i="5"/>
  <c r="G701" i="5"/>
  <c r="G702" i="5"/>
  <c r="G703" i="5"/>
  <c r="G704" i="5"/>
  <c r="G705" i="5"/>
  <c r="G706" i="5"/>
  <c r="G707" i="5"/>
  <c r="G708" i="5"/>
  <c r="G709" i="5"/>
  <c r="J66" i="5" s="1"/>
  <c r="G710" i="5"/>
  <c r="G711" i="5"/>
  <c r="G712" i="5"/>
  <c r="G713" i="5"/>
  <c r="G714" i="5"/>
  <c r="G715" i="5"/>
  <c r="G716" i="5"/>
  <c r="G717" i="5"/>
  <c r="G718" i="5"/>
  <c r="G719" i="5"/>
  <c r="G720" i="5"/>
  <c r="G721" i="5"/>
  <c r="J67" i="5" s="1"/>
  <c r="G722" i="5"/>
  <c r="G723" i="5"/>
  <c r="G724" i="5"/>
  <c r="G725" i="5"/>
  <c r="G726" i="5"/>
  <c r="G727" i="5"/>
  <c r="G728" i="5"/>
  <c r="G729" i="5"/>
  <c r="G730" i="5"/>
  <c r="G731" i="5"/>
  <c r="G732" i="5"/>
  <c r="G733" i="5"/>
  <c r="J68" i="5" s="1"/>
  <c r="G734" i="5"/>
  <c r="G735" i="5"/>
  <c r="G736" i="5"/>
  <c r="G737" i="5"/>
  <c r="G738" i="5"/>
  <c r="G739" i="5"/>
  <c r="G740" i="5"/>
  <c r="G741" i="5"/>
  <c r="G742" i="5"/>
  <c r="G743" i="5"/>
  <c r="G744" i="5"/>
  <c r="G745" i="5"/>
  <c r="J69" i="5" s="1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J71" i="5" s="1"/>
  <c r="G770" i="5"/>
  <c r="G771" i="5"/>
  <c r="G772" i="5"/>
  <c r="G773" i="5"/>
  <c r="G774" i="5"/>
  <c r="G775" i="5"/>
  <c r="G776" i="5"/>
  <c r="G777" i="5"/>
  <c r="G778" i="5"/>
  <c r="G779" i="5"/>
  <c r="G780" i="5"/>
  <c r="G781" i="5"/>
  <c r="J72" i="5" s="1"/>
  <c r="G782" i="5"/>
  <c r="G783" i="5"/>
  <c r="G784" i="5"/>
  <c r="G785" i="5"/>
  <c r="G786" i="5"/>
  <c r="G787" i="5"/>
  <c r="G788" i="5"/>
  <c r="G789" i="5"/>
  <c r="G790" i="5"/>
  <c r="G791" i="5"/>
  <c r="G792" i="5"/>
  <c r="G793" i="5"/>
  <c r="J73" i="5" s="1"/>
  <c r="G794" i="5"/>
  <c r="G795" i="5"/>
  <c r="G796" i="5"/>
  <c r="G797" i="5"/>
  <c r="G798" i="5"/>
  <c r="G799" i="5"/>
  <c r="G800" i="5"/>
  <c r="G801" i="5"/>
  <c r="G802" i="5"/>
  <c r="G803" i="5"/>
  <c r="G804" i="5"/>
  <c r="G805" i="5"/>
  <c r="J74" i="5" s="1"/>
  <c r="G806" i="5"/>
  <c r="G807" i="5"/>
  <c r="G808" i="5"/>
  <c r="G809" i="5"/>
  <c r="G810" i="5"/>
  <c r="G811" i="5"/>
  <c r="G812" i="5"/>
  <c r="G813" i="5"/>
  <c r="G814" i="5"/>
  <c r="G815" i="5"/>
  <c r="G816" i="5"/>
  <c r="G817" i="5"/>
  <c r="J75" i="5" s="1"/>
  <c r="G818" i="5"/>
  <c r="G819" i="5"/>
  <c r="G820" i="5"/>
  <c r="G821" i="5"/>
  <c r="G822" i="5"/>
  <c r="G823" i="5"/>
  <c r="G824" i="5"/>
  <c r="G825" i="5"/>
  <c r="G826" i="5"/>
  <c r="G827" i="5"/>
  <c r="G828" i="5"/>
  <c r="G829" i="5"/>
  <c r="J76" i="5" s="1"/>
  <c r="G830" i="5"/>
  <c r="G831" i="5"/>
  <c r="G832" i="5"/>
  <c r="G833" i="5"/>
  <c r="G834" i="5"/>
  <c r="G835" i="5"/>
  <c r="G836" i="5"/>
  <c r="G837" i="5"/>
  <c r="G838" i="5"/>
  <c r="G839" i="5"/>
  <c r="G840" i="5"/>
  <c r="G841" i="5"/>
  <c r="J77" i="5" s="1"/>
  <c r="G842" i="5"/>
  <c r="G843" i="5"/>
  <c r="G844" i="5"/>
  <c r="G845" i="5"/>
  <c r="G846" i="5"/>
  <c r="G847" i="5"/>
  <c r="G848" i="5"/>
  <c r="G849" i="5"/>
  <c r="G850" i="5"/>
  <c r="G851" i="5"/>
  <c r="G852" i="5"/>
  <c r="G853" i="5"/>
  <c r="J78" i="5" s="1"/>
  <c r="G854" i="5"/>
  <c r="G855" i="5"/>
  <c r="G856" i="5"/>
  <c r="G857" i="5"/>
  <c r="G858" i="5"/>
  <c r="G859" i="5"/>
  <c r="G860" i="5"/>
  <c r="G861" i="5"/>
  <c r="G862" i="5"/>
  <c r="G863" i="5"/>
  <c r="G864" i="5"/>
  <c r="G865" i="5"/>
  <c r="J79" i="5" s="1"/>
  <c r="G866" i="5"/>
  <c r="G867" i="5"/>
  <c r="G868" i="5"/>
  <c r="G869" i="5"/>
  <c r="G870" i="5"/>
  <c r="G871" i="5"/>
  <c r="G872" i="5"/>
  <c r="G873" i="5"/>
  <c r="G874" i="5"/>
  <c r="G875" i="5"/>
  <c r="G876" i="5"/>
  <c r="G877" i="5"/>
  <c r="J80" i="5" s="1"/>
  <c r="G878" i="5"/>
  <c r="G879" i="5"/>
  <c r="G880" i="5"/>
  <c r="G881" i="5"/>
  <c r="G882" i="5"/>
  <c r="G883" i="5"/>
  <c r="G884" i="5"/>
  <c r="G885" i="5"/>
  <c r="G886" i="5"/>
  <c r="G887" i="5"/>
  <c r="G888" i="5"/>
  <c r="G889" i="5"/>
  <c r="J81" i="5" s="1"/>
  <c r="G890" i="5"/>
  <c r="G891" i="5"/>
  <c r="G892" i="5"/>
  <c r="G893" i="5"/>
  <c r="G894" i="5"/>
  <c r="G895" i="5"/>
  <c r="G896" i="5"/>
  <c r="G897" i="5"/>
  <c r="G898" i="5"/>
  <c r="G899" i="5"/>
  <c r="G900" i="5"/>
  <c r="G901" i="5"/>
  <c r="J82" i="5" s="1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J84" i="5" s="1"/>
  <c r="G926" i="5"/>
  <c r="G927" i="5"/>
  <c r="G928" i="5"/>
  <c r="G929" i="5"/>
  <c r="G930" i="5"/>
  <c r="G931" i="5"/>
  <c r="G932" i="5"/>
  <c r="G933" i="5"/>
  <c r="G934" i="5"/>
  <c r="G935" i="5"/>
  <c r="G936" i="5"/>
  <c r="G937" i="5"/>
  <c r="J85" i="5" s="1"/>
  <c r="G938" i="5"/>
  <c r="G939" i="5"/>
  <c r="G940" i="5"/>
  <c r="G941" i="5"/>
  <c r="G942" i="5"/>
  <c r="G943" i="5"/>
  <c r="G944" i="5"/>
  <c r="G945" i="5"/>
  <c r="G946" i="5"/>
  <c r="G947" i="5"/>
  <c r="G948" i="5"/>
  <c r="G949" i="5"/>
  <c r="J86" i="5" s="1"/>
  <c r="G950" i="5"/>
  <c r="G951" i="5"/>
  <c r="G952" i="5"/>
  <c r="G953" i="5"/>
  <c r="G954" i="5"/>
  <c r="G955" i="5"/>
  <c r="G956" i="5"/>
  <c r="G957" i="5"/>
  <c r="G958" i="5"/>
  <c r="G959" i="5"/>
  <c r="G960" i="5"/>
  <c r="G961" i="5"/>
  <c r="J87" i="5" s="1"/>
  <c r="G962" i="5"/>
  <c r="G963" i="5"/>
  <c r="G964" i="5"/>
  <c r="G965" i="5"/>
  <c r="G966" i="5"/>
  <c r="G967" i="5"/>
  <c r="G968" i="5"/>
  <c r="G969" i="5"/>
  <c r="G970" i="5"/>
  <c r="G971" i="5"/>
  <c r="G972" i="5"/>
  <c r="G973" i="5"/>
  <c r="J88" i="5" s="1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J89" i="5" s="1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J91" i="5" s="1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J92" i="5" s="1"/>
  <c r="G1023" i="5"/>
  <c r="G1024" i="5"/>
  <c r="G1025" i="5"/>
  <c r="G1026" i="5"/>
  <c r="G1027" i="5"/>
  <c r="G1028" i="5"/>
  <c r="G1029" i="5"/>
  <c r="G1030" i="5"/>
  <c r="G1031" i="5"/>
  <c r="G1032" i="5"/>
  <c r="G1033" i="5"/>
  <c r="J93" i="5" s="1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J94" i="5" s="1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J95" i="5" s="1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J96" i="5" s="1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J97" i="5" s="1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J98" i="5" s="1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J99" i="5" s="1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J100" i="5" s="1"/>
  <c r="G1122" i="5"/>
  <c r="G1123" i="5"/>
  <c r="G1124" i="5"/>
  <c r="G1125" i="5"/>
  <c r="G1126" i="5"/>
  <c r="G1127" i="5"/>
  <c r="G1128" i="5"/>
  <c r="G1129" i="5"/>
  <c r="G1130" i="5"/>
  <c r="G1131" i="5"/>
  <c r="J101" i="5" s="1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8" i="5"/>
  <c r="M71" i="5" l="1"/>
  <c r="L71" i="5"/>
  <c r="L51" i="5"/>
  <c r="M51" i="5"/>
  <c r="M31" i="5"/>
  <c r="L31" i="5"/>
  <c r="L21" i="5"/>
  <c r="M21" i="5"/>
  <c r="L84" i="5"/>
  <c r="M84" i="5"/>
  <c r="L64" i="5"/>
  <c r="M64" i="5"/>
  <c r="L44" i="5"/>
  <c r="M44" i="5"/>
  <c r="L24" i="5"/>
  <c r="M24" i="5"/>
  <c r="M9" i="5"/>
  <c r="L9" i="5"/>
  <c r="M74" i="5"/>
  <c r="L74" i="5"/>
  <c r="M54" i="5"/>
  <c r="L54" i="5"/>
  <c r="L39" i="5"/>
  <c r="M39" i="5"/>
  <c r="M14" i="5"/>
  <c r="L14" i="5"/>
  <c r="L86" i="5"/>
  <c r="M86" i="5"/>
  <c r="M59" i="5"/>
  <c r="L59" i="5"/>
  <c r="M34" i="5"/>
  <c r="L34" i="5"/>
  <c r="L19" i="5"/>
  <c r="M19" i="5"/>
  <c r="M69" i="5"/>
  <c r="L69" i="5"/>
  <c r="M49" i="5"/>
  <c r="L49" i="5"/>
  <c r="M29" i="5"/>
  <c r="L29" i="5"/>
  <c r="M92" i="5"/>
  <c r="L92" i="5"/>
  <c r="M82" i="5"/>
  <c r="L82" i="5"/>
  <c r="M52" i="5"/>
  <c r="L52" i="5"/>
  <c r="M32" i="5"/>
  <c r="L32" i="5"/>
  <c r="M12" i="5"/>
  <c r="L12" i="5"/>
  <c r="M97" i="5"/>
  <c r="L97" i="5"/>
  <c r="M57" i="5"/>
  <c r="L57" i="5"/>
  <c r="M37" i="5"/>
  <c r="L37" i="5"/>
  <c r="L27" i="5"/>
  <c r="M27" i="5"/>
  <c r="L94" i="5"/>
  <c r="M94" i="5"/>
  <c r="L67" i="5"/>
  <c r="M67" i="5"/>
  <c r="L47" i="5"/>
  <c r="M47" i="5"/>
  <c r="L17" i="5"/>
  <c r="M17" i="5"/>
  <c r="L79" i="5"/>
  <c r="M79" i="5"/>
  <c r="M62" i="5"/>
  <c r="L62" i="5"/>
  <c r="L42" i="5"/>
  <c r="M42" i="5"/>
  <c r="L22" i="5"/>
  <c r="M22" i="5"/>
  <c r="L87" i="5"/>
  <c r="M87" i="5"/>
  <c r="L85" i="5"/>
  <c r="M85" i="5"/>
  <c r="M60" i="5"/>
  <c r="L60" i="5"/>
  <c r="M35" i="5"/>
  <c r="L35" i="5"/>
  <c r="M15" i="5"/>
  <c r="L15" i="5"/>
  <c r="L100" i="5"/>
  <c r="M100" i="5"/>
  <c r="M95" i="5"/>
  <c r="L95" i="5"/>
  <c r="L65" i="5"/>
  <c r="M65" i="5"/>
  <c r="L45" i="5"/>
  <c r="M45" i="5"/>
  <c r="L20" i="5"/>
  <c r="M20" i="5"/>
  <c r="L72" i="5"/>
  <c r="M72" i="5"/>
  <c r="L75" i="5"/>
  <c r="M75" i="5"/>
  <c r="M55" i="5"/>
  <c r="L55" i="5"/>
  <c r="L25" i="5"/>
  <c r="M25" i="5"/>
  <c r="L77" i="5"/>
  <c r="M77" i="5"/>
  <c r="L80" i="5"/>
  <c r="M80" i="5"/>
  <c r="L40" i="5"/>
  <c r="M40" i="5"/>
  <c r="L98" i="5"/>
  <c r="M98" i="5"/>
  <c r="L68" i="5"/>
  <c r="M68" i="5"/>
  <c r="M38" i="5"/>
  <c r="L38" i="5"/>
  <c r="M13" i="5"/>
  <c r="L13" i="5"/>
  <c r="L88" i="5"/>
  <c r="M88" i="5"/>
  <c r="M58" i="5"/>
  <c r="L58" i="5"/>
  <c r="M33" i="5"/>
  <c r="L33" i="5"/>
  <c r="L18" i="5"/>
  <c r="M18" i="5"/>
  <c r="M96" i="5"/>
  <c r="L96" i="5"/>
  <c r="L78" i="5"/>
  <c r="M78" i="5"/>
  <c r="L48" i="5"/>
  <c r="M48" i="5"/>
  <c r="L23" i="5"/>
  <c r="M23" i="5"/>
  <c r="L101" i="5"/>
  <c r="M101" i="5"/>
  <c r="L93" i="5"/>
  <c r="M93" i="5"/>
  <c r="M73" i="5"/>
  <c r="L73" i="5"/>
  <c r="M53" i="5"/>
  <c r="L53" i="5"/>
  <c r="L28" i="5"/>
  <c r="M28" i="5"/>
  <c r="M76" i="5"/>
  <c r="L76" i="5"/>
  <c r="M56" i="5"/>
  <c r="L56" i="5"/>
  <c r="M36" i="5"/>
  <c r="L36" i="5"/>
  <c r="M11" i="5"/>
  <c r="L11" i="5"/>
  <c r="L81" i="5"/>
  <c r="M81" i="5"/>
  <c r="M61" i="5"/>
  <c r="L61" i="5"/>
  <c r="L41" i="5"/>
  <c r="M41" i="5"/>
  <c r="L16" i="5"/>
  <c r="M16" i="5"/>
  <c r="M91" i="5"/>
  <c r="L91" i="5"/>
  <c r="L66" i="5"/>
  <c r="M66" i="5"/>
  <c r="L46" i="5"/>
  <c r="M46" i="5"/>
  <c r="L26" i="5"/>
  <c r="M26" i="5"/>
  <c r="L99" i="5"/>
  <c r="M99" i="5"/>
  <c r="M89" i="5"/>
  <c r="L89" i="5"/>
  <c r="L63" i="5"/>
  <c r="L70" i="5"/>
  <c r="L50" i="5"/>
  <c r="L10" i="5"/>
  <c r="M83" i="5"/>
  <c r="M43" i="5"/>
  <c r="L90" i="5"/>
  <c r="L30" i="5"/>
  <c r="L8" i="5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3" i="4" s="1"/>
  <c r="C3" i="4" s="1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8" i="4" s="1"/>
  <c r="C8" i="4" s="1"/>
  <c r="B78" i="3"/>
  <c r="B79" i="3"/>
  <c r="B80" i="3"/>
  <c r="B81" i="3"/>
  <c r="B82" i="3"/>
  <c r="B83" i="3"/>
  <c r="B84" i="3"/>
  <c r="B85" i="3"/>
  <c r="B86" i="3"/>
  <c r="B87" i="3"/>
  <c r="B88" i="3"/>
  <c r="B89" i="3"/>
  <c r="B9" i="4" s="1"/>
  <c r="C9" i="4" s="1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" i="4" s="1"/>
  <c r="C13" i="4" s="1"/>
  <c r="B138" i="3"/>
  <c r="B139" i="3"/>
  <c r="B140" i="3"/>
  <c r="B141" i="3"/>
  <c r="B142" i="3"/>
  <c r="B143" i="3"/>
  <c r="B144" i="3"/>
  <c r="B145" i="3"/>
  <c r="B146" i="3"/>
  <c r="B147" i="3"/>
  <c r="B148" i="3"/>
  <c r="B149" i="3"/>
  <c r="B14" i="4" s="1"/>
  <c r="C14" i="4" s="1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19" i="4" s="1"/>
  <c r="C19" i="4" s="1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4" i="4" s="1"/>
  <c r="C24" i="4" s="1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29" i="4" s="1"/>
  <c r="C29" i="4" s="1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4" i="4" s="1"/>
  <c r="C34" i="4" s="1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39" i="4" s="1"/>
  <c r="C39" i="4" s="1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44" i="4" s="1"/>
  <c r="C44" i="4" s="1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49" i="4" s="1"/>
  <c r="C49" i="4" s="1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53" i="4" s="1"/>
  <c r="C53" i="4" s="1"/>
  <c r="B618" i="3"/>
  <c r="B619" i="3"/>
  <c r="B620" i="3"/>
  <c r="B621" i="3"/>
  <c r="B622" i="3"/>
  <c r="B623" i="3"/>
  <c r="B624" i="3"/>
  <c r="B625" i="3"/>
  <c r="B626" i="3"/>
  <c r="B627" i="3"/>
  <c r="B628" i="3"/>
  <c r="B629" i="3"/>
  <c r="B54" i="4" s="1"/>
  <c r="C54" i="4" s="1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59" i="4" s="1"/>
  <c r="C59" i="4" s="1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64" i="4" s="1"/>
  <c r="C64" i="4" s="1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69" i="4" s="1"/>
  <c r="C69" i="4" s="1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74" i="4" s="1"/>
  <c r="C74" i="4" s="1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79" i="4" s="1"/>
  <c r="C79" i="4" s="1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84" i="4" s="1"/>
  <c r="C84" i="4" s="1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89" i="4" s="1"/>
  <c r="C89" i="4" s="1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94" i="4" s="1"/>
  <c r="C94" i="4" s="1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75" i="4" l="1"/>
  <c r="C75" i="4" s="1"/>
  <c r="B50" i="4"/>
  <c r="C50" i="4" s="1"/>
  <c r="B35" i="4"/>
  <c r="C35" i="4" s="1"/>
  <c r="B15" i="4"/>
  <c r="C15" i="4" s="1"/>
  <c r="B10" i="4"/>
  <c r="C10" i="4" s="1"/>
  <c r="B5" i="4"/>
  <c r="C5" i="4" s="1"/>
  <c r="B60" i="4"/>
  <c r="C60" i="4" s="1"/>
  <c r="B20" i="4"/>
  <c r="C20" i="4" s="1"/>
  <c r="B85" i="4"/>
  <c r="C85" i="4" s="1"/>
  <c r="B70" i="4"/>
  <c r="C70" i="4" s="1"/>
  <c r="B55" i="4"/>
  <c r="C55" i="4" s="1"/>
  <c r="B45" i="4"/>
  <c r="C45" i="4" s="1"/>
  <c r="B30" i="4"/>
  <c r="C30" i="4" s="1"/>
  <c r="B80" i="4"/>
  <c r="C80" i="4" s="1"/>
  <c r="B65" i="4"/>
  <c r="C65" i="4" s="1"/>
  <c r="B40" i="4"/>
  <c r="C40" i="4" s="1"/>
  <c r="B25" i="4"/>
  <c r="C25" i="4" s="1"/>
  <c r="B83" i="4"/>
  <c r="C83" i="4" s="1"/>
  <c r="B63" i="4"/>
  <c r="C63" i="4" s="1"/>
  <c r="B43" i="4"/>
  <c r="C43" i="4" s="1"/>
  <c r="B28" i="4"/>
  <c r="C28" i="4" s="1"/>
  <c r="B23" i="4"/>
  <c r="C23" i="4" s="1"/>
  <c r="B68" i="4"/>
  <c r="C68" i="4" s="1"/>
  <c r="B48" i="4"/>
  <c r="C48" i="4" s="1"/>
  <c r="B33" i="4"/>
  <c r="C33" i="4" s="1"/>
  <c r="B18" i="4"/>
  <c r="C18" i="4" s="1"/>
  <c r="B88" i="4"/>
  <c r="C88" i="4" s="1"/>
  <c r="B58" i="4"/>
  <c r="C58" i="4" s="1"/>
  <c r="B38" i="4"/>
  <c r="C38" i="4" s="1"/>
  <c r="B93" i="4"/>
  <c r="C93" i="4" s="1"/>
  <c r="B91" i="4"/>
  <c r="C91" i="4" s="1"/>
  <c r="B76" i="4"/>
  <c r="C76" i="4" s="1"/>
  <c r="B71" i="4"/>
  <c r="C71" i="4" s="1"/>
  <c r="B56" i="4"/>
  <c r="C56" i="4" s="1"/>
  <c r="B36" i="4"/>
  <c r="C36" i="4" s="1"/>
  <c r="B26" i="4"/>
  <c r="C26" i="4" s="1"/>
  <c r="B21" i="4"/>
  <c r="C21" i="4" s="1"/>
  <c r="B16" i="4"/>
  <c r="C16" i="4" s="1"/>
  <c r="B11" i="4"/>
  <c r="C11" i="4" s="1"/>
  <c r="B6" i="4"/>
  <c r="C6" i="4" s="1"/>
  <c r="B95" i="4"/>
  <c r="C95" i="4" s="1"/>
  <c r="B78" i="4"/>
  <c r="C78" i="4" s="1"/>
  <c r="B81" i="4"/>
  <c r="C81" i="4" s="1"/>
  <c r="B66" i="4"/>
  <c r="C66" i="4" s="1"/>
  <c r="B51" i="4"/>
  <c r="C51" i="4" s="1"/>
  <c r="B41" i="4"/>
  <c r="C41" i="4" s="1"/>
  <c r="B31" i="4"/>
  <c r="C31" i="4" s="1"/>
  <c r="B90" i="4"/>
  <c r="C90" i="4" s="1"/>
  <c r="B73" i="4"/>
  <c r="C73" i="4" s="1"/>
  <c r="B86" i="4"/>
  <c r="C86" i="4" s="1"/>
  <c r="B61" i="4"/>
  <c r="C61" i="4" s="1"/>
  <c r="B46" i="4"/>
  <c r="C46" i="4" s="1"/>
  <c r="B4" i="4"/>
  <c r="C4" i="4" s="1"/>
  <c r="B92" i="4"/>
  <c r="C92" i="4" s="1"/>
  <c r="B82" i="4"/>
  <c r="C82" i="4" s="1"/>
  <c r="B72" i="4"/>
  <c r="C72" i="4" s="1"/>
  <c r="B62" i="4"/>
  <c r="C62" i="4" s="1"/>
  <c r="B52" i="4"/>
  <c r="C52" i="4" s="1"/>
  <c r="B42" i="4"/>
  <c r="C42" i="4" s="1"/>
  <c r="B32" i="4"/>
  <c r="C32" i="4" s="1"/>
  <c r="B22" i="4"/>
  <c r="C22" i="4" s="1"/>
  <c r="B17" i="4"/>
  <c r="C17" i="4" s="1"/>
  <c r="B12" i="4"/>
  <c r="C12" i="4" s="1"/>
  <c r="B7" i="4"/>
  <c r="C7" i="4" s="1"/>
  <c r="B2" i="4"/>
  <c r="C2" i="4" s="1"/>
  <c r="B87" i="4"/>
  <c r="C87" i="4" s="1"/>
  <c r="B77" i="4"/>
  <c r="C77" i="4" s="1"/>
  <c r="B67" i="4"/>
  <c r="C67" i="4" s="1"/>
  <c r="B57" i="4"/>
  <c r="C57" i="4" s="1"/>
  <c r="B47" i="4"/>
  <c r="C47" i="4" s="1"/>
  <c r="B37" i="4"/>
  <c r="C37" i="4" s="1"/>
  <c r="B27" i="4"/>
  <c r="C27" i="4" s="1"/>
</calcChain>
</file>

<file path=xl/sharedStrings.xml><?xml version="1.0" encoding="utf-8"?>
<sst xmlns="http://schemas.openxmlformats.org/spreadsheetml/2006/main" count="108" uniqueCount="71">
  <si>
    <t>Butte County</t>
  </si>
  <si>
    <t>City of Folsom</t>
  </si>
  <si>
    <t>City of Redding</t>
  </si>
  <si>
    <t>City of Roseville</t>
  </si>
  <si>
    <t>City of West Sacramento</t>
  </si>
  <si>
    <t>Yuba City</t>
  </si>
  <si>
    <t>El Dorado Irrigation District</t>
  </si>
  <si>
    <t>Napa County Flood Control &amp; Water Conservation District</t>
  </si>
  <si>
    <t>Placer County Water Agency</t>
  </si>
  <si>
    <t>Sacramento County Water Agency</t>
  </si>
  <si>
    <t>San Juan Water District</t>
  </si>
  <si>
    <t>Shasta Contractors</t>
  </si>
  <si>
    <t>Solano County Water Agency</t>
  </si>
  <si>
    <t>City of Avenal</t>
  </si>
  <si>
    <t>City of Coalinga</t>
  </si>
  <si>
    <t>City of Fresno</t>
  </si>
  <si>
    <t>City of Huron</t>
  </si>
  <si>
    <t>City of Lindsay</t>
  </si>
  <si>
    <t>City of Orange Cove</t>
  </si>
  <si>
    <t>City of Tracy</t>
  </si>
  <si>
    <t>Kern County Water Agency</t>
  </si>
  <si>
    <t>Other Friant-Kern M&amp;I Contractors</t>
  </si>
  <si>
    <t>Stockton-East Water District</t>
  </si>
  <si>
    <t>Alameda County Flood Control and Water Conservation District, Zone 7</t>
  </si>
  <si>
    <t>Alameda County Water District</t>
  </si>
  <si>
    <t>Contra Costa Water District</t>
  </si>
  <si>
    <t>East Bay Municipal Utilities District</t>
  </si>
  <si>
    <t>San Benito County Water District, Zone 6</t>
  </si>
  <si>
    <t>Santa Clara Valley Water District</t>
  </si>
  <si>
    <t>San Luis Obispo County Flood Control &amp; Water Conservation District</t>
  </si>
  <si>
    <t>Santa Barbara County Flood Control &amp; Water Conservation District</t>
  </si>
  <si>
    <t>Antelope Valley-East Kern Water Agency</t>
  </si>
  <si>
    <t>Santa Clarita Valley Water Agency</t>
  </si>
  <si>
    <t>Coachella Valley Water District</t>
  </si>
  <si>
    <t>Crestline-Lake Arrowhead Water Agency</t>
  </si>
  <si>
    <t>Desert Water Agency</t>
  </si>
  <si>
    <t>Metropolitan Water District of Southern California</t>
  </si>
  <si>
    <t>Mojave Water Agency</t>
  </si>
  <si>
    <t>Palmdale Water District &amp; Littlerock Creek Irrigation District</t>
  </si>
  <si>
    <t>San Bernardino Valley Municipal Water District</t>
  </si>
  <si>
    <t>San Gabriel Valley Municipal Water District</t>
  </si>
  <si>
    <t>San Gorgonio Pass Water Agency</t>
  </si>
  <si>
    <t>Ventura County Watershed Protection District</t>
  </si>
  <si>
    <t>PER-AVER</t>
  </si>
  <si>
    <t/>
  </si>
  <si>
    <t>Type</t>
  </si>
  <si>
    <t>CFS</t>
  </si>
  <si>
    <t>Units</t>
  </si>
  <si>
    <t>L2020A</t>
  </si>
  <si>
    <t>F</t>
  </si>
  <si>
    <t>E</t>
  </si>
  <si>
    <t>DIVERSION</t>
  </si>
  <si>
    <t>C</t>
  </si>
  <si>
    <t>D_THRMF_11_NU1_PMI</t>
  </si>
  <si>
    <t>B</t>
  </si>
  <si>
    <t>CALSIM</t>
  </si>
  <si>
    <t>A</t>
  </si>
  <si>
    <t>AF/mon</t>
  </si>
  <si>
    <t>NONE</t>
  </si>
  <si>
    <t>PERCENT-DELIVERY</t>
  </si>
  <si>
    <t>PERDV_CVPMI_SYS</t>
  </si>
  <si>
    <t>D_CCC019_CCWD</t>
  </si>
  <si>
    <t>AF</t>
  </si>
  <si>
    <t>Year</t>
  </si>
  <si>
    <t>Month</t>
  </si>
  <si>
    <t>Delivery</t>
  </si>
  <si>
    <t>May*PERDV_CVPMI_SYS</t>
  </si>
  <si>
    <t>Check if column K ever matches J</t>
  </si>
  <si>
    <t>Monthly_AF</t>
  </si>
  <si>
    <t>Monthly_AF (debug output)</t>
  </si>
  <si>
    <t>DaysInMonth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</si>
</sst>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mmmyyyy"/>
    <numFmt numFmtId="166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14" fontId="0" fillId="0" borderId="0" xfId="0" applyNumberFormat="1"/>
    <xf numFmtId="0" fontId="18" fillId="0" borderId="0" xfId="43"/>
    <xf numFmtId="1" fontId="18" fillId="0" borderId="0" xfId="43" applyNumberFormat="1"/>
    <xf numFmtId="164" fontId="18" fillId="0" borderId="0" xfId="43" applyNumberFormat="1"/>
    <xf numFmtId="0" fontId="18" fillId="0" borderId="0" xfId="43" applyAlignment="1">
      <alignment horizontal="right"/>
    </xf>
    <xf numFmtId="166" fontId="0" fillId="0" borderId="0" xfId="1" applyNumberFormat="1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14" fillId="0" borderId="0" xfId="0" applyFont="1" applyFill="1"/>
    <xf numFmtId="0" fontId="18" fillId="35" borderId="0" xfId="43" applyFill="1"/>
    <xf numFmtId="1" fontId="18" fillId="35" borderId="0" xfId="43" quotePrefix="1" applyNumberFormat="1" applyFill="1"/>
    <xf numFmtId="166" fontId="18" fillId="0" borderId="0" xfId="1" applyNumberFormat="1" applyFont="1"/>
    <xf numFmtId="2" fontId="18" fillId="0" borderId="0" xfId="43" applyNumberFormat="1"/>
    <xf numFmtId="166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1340ECC5-9460-4BC8-848A-6CBEAB7BC13C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DAA4-9A68-4A8A-83DB-06336CB557C2}">
  <dimension ref="A1:AR95"/>
  <sheetViews>
    <sheetView tabSelected="1" workbookViewId="0">
      <selection activeCell="M19" sqref="M19"/>
    </sheetView>
  </sheetViews>
  <sheetFormatPr defaultRowHeight="15" x14ac:dyDescent="0.25"/>
  <cols>
    <col min="1" max="1" width="12.7109375" customWidth="1"/>
  </cols>
  <sheetData>
    <row r="1" spans="1:44" x14ac:dyDescent="0.25">
      <c r="B1" t="s">
        <v>0</v>
      </c>
      <c r="C1" t="s">
        <v>1</v>
      </c>
      <c r="D1" s="7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8" t="s">
        <v>8</v>
      </c>
      <c r="K1" t="s">
        <v>9</v>
      </c>
      <c r="L1" t="s">
        <v>10</v>
      </c>
      <c r="M1" s="9" t="s">
        <v>11</v>
      </c>
      <c r="N1" t="s">
        <v>12</v>
      </c>
      <c r="O1" t="s">
        <v>13</v>
      </c>
      <c r="P1" t="s">
        <v>14</v>
      </c>
      <c r="Q1" s="9" t="s">
        <v>15</v>
      </c>
      <c r="R1" t="s">
        <v>16</v>
      </c>
      <c r="S1" t="s">
        <v>17</v>
      </c>
      <c r="T1" t="s">
        <v>18</v>
      </c>
      <c r="U1" t="s">
        <v>19</v>
      </c>
      <c r="V1" s="10" t="s">
        <v>20</v>
      </c>
      <c r="W1" t="s">
        <v>21</v>
      </c>
      <c r="X1" s="9" t="s">
        <v>22</v>
      </c>
      <c r="Y1" t="s">
        <v>23</v>
      </c>
      <c r="Z1" t="s">
        <v>24</v>
      </c>
      <c r="AA1" s="8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10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 s="1">
        <v>8036</v>
      </c>
      <c r="B2">
        <v>4173.6168100000004</v>
      </c>
      <c r="C2">
        <v>3857.9033089999998</v>
      </c>
      <c r="E2">
        <v>6086.9999980000002</v>
      </c>
      <c r="F2">
        <v>2280.9999870000001</v>
      </c>
      <c r="G2">
        <v>2745.999941</v>
      </c>
      <c r="H2">
        <v>1590.2005690000001</v>
      </c>
      <c r="I2">
        <v>6119.6999910000004</v>
      </c>
      <c r="J2">
        <v>0</v>
      </c>
      <c r="K2">
        <v>6371.6000279999998</v>
      </c>
      <c r="L2">
        <v>7183.9999449999996</v>
      </c>
      <c r="N2">
        <v>9580.0001310000007</v>
      </c>
      <c r="O2">
        <v>758.26403200000004</v>
      </c>
      <c r="P2">
        <v>2202.5764720000002</v>
      </c>
      <c r="R2">
        <v>649.94059800000002</v>
      </c>
      <c r="S2">
        <v>0</v>
      </c>
      <c r="T2">
        <v>0</v>
      </c>
      <c r="U2">
        <v>3993.9853720000001</v>
      </c>
      <c r="W2">
        <v>0</v>
      </c>
      <c r="Y2">
        <v>16499.999965999999</v>
      </c>
      <c r="Z2">
        <v>19799.999908999998</v>
      </c>
      <c r="AB2">
        <v>3199.9999969999999</v>
      </c>
      <c r="AC2">
        <v>2268.7500230000001</v>
      </c>
      <c r="AD2">
        <v>64054.113365999998</v>
      </c>
      <c r="AE2">
        <v>4189.9999520000001</v>
      </c>
      <c r="AF2">
        <v>7910.0001560000001</v>
      </c>
      <c r="AG2">
        <v>22819.999884000001</v>
      </c>
      <c r="AH2">
        <v>0</v>
      </c>
      <c r="AI2">
        <v>43530.000605000001</v>
      </c>
      <c r="AJ2">
        <v>640.000001</v>
      </c>
      <c r="AK2">
        <v>23030.000382999999</v>
      </c>
      <c r="AM2">
        <v>17950.000419</v>
      </c>
      <c r="AN2">
        <v>5299.9999299999999</v>
      </c>
      <c r="AO2">
        <v>35090.000474</v>
      </c>
      <c r="AP2">
        <v>879.99998200000005</v>
      </c>
      <c r="AQ2">
        <v>1610.0000219999999</v>
      </c>
      <c r="AR2">
        <v>0</v>
      </c>
    </row>
    <row r="3" spans="1:44" x14ac:dyDescent="0.25">
      <c r="A3" s="1">
        <v>8401</v>
      </c>
      <c r="B3">
        <v>27018.746671000001</v>
      </c>
      <c r="C3">
        <v>19178.021833999999</v>
      </c>
      <c r="E3">
        <v>31999.999680000001</v>
      </c>
      <c r="F3">
        <v>12001.000180999999</v>
      </c>
      <c r="G3">
        <v>12118.999976999999</v>
      </c>
      <c r="H3">
        <v>13516.050757000001</v>
      </c>
      <c r="I3">
        <v>25925.100182999999</v>
      </c>
      <c r="J3">
        <v>0</v>
      </c>
      <c r="K3">
        <v>30998.399952</v>
      </c>
      <c r="L3">
        <v>40999.999913</v>
      </c>
      <c r="N3">
        <v>22208.399968999998</v>
      </c>
      <c r="O3">
        <v>3408.3559300000002</v>
      </c>
      <c r="P3">
        <v>9900.4624619999995</v>
      </c>
      <c r="R3">
        <v>2921.44794</v>
      </c>
      <c r="S3">
        <v>2579.5560009999999</v>
      </c>
      <c r="T3">
        <v>1444.551361</v>
      </c>
      <c r="U3">
        <v>18876.349931000001</v>
      </c>
      <c r="W3">
        <v>3019.1123440000001</v>
      </c>
      <c r="Y3">
        <v>56350.577305999999</v>
      </c>
      <c r="Z3">
        <v>20491.119412</v>
      </c>
      <c r="AB3">
        <v>3200.0000500000001</v>
      </c>
      <c r="AC3">
        <v>8021.0625399999999</v>
      </c>
      <c r="AD3">
        <v>166851.64198799999</v>
      </c>
      <c r="AE3">
        <v>9974.2597029999997</v>
      </c>
      <c r="AF3">
        <v>22932.817701</v>
      </c>
      <c r="AG3">
        <v>79012.095390000002</v>
      </c>
      <c r="AH3">
        <v>32460.230554000002</v>
      </c>
      <c r="AI3">
        <v>55193.564382999997</v>
      </c>
      <c r="AJ3">
        <v>2314.0282430000002</v>
      </c>
      <c r="AK3">
        <v>22238.609221999999</v>
      </c>
      <c r="AM3">
        <v>40974.258674999997</v>
      </c>
      <c r="AN3">
        <v>11235.006216</v>
      </c>
      <c r="AO3">
        <v>71958.298637</v>
      </c>
      <c r="AP3">
        <v>22980.693788</v>
      </c>
      <c r="AQ3">
        <v>9024.7101149999999</v>
      </c>
      <c r="AR3">
        <v>10014.156944</v>
      </c>
    </row>
    <row r="4" spans="1:44" x14ac:dyDescent="0.25">
      <c r="A4" s="1">
        <v>8766</v>
      </c>
      <c r="B4">
        <v>19477.113315999999</v>
      </c>
      <c r="C4">
        <v>19161.247650000001</v>
      </c>
      <c r="E4">
        <v>27274.999473</v>
      </c>
      <c r="F4">
        <v>12001.000180999999</v>
      </c>
      <c r="G4">
        <v>12118.999976999999</v>
      </c>
      <c r="H4">
        <v>12999.900944000001</v>
      </c>
      <c r="I4">
        <v>36475.199980999998</v>
      </c>
      <c r="J4">
        <v>0</v>
      </c>
      <c r="K4">
        <v>29143.399947999998</v>
      </c>
      <c r="L4">
        <v>40999.999913</v>
      </c>
      <c r="N4">
        <v>42267.599972000004</v>
      </c>
      <c r="O4">
        <v>3325.5593020000001</v>
      </c>
      <c r="P4">
        <v>9659.9579720000002</v>
      </c>
      <c r="R4">
        <v>2850.4794019999999</v>
      </c>
      <c r="S4">
        <v>2708.1320219999998</v>
      </c>
      <c r="T4">
        <v>1516.553932</v>
      </c>
      <c r="U4">
        <v>16783.815852</v>
      </c>
      <c r="W4">
        <v>3169.597718</v>
      </c>
      <c r="Y4">
        <v>37009.739010999998</v>
      </c>
      <c r="Z4">
        <v>26887.745777</v>
      </c>
      <c r="AB4">
        <v>3200.0000850000001</v>
      </c>
      <c r="AC4">
        <v>7814.172458</v>
      </c>
      <c r="AD4">
        <v>178255.901683</v>
      </c>
      <c r="AE4">
        <v>17449.110966</v>
      </c>
      <c r="AF4">
        <v>27820.875035000001</v>
      </c>
      <c r="AG4">
        <v>85684.377313999998</v>
      </c>
      <c r="AH4">
        <v>64640.676313999997</v>
      </c>
      <c r="AI4">
        <v>96566.376652999999</v>
      </c>
      <c r="AJ4">
        <v>4367.1207169999998</v>
      </c>
      <c r="AK4">
        <v>38914.511702000003</v>
      </c>
      <c r="AM4">
        <v>59304.522529000002</v>
      </c>
      <c r="AN4">
        <v>16151.613009999999</v>
      </c>
      <c r="AO4">
        <v>47081.367825000001</v>
      </c>
      <c r="AP4">
        <v>11481.372692000001</v>
      </c>
      <c r="AQ4">
        <v>11397.401284</v>
      </c>
      <c r="AR4">
        <v>5003.1674970000004</v>
      </c>
    </row>
    <row r="5" spans="1:44" x14ac:dyDescent="0.25">
      <c r="A5" s="1">
        <v>9132</v>
      </c>
      <c r="B5">
        <v>15528.729636</v>
      </c>
      <c r="C5">
        <v>17920.723367999999</v>
      </c>
      <c r="E5">
        <v>26689.999530000001</v>
      </c>
      <c r="F5">
        <v>12001.000161</v>
      </c>
      <c r="G5">
        <v>12118.999959000001</v>
      </c>
      <c r="H5">
        <v>3488.4942310000001</v>
      </c>
      <c r="I5">
        <v>22166.499958</v>
      </c>
      <c r="J5">
        <v>0</v>
      </c>
      <c r="K5">
        <v>12141.973677</v>
      </c>
      <c r="L5">
        <v>40999.999882999997</v>
      </c>
      <c r="N5">
        <v>29506.700079999999</v>
      </c>
      <c r="O5">
        <v>1223.0183930000001</v>
      </c>
      <c r="P5">
        <v>3552.5772360000001</v>
      </c>
      <c r="R5">
        <v>1048.301479</v>
      </c>
      <c r="S5">
        <v>881.30219099999999</v>
      </c>
      <c r="T5">
        <v>493.52922699999999</v>
      </c>
      <c r="U5">
        <v>4406.2448350000004</v>
      </c>
      <c r="W5">
        <v>1031.4760839999999</v>
      </c>
      <c r="Y5">
        <v>25701.384701999999</v>
      </c>
      <c r="Z5">
        <v>13259.347784</v>
      </c>
      <c r="AB5">
        <v>33967.516313</v>
      </c>
      <c r="AC5">
        <v>2974.5375359999998</v>
      </c>
      <c r="AD5">
        <v>75493.694877999995</v>
      </c>
      <c r="AE5">
        <v>9056.7695100000001</v>
      </c>
      <c r="AF5">
        <v>17183.850673000001</v>
      </c>
      <c r="AG5">
        <v>48206.073381000002</v>
      </c>
      <c r="AH5">
        <v>26904.503291000001</v>
      </c>
      <c r="AI5">
        <v>45591.668181000001</v>
      </c>
      <c r="AJ5">
        <v>2036.80701</v>
      </c>
      <c r="AK5">
        <v>19227.040532999999</v>
      </c>
      <c r="AM5">
        <v>31321.641425000002</v>
      </c>
      <c r="AN5">
        <v>7513.295494</v>
      </c>
      <c r="AO5">
        <v>32955.873373000002</v>
      </c>
      <c r="AP5">
        <v>8827.0947660000002</v>
      </c>
      <c r="AQ5">
        <v>5388.3553549999997</v>
      </c>
      <c r="AR5">
        <v>3846.5291419999999</v>
      </c>
    </row>
    <row r="6" spans="1:44" x14ac:dyDescent="0.25">
      <c r="A6" s="1">
        <v>9497</v>
      </c>
      <c r="B6">
        <v>7139.3237159999999</v>
      </c>
      <c r="C6">
        <v>18984.447338000002</v>
      </c>
      <c r="E6">
        <v>25804.999503999999</v>
      </c>
      <c r="F6">
        <v>12001.000180999999</v>
      </c>
      <c r="G6">
        <v>12118.999976999999</v>
      </c>
      <c r="H6">
        <v>12304.67871</v>
      </c>
      <c r="I6">
        <v>23591.480180999999</v>
      </c>
      <c r="J6">
        <v>0</v>
      </c>
      <c r="K6">
        <v>27290.720664</v>
      </c>
      <c r="L6">
        <v>40999.999913</v>
      </c>
      <c r="N6">
        <v>19690.899850999998</v>
      </c>
      <c r="O6">
        <v>2836.805038</v>
      </c>
      <c r="P6">
        <v>8240.2432050000007</v>
      </c>
      <c r="R6">
        <v>2431.5471750000002</v>
      </c>
      <c r="S6">
        <v>2598.8370799999998</v>
      </c>
      <c r="T6">
        <v>1455.348765</v>
      </c>
      <c r="U6">
        <v>13741.847335</v>
      </c>
      <c r="W6">
        <v>3041.6789180000001</v>
      </c>
      <c r="Y6">
        <v>16961.101805999999</v>
      </c>
      <c r="Z6">
        <v>9312.3227009999991</v>
      </c>
      <c r="AB6">
        <v>5682.482618</v>
      </c>
      <c r="AC6">
        <v>6736.58007</v>
      </c>
      <c r="AD6">
        <v>118298.37484999999</v>
      </c>
      <c r="AE6">
        <v>5410.6689059999999</v>
      </c>
      <c r="AF6">
        <v>9310.7889020000002</v>
      </c>
      <c r="AG6">
        <v>30815.213958</v>
      </c>
      <c r="AH6">
        <v>16613.281823000001</v>
      </c>
      <c r="AI6">
        <v>31496.181892000001</v>
      </c>
      <c r="AJ6">
        <v>1167.9640099999999</v>
      </c>
      <c r="AK6">
        <v>12398.674583</v>
      </c>
      <c r="AM6">
        <v>19241.763600999999</v>
      </c>
      <c r="AN6">
        <v>4948.9858759999997</v>
      </c>
      <c r="AO6">
        <v>21423.02464</v>
      </c>
      <c r="AP6">
        <v>5799.5456629999999</v>
      </c>
      <c r="AQ6">
        <v>3549.9824210000002</v>
      </c>
      <c r="AR6">
        <v>2527.2325470000001</v>
      </c>
    </row>
    <row r="7" spans="1:44" x14ac:dyDescent="0.25">
      <c r="A7" s="1">
        <v>9862</v>
      </c>
      <c r="B7">
        <v>15337.226327</v>
      </c>
      <c r="C7">
        <v>18856.834998999999</v>
      </c>
      <c r="E7">
        <v>26689.999538</v>
      </c>
      <c r="F7">
        <v>12001.000180999999</v>
      </c>
      <c r="G7">
        <v>12118.999976999999</v>
      </c>
      <c r="H7">
        <v>7776.6571210000002</v>
      </c>
      <c r="I7">
        <v>25816.399860000001</v>
      </c>
      <c r="J7">
        <v>0</v>
      </c>
      <c r="K7">
        <v>26440.990540999999</v>
      </c>
      <c r="L7">
        <v>40999.999913</v>
      </c>
      <c r="N7">
        <v>22924.799967999999</v>
      </c>
      <c r="O7">
        <v>2444.838655</v>
      </c>
      <c r="P7">
        <v>7101.674188</v>
      </c>
      <c r="R7">
        <v>2095.5759899999998</v>
      </c>
      <c r="S7">
        <v>2167.9676599999998</v>
      </c>
      <c r="T7">
        <v>1214.0618899999999</v>
      </c>
      <c r="U7">
        <v>9380.9283479999995</v>
      </c>
      <c r="W7">
        <v>2537.3893499999999</v>
      </c>
      <c r="Y7">
        <v>25426.004171</v>
      </c>
      <c r="Z7">
        <v>12681.106268</v>
      </c>
      <c r="AB7">
        <v>70858.874007000006</v>
      </c>
      <c r="AC7">
        <v>5755.4718059999996</v>
      </c>
      <c r="AD7">
        <v>115116.15801699999</v>
      </c>
      <c r="AE7">
        <v>7705.3048550000003</v>
      </c>
      <c r="AF7">
        <v>14654.545431</v>
      </c>
      <c r="AG7">
        <v>45272.548817000003</v>
      </c>
      <c r="AH7">
        <v>26900.658717999999</v>
      </c>
      <c r="AI7">
        <v>40798.372502999999</v>
      </c>
      <c r="AJ7">
        <v>1891.1978220000001</v>
      </c>
      <c r="AK7">
        <v>16787.969036999999</v>
      </c>
      <c r="AM7">
        <v>27906.815094000001</v>
      </c>
      <c r="AN7">
        <v>7462.0381589999997</v>
      </c>
      <c r="AO7">
        <v>32550.594956000001</v>
      </c>
      <c r="AP7">
        <v>9390.7755309999993</v>
      </c>
      <c r="AQ7">
        <v>5562.4284479999997</v>
      </c>
      <c r="AR7">
        <v>4092.1608059999999</v>
      </c>
    </row>
    <row r="8" spans="1:44" x14ac:dyDescent="0.25">
      <c r="A8" s="1">
        <v>10227</v>
      </c>
      <c r="B8">
        <v>26957.599590999998</v>
      </c>
      <c r="C8">
        <v>19150.307099000001</v>
      </c>
      <c r="E8">
        <v>31999.999680000001</v>
      </c>
      <c r="F8">
        <v>12001.000180999999</v>
      </c>
      <c r="G8">
        <v>12118.999976999999</v>
      </c>
      <c r="H8">
        <v>14119.447941</v>
      </c>
      <c r="I8">
        <v>30073.919886</v>
      </c>
      <c r="J8">
        <v>0</v>
      </c>
      <c r="K8">
        <v>30679.918467</v>
      </c>
      <c r="L8">
        <v>40999.999913</v>
      </c>
      <c r="N8">
        <v>29606.399749</v>
      </c>
      <c r="O8">
        <v>3369.2457880000002</v>
      </c>
      <c r="P8">
        <v>9786.856812</v>
      </c>
      <c r="R8">
        <v>2887.9249610000002</v>
      </c>
      <c r="S8">
        <v>2630.7393040000002</v>
      </c>
      <c r="T8">
        <v>1473.2140099999999</v>
      </c>
      <c r="U8">
        <v>18101.984732000001</v>
      </c>
      <c r="W8">
        <v>3079.0172819999998</v>
      </c>
      <c r="Y8">
        <v>48109.193815999999</v>
      </c>
      <c r="Z8">
        <v>22764.367203999998</v>
      </c>
      <c r="AB8">
        <v>16573.041830999999</v>
      </c>
      <c r="AC8">
        <v>8051.999984</v>
      </c>
      <c r="AD8">
        <v>172944.54491200001</v>
      </c>
      <c r="AE8">
        <v>11480.961367</v>
      </c>
      <c r="AF8">
        <v>22594.790138</v>
      </c>
      <c r="AG8">
        <v>79309.114375999998</v>
      </c>
      <c r="AH8">
        <v>44506.761945999999</v>
      </c>
      <c r="AI8">
        <v>68355.925401</v>
      </c>
      <c r="AJ8">
        <v>2897.4131539999998</v>
      </c>
      <c r="AK8">
        <v>26636.624498000001</v>
      </c>
      <c r="AM8">
        <v>44936.622506</v>
      </c>
      <c r="AN8">
        <v>13814.150787</v>
      </c>
      <c r="AO8">
        <v>59647.931118</v>
      </c>
      <c r="AP8">
        <v>18312.401116000001</v>
      </c>
      <c r="AQ8">
        <v>10084.115121000001</v>
      </c>
      <c r="AR8">
        <v>7979.8833299999997</v>
      </c>
    </row>
    <row r="9" spans="1:44" x14ac:dyDescent="0.25">
      <c r="A9" s="1">
        <v>10593</v>
      </c>
      <c r="B9">
        <v>26395.102180000002</v>
      </c>
      <c r="C9">
        <v>19191.235944</v>
      </c>
      <c r="E9">
        <v>31999.999672000002</v>
      </c>
      <c r="F9">
        <v>12001.000161</v>
      </c>
      <c r="G9">
        <v>12118.999959000001</v>
      </c>
      <c r="H9">
        <v>12986.080339</v>
      </c>
      <c r="I9">
        <v>37465.100044999999</v>
      </c>
      <c r="J9">
        <v>0</v>
      </c>
      <c r="K9">
        <v>30998.399941</v>
      </c>
      <c r="L9">
        <v>40999.999882999997</v>
      </c>
      <c r="N9">
        <v>46088.400474000002</v>
      </c>
      <c r="O9">
        <v>3022.0752750000001</v>
      </c>
      <c r="P9">
        <v>8778.4091329999992</v>
      </c>
      <c r="R9">
        <v>2590.3502360000002</v>
      </c>
      <c r="S9">
        <v>2639.7735790000002</v>
      </c>
      <c r="T9">
        <v>1478.2732040000001</v>
      </c>
      <c r="U9">
        <v>15011.661999</v>
      </c>
      <c r="W9">
        <v>3089.5909969999998</v>
      </c>
      <c r="Y9">
        <v>52658.386123999997</v>
      </c>
      <c r="Z9">
        <v>26864.705094000001</v>
      </c>
      <c r="AB9">
        <v>3199.9999680000001</v>
      </c>
      <c r="AC9">
        <v>7136.6467620000003</v>
      </c>
      <c r="AD9">
        <v>166807.349308</v>
      </c>
      <c r="AE9">
        <v>15920.582018999999</v>
      </c>
      <c r="AF9">
        <v>29141.467143000002</v>
      </c>
      <c r="AG9">
        <v>93050.305110000001</v>
      </c>
      <c r="AH9">
        <v>51427.310375000001</v>
      </c>
      <c r="AI9">
        <v>88103.916393000007</v>
      </c>
      <c r="AJ9">
        <v>3642.4048480000001</v>
      </c>
      <c r="AK9">
        <v>35502.311709000001</v>
      </c>
      <c r="AM9">
        <v>57303.259671</v>
      </c>
      <c r="AN9">
        <v>14872.549697</v>
      </c>
      <c r="AO9">
        <v>67150.163218000002</v>
      </c>
      <c r="AP9">
        <v>18921.256056999999</v>
      </c>
      <c r="AQ9">
        <v>10966.779216999999</v>
      </c>
      <c r="AR9">
        <v>8245.2000719999996</v>
      </c>
    </row>
    <row r="10" spans="1:44" x14ac:dyDescent="0.25">
      <c r="A10" s="1">
        <v>10958</v>
      </c>
      <c r="B10">
        <v>3270.2023949999998</v>
      </c>
      <c r="C10">
        <v>18575.914280000001</v>
      </c>
      <c r="E10">
        <v>26689.999538</v>
      </c>
      <c r="F10">
        <v>12001.000180999999</v>
      </c>
      <c r="G10">
        <v>12118.999976999999</v>
      </c>
      <c r="H10">
        <v>4004.3105850000002</v>
      </c>
      <c r="I10">
        <v>24037.500108</v>
      </c>
      <c r="J10">
        <v>0</v>
      </c>
      <c r="K10">
        <v>12642.471626</v>
      </c>
      <c r="L10">
        <v>40999.999913</v>
      </c>
      <c r="N10">
        <v>31655.899815000001</v>
      </c>
      <c r="O10">
        <v>1255.1395419999999</v>
      </c>
      <c r="P10">
        <v>3645.881527</v>
      </c>
      <c r="R10">
        <v>1075.833893</v>
      </c>
      <c r="S10">
        <v>1313.555938</v>
      </c>
      <c r="T10">
        <v>735.59132499999998</v>
      </c>
      <c r="U10">
        <v>4435.9063059999999</v>
      </c>
      <c r="W10">
        <v>1537.3858700000001</v>
      </c>
      <c r="Y10">
        <v>6884.0122540000002</v>
      </c>
      <c r="Z10">
        <v>3327.5251010000002</v>
      </c>
      <c r="AB10">
        <v>35233.470251999999</v>
      </c>
      <c r="AC10">
        <v>3133.9997229999999</v>
      </c>
      <c r="AD10">
        <v>54024.956403999997</v>
      </c>
      <c r="AE10">
        <v>2052.607207</v>
      </c>
      <c r="AF10">
        <v>4025.3598499999998</v>
      </c>
      <c r="AG10">
        <v>12181.101667000001</v>
      </c>
      <c r="AH10">
        <v>7448.4850329999999</v>
      </c>
      <c r="AI10">
        <v>10514.909661</v>
      </c>
      <c r="AJ10">
        <v>523.65108799999996</v>
      </c>
      <c r="AK10">
        <v>4396.4197329999997</v>
      </c>
      <c r="AM10">
        <v>7478.0393620000004</v>
      </c>
      <c r="AN10">
        <v>1947.6272750000001</v>
      </c>
      <c r="AO10">
        <v>8849.0464410000004</v>
      </c>
      <c r="AP10">
        <v>1645.216492</v>
      </c>
      <c r="AQ10">
        <v>1525.9356250000001</v>
      </c>
      <c r="AR10">
        <v>716.92594699999995</v>
      </c>
    </row>
    <row r="11" spans="1:44" x14ac:dyDescent="0.25">
      <c r="A11" s="1">
        <v>11323</v>
      </c>
      <c r="B11">
        <v>17205.480309999999</v>
      </c>
      <c r="C11">
        <v>18784.428931999999</v>
      </c>
      <c r="E11">
        <v>25804.999503999999</v>
      </c>
      <c r="F11">
        <v>12001.000180999999</v>
      </c>
      <c r="G11">
        <v>12118.999976999999</v>
      </c>
      <c r="H11">
        <v>7624.1206940000002</v>
      </c>
      <c r="I11">
        <v>22297.480459999999</v>
      </c>
      <c r="J11">
        <v>0</v>
      </c>
      <c r="K11">
        <v>23830.341447999999</v>
      </c>
      <c r="L11">
        <v>40999.999913</v>
      </c>
      <c r="N11">
        <v>19690.899763000001</v>
      </c>
      <c r="O11">
        <v>1926.6675319999999</v>
      </c>
      <c r="P11">
        <v>5596.5104499999998</v>
      </c>
      <c r="R11">
        <v>1651.4293130000001</v>
      </c>
      <c r="S11">
        <v>1076.419817</v>
      </c>
      <c r="T11">
        <v>602.79509700000006</v>
      </c>
      <c r="U11">
        <v>6319.6976050000003</v>
      </c>
      <c r="W11">
        <v>1259.841754</v>
      </c>
      <c r="Y11">
        <v>24800.177365</v>
      </c>
      <c r="Z11">
        <v>9410.3870470000002</v>
      </c>
      <c r="AB11">
        <v>77979.656566000005</v>
      </c>
      <c r="AC11">
        <v>4554.9921759999997</v>
      </c>
      <c r="AD11">
        <v>98006.744655999995</v>
      </c>
      <c r="AE11">
        <v>7493.6820639999996</v>
      </c>
      <c r="AF11">
        <v>14177.977112</v>
      </c>
      <c r="AG11">
        <v>48798.226260000003</v>
      </c>
      <c r="AH11">
        <v>29181.304875000002</v>
      </c>
      <c r="AI11">
        <v>31031.587229000001</v>
      </c>
      <c r="AJ11">
        <v>1737.9912340000001</v>
      </c>
      <c r="AK11">
        <v>10903.992410000001</v>
      </c>
      <c r="AM11">
        <v>28542.195109</v>
      </c>
      <c r="AN11">
        <v>8449.5256719999998</v>
      </c>
      <c r="AO11">
        <v>27518.304961000002</v>
      </c>
      <c r="AP11">
        <v>11196.169132999999</v>
      </c>
      <c r="AQ11">
        <v>5845.5553540000001</v>
      </c>
      <c r="AR11">
        <v>472.03263900000002</v>
      </c>
    </row>
    <row r="12" spans="1:44" x14ac:dyDescent="0.25">
      <c r="A12" s="1">
        <v>11688</v>
      </c>
      <c r="B12">
        <v>3025.000008</v>
      </c>
      <c r="C12">
        <v>18535.435676000001</v>
      </c>
      <c r="E12">
        <v>26689.999538</v>
      </c>
      <c r="F12">
        <v>12001.000180999999</v>
      </c>
      <c r="G12">
        <v>12118.999976999999</v>
      </c>
      <c r="H12">
        <v>3611.9145880000001</v>
      </c>
      <c r="I12">
        <v>16586.820294000001</v>
      </c>
      <c r="J12">
        <v>0</v>
      </c>
      <c r="K12">
        <v>11917.453504999999</v>
      </c>
      <c r="L12">
        <v>40999.999913</v>
      </c>
      <c r="N12">
        <v>15173.899927</v>
      </c>
      <c r="O12">
        <v>1252.3573699999999</v>
      </c>
      <c r="P12">
        <v>3637.799978</v>
      </c>
      <c r="R12">
        <v>1073.4491740000001</v>
      </c>
      <c r="S12">
        <v>169.23444699999999</v>
      </c>
      <c r="T12">
        <v>94.771289999999993</v>
      </c>
      <c r="U12">
        <v>4609.1210590000001</v>
      </c>
      <c r="W12">
        <v>198.07199700000001</v>
      </c>
      <c r="Y12">
        <v>1953.4882689999999</v>
      </c>
      <c r="Z12">
        <v>897.63460999999995</v>
      </c>
      <c r="AB12">
        <v>33691.357644000003</v>
      </c>
      <c r="AC12">
        <v>2998.0278800000001</v>
      </c>
      <c r="AD12">
        <v>45872.378981000002</v>
      </c>
      <c r="AE12">
        <v>567.68035399999997</v>
      </c>
      <c r="AF12">
        <v>1167.6935779999999</v>
      </c>
      <c r="AG12">
        <v>3423.0436110000001</v>
      </c>
      <c r="AH12">
        <v>2186.4439440000001</v>
      </c>
      <c r="AI12">
        <v>2749.8839090000001</v>
      </c>
      <c r="AJ12">
        <v>153.71363199999999</v>
      </c>
      <c r="AK12">
        <v>1182.004848</v>
      </c>
      <c r="AM12">
        <v>2087.8551689999999</v>
      </c>
      <c r="AN12">
        <v>575.89607899999999</v>
      </c>
      <c r="AO12">
        <v>2526.9991340000001</v>
      </c>
      <c r="AP12">
        <v>763.26770799999997</v>
      </c>
      <c r="AQ12">
        <v>441.79419100000001</v>
      </c>
      <c r="AR12">
        <v>332.60449899999998</v>
      </c>
    </row>
    <row r="13" spans="1:44" x14ac:dyDescent="0.25">
      <c r="A13" s="1">
        <v>12054</v>
      </c>
      <c r="B13">
        <v>4456.169887</v>
      </c>
      <c r="C13">
        <v>18531.656195</v>
      </c>
      <c r="E13">
        <v>26689.999530000001</v>
      </c>
      <c r="F13">
        <v>12001.000161</v>
      </c>
      <c r="G13">
        <v>12118.999959000001</v>
      </c>
      <c r="H13">
        <v>3568.7135210000001</v>
      </c>
      <c r="I13">
        <v>15655.900154999999</v>
      </c>
      <c r="J13">
        <v>0</v>
      </c>
      <c r="K13">
        <v>11750.497786</v>
      </c>
      <c r="L13">
        <v>40999.999882999997</v>
      </c>
      <c r="N13">
        <v>11939.999904</v>
      </c>
      <c r="O13">
        <v>1517.9349990000001</v>
      </c>
      <c r="P13">
        <v>4409.2397600000004</v>
      </c>
      <c r="R13">
        <v>1301.0871420000001</v>
      </c>
      <c r="S13">
        <v>2585.4941330000001</v>
      </c>
      <c r="T13">
        <v>1447.876714</v>
      </c>
      <c r="U13">
        <v>6468.3565019999996</v>
      </c>
      <c r="W13">
        <v>3026.0623329999999</v>
      </c>
      <c r="Y13">
        <v>8530.8055249999998</v>
      </c>
      <c r="Z13">
        <v>4051.249366</v>
      </c>
      <c r="AB13">
        <v>3200.0000500000001</v>
      </c>
      <c r="AC13">
        <v>3679.0874859999999</v>
      </c>
      <c r="AD13">
        <v>64023.205903000002</v>
      </c>
      <c r="AE13">
        <v>2520.698308</v>
      </c>
      <c r="AF13">
        <v>5027.7034549999998</v>
      </c>
      <c r="AG13">
        <v>15042.956190999999</v>
      </c>
      <c r="AH13">
        <v>9343.1438660000003</v>
      </c>
      <c r="AI13">
        <v>12667.560212</v>
      </c>
      <c r="AJ13">
        <v>656.85132299999998</v>
      </c>
      <c r="AK13">
        <v>5346.4614069999998</v>
      </c>
      <c r="AM13">
        <v>9213.9088539999993</v>
      </c>
      <c r="AN13">
        <v>2510.4868070000002</v>
      </c>
      <c r="AO13">
        <v>10990.551372</v>
      </c>
      <c r="AP13">
        <v>3261.6064879999999</v>
      </c>
      <c r="AQ13">
        <v>1904.577738</v>
      </c>
      <c r="AR13">
        <v>1421.2903409999999</v>
      </c>
    </row>
    <row r="14" spans="1:44" x14ac:dyDescent="0.25">
      <c r="A14" s="1">
        <v>12419</v>
      </c>
      <c r="B14">
        <v>6085.0316190000003</v>
      </c>
      <c r="C14">
        <v>18516.129337999999</v>
      </c>
      <c r="E14">
        <v>26689.999538</v>
      </c>
      <c r="F14">
        <v>12001.000180999999</v>
      </c>
      <c r="G14">
        <v>12118.999976999999</v>
      </c>
      <c r="H14">
        <v>3421.8976389999998</v>
      </c>
      <c r="I14">
        <v>15655.900186000001</v>
      </c>
      <c r="J14">
        <v>0</v>
      </c>
      <c r="K14">
        <v>11249.999852000001</v>
      </c>
      <c r="L14">
        <v>40999.999913</v>
      </c>
      <c r="N14">
        <v>11940.000061000001</v>
      </c>
      <c r="O14">
        <v>1481.0927360000001</v>
      </c>
      <c r="P14">
        <v>4302.2217579999997</v>
      </c>
      <c r="R14">
        <v>1269.5080599999999</v>
      </c>
      <c r="S14">
        <v>2109.8725570000001</v>
      </c>
      <c r="T14">
        <v>1181.528632</v>
      </c>
      <c r="U14">
        <v>6438.7025979999999</v>
      </c>
      <c r="W14">
        <v>2469.3948399999999</v>
      </c>
      <c r="Y14">
        <v>14636.088115</v>
      </c>
      <c r="Z14">
        <v>7286.4689060000001</v>
      </c>
      <c r="AB14">
        <v>3199.9999969999999</v>
      </c>
      <c r="AC14">
        <v>3506.2500070000001</v>
      </c>
      <c r="AD14">
        <v>69067.559659000006</v>
      </c>
      <c r="AE14">
        <v>4431.2476269999997</v>
      </c>
      <c r="AF14">
        <v>8442.8660180000006</v>
      </c>
      <c r="AG14">
        <v>26050.920225999998</v>
      </c>
      <c r="AH14">
        <v>15505.57771</v>
      </c>
      <c r="AI14">
        <v>23418.643281000001</v>
      </c>
      <c r="AJ14">
        <v>1090.0890919999999</v>
      </c>
      <c r="AK14">
        <v>9645.1494120000007</v>
      </c>
      <c r="AM14">
        <v>16054.434531999999</v>
      </c>
      <c r="AN14">
        <v>4295.8531080000002</v>
      </c>
      <c r="AO14">
        <v>18741.753148</v>
      </c>
      <c r="AP14">
        <v>5412.8561810000001</v>
      </c>
      <c r="AQ14">
        <v>3204.4140769999999</v>
      </c>
      <c r="AR14">
        <v>2358.7272170000001</v>
      </c>
    </row>
    <row r="15" spans="1:44" x14ac:dyDescent="0.25">
      <c r="A15" s="1">
        <v>12784</v>
      </c>
      <c r="B15">
        <v>5368.4903119999999</v>
      </c>
      <c r="C15">
        <v>18531.656212999998</v>
      </c>
      <c r="E15">
        <v>26689.999538</v>
      </c>
      <c r="F15">
        <v>12001.000180999999</v>
      </c>
      <c r="G15">
        <v>12118.999976999999</v>
      </c>
      <c r="H15">
        <v>3568.7135290000001</v>
      </c>
      <c r="I15">
        <v>14361.79269</v>
      </c>
      <c r="J15">
        <v>0</v>
      </c>
      <c r="K15">
        <v>11750.497794000001</v>
      </c>
      <c r="L15">
        <v>40999.999913</v>
      </c>
      <c r="N15">
        <v>11940.000061000001</v>
      </c>
      <c r="O15">
        <v>1180.65346</v>
      </c>
      <c r="P15">
        <v>3429.517194</v>
      </c>
      <c r="R15">
        <v>1011.98868</v>
      </c>
      <c r="S15">
        <v>852.95672000000002</v>
      </c>
      <c r="T15">
        <v>477.65576299999998</v>
      </c>
      <c r="U15">
        <v>4128.7883410000004</v>
      </c>
      <c r="W15">
        <v>998.30054500000006</v>
      </c>
      <c r="Y15">
        <v>12128.839572999999</v>
      </c>
      <c r="Z15">
        <v>6504.4866620000003</v>
      </c>
      <c r="AB15">
        <v>36449.999303999997</v>
      </c>
      <c r="AC15">
        <v>2922.9750210000002</v>
      </c>
      <c r="AD15">
        <v>57255.541342999997</v>
      </c>
      <c r="AE15">
        <v>3820.0653990000001</v>
      </c>
      <c r="AF15">
        <v>6742.4509209999997</v>
      </c>
      <c r="AG15">
        <v>21924.336873</v>
      </c>
      <c r="AH15">
        <v>12121.634527</v>
      </c>
      <c r="AI15">
        <v>21746.409424000001</v>
      </c>
      <c r="AJ15">
        <v>852.18765099999996</v>
      </c>
      <c r="AK15">
        <v>8648.6317180000005</v>
      </c>
      <c r="AM15">
        <v>13646.22869</v>
      </c>
      <c r="AN15">
        <v>3544.2249489999999</v>
      </c>
      <c r="AO15">
        <v>15372.282787</v>
      </c>
      <c r="AP15">
        <v>4231.552447</v>
      </c>
      <c r="AQ15">
        <v>2567.7110809999999</v>
      </c>
      <c r="AR15">
        <v>1843.957766</v>
      </c>
    </row>
    <row r="16" spans="1:44" x14ac:dyDescent="0.25">
      <c r="A16" s="1">
        <v>13149</v>
      </c>
      <c r="B16">
        <v>25031.460169999998</v>
      </c>
      <c r="C16">
        <v>18727.183091999999</v>
      </c>
      <c r="E16">
        <v>25804.999503999999</v>
      </c>
      <c r="F16">
        <v>12001.000180999999</v>
      </c>
      <c r="G16">
        <v>12118.999976999999</v>
      </c>
      <c r="H16">
        <v>7371.0495549999996</v>
      </c>
      <c r="I16">
        <v>26799.600189000001</v>
      </c>
      <c r="J16">
        <v>0</v>
      </c>
      <c r="K16">
        <v>21418.975856000001</v>
      </c>
      <c r="L16">
        <v>40999.999913</v>
      </c>
      <c r="N16">
        <v>27439.699936000001</v>
      </c>
      <c r="O16">
        <v>2268.135534</v>
      </c>
      <c r="P16">
        <v>6588.3936940000003</v>
      </c>
      <c r="R16">
        <v>1944.116172</v>
      </c>
      <c r="S16">
        <v>2596.2463229999998</v>
      </c>
      <c r="T16">
        <v>1453.8979409999999</v>
      </c>
      <c r="U16">
        <v>8676.3269180000007</v>
      </c>
      <c r="W16">
        <v>3038.6466959999998</v>
      </c>
      <c r="Y16">
        <v>52146.503833000002</v>
      </c>
      <c r="Z16">
        <v>17491.642618000002</v>
      </c>
      <c r="AB16">
        <v>3200.0000500000001</v>
      </c>
      <c r="AC16">
        <v>5344.3499590000001</v>
      </c>
      <c r="AD16">
        <v>126966.53635900001</v>
      </c>
      <c r="AE16">
        <v>10713.910226</v>
      </c>
      <c r="AF16">
        <v>23030.351535000002</v>
      </c>
      <c r="AG16">
        <v>80149.014536000002</v>
      </c>
      <c r="AH16">
        <v>37324.816389</v>
      </c>
      <c r="AI16">
        <v>51033.119306000001</v>
      </c>
      <c r="AJ16">
        <v>2131.7698789999999</v>
      </c>
      <c r="AK16">
        <v>19939.013053999999</v>
      </c>
      <c r="AM16">
        <v>43080.481634999996</v>
      </c>
      <c r="AN16">
        <v>12355.160594000001</v>
      </c>
      <c r="AO16">
        <v>61260.340149000003</v>
      </c>
      <c r="AP16">
        <v>20801.756794000001</v>
      </c>
      <c r="AQ16">
        <v>8413.837689</v>
      </c>
      <c r="AR16">
        <v>9323.6969059999992</v>
      </c>
    </row>
    <row r="17" spans="1:44" x14ac:dyDescent="0.25">
      <c r="A17" s="1">
        <v>13515</v>
      </c>
      <c r="B17">
        <v>25279.197899999999</v>
      </c>
      <c r="C17">
        <v>18957.466084</v>
      </c>
      <c r="E17">
        <v>31999.999672000002</v>
      </c>
      <c r="F17">
        <v>12001.000161</v>
      </c>
      <c r="G17">
        <v>12118.999959000001</v>
      </c>
      <c r="H17">
        <v>10009.247880999999</v>
      </c>
      <c r="I17">
        <v>34658.200254000003</v>
      </c>
      <c r="J17">
        <v>0</v>
      </c>
      <c r="K17">
        <v>30318.853873</v>
      </c>
      <c r="L17">
        <v>40999.999882999997</v>
      </c>
      <c r="N17">
        <v>40118.400379999999</v>
      </c>
      <c r="O17">
        <v>3047.3426089999998</v>
      </c>
      <c r="P17">
        <v>8851.8047229999993</v>
      </c>
      <c r="R17">
        <v>2612.007951</v>
      </c>
      <c r="S17">
        <v>2667.952033</v>
      </c>
      <c r="T17">
        <v>1494.053138</v>
      </c>
      <c r="U17">
        <v>14907.258701999999</v>
      </c>
      <c r="W17">
        <v>3122.5710589999999</v>
      </c>
      <c r="Y17">
        <v>44623.262987000002</v>
      </c>
      <c r="Z17">
        <v>19598.849461000002</v>
      </c>
      <c r="AB17">
        <v>3200.0000500000001</v>
      </c>
      <c r="AC17">
        <v>7361.9858190000004</v>
      </c>
      <c r="AD17">
        <v>159535.430892</v>
      </c>
      <c r="AE17">
        <v>10053.071459999999</v>
      </c>
      <c r="AF17">
        <v>21559.971474999998</v>
      </c>
      <c r="AG17">
        <v>72276.944132999997</v>
      </c>
      <c r="AH17">
        <v>43447.827138000001</v>
      </c>
      <c r="AI17">
        <v>55635.244201000001</v>
      </c>
      <c r="AJ17">
        <v>2827.2329800000002</v>
      </c>
      <c r="AK17">
        <v>22419.895559000001</v>
      </c>
      <c r="AM17">
        <v>40292.70966</v>
      </c>
      <c r="AN17">
        <v>12880.304184000001</v>
      </c>
      <c r="AO17">
        <v>55734.227145999997</v>
      </c>
      <c r="AP17">
        <v>17817.135558999998</v>
      </c>
      <c r="AQ17">
        <v>9632.3889959999997</v>
      </c>
      <c r="AR17">
        <v>7764.0640659999999</v>
      </c>
    </row>
    <row r="18" spans="1:44" x14ac:dyDescent="0.25">
      <c r="A18" s="1">
        <v>13880</v>
      </c>
      <c r="B18">
        <v>24783.075205000001</v>
      </c>
      <c r="C18">
        <v>19043.619020999999</v>
      </c>
      <c r="E18">
        <v>30529.999711</v>
      </c>
      <c r="F18">
        <v>12001.000180999999</v>
      </c>
      <c r="G18">
        <v>12118.999976999999</v>
      </c>
      <c r="H18">
        <v>11176.435541999999</v>
      </c>
      <c r="I18">
        <v>35898.200275000003</v>
      </c>
      <c r="J18">
        <v>0</v>
      </c>
      <c r="K18">
        <v>29486.226579999999</v>
      </c>
      <c r="L18">
        <v>40999.999913</v>
      </c>
      <c r="N18">
        <v>40118.400844999996</v>
      </c>
      <c r="O18">
        <v>3089.694974</v>
      </c>
      <c r="P18">
        <v>8974.8282569999992</v>
      </c>
      <c r="R18">
        <v>2648.3099769999999</v>
      </c>
      <c r="S18">
        <v>2649.2013710000001</v>
      </c>
      <c r="T18">
        <v>1483.552768</v>
      </c>
      <c r="U18">
        <v>16216.808709000001</v>
      </c>
      <c r="W18">
        <v>3100.6252850000001</v>
      </c>
      <c r="Y18">
        <v>53924.611521999999</v>
      </c>
      <c r="Z18">
        <v>22638.983431000001</v>
      </c>
      <c r="AB18">
        <v>3200.0000500000001</v>
      </c>
      <c r="AC18">
        <v>7307.0006009999997</v>
      </c>
      <c r="AD18">
        <v>170049.802964</v>
      </c>
      <c r="AE18">
        <v>12093.904476</v>
      </c>
      <c r="AF18">
        <v>24926.089085</v>
      </c>
      <c r="AG18">
        <v>101473.718784</v>
      </c>
      <c r="AH18">
        <v>42408.596138000001</v>
      </c>
      <c r="AI18">
        <v>86896.392705999999</v>
      </c>
      <c r="AJ18">
        <v>2935.6189909999998</v>
      </c>
      <c r="AK18">
        <v>35014.673131000003</v>
      </c>
      <c r="AM18">
        <v>46757.839349000002</v>
      </c>
      <c r="AN18">
        <v>16854.550372000002</v>
      </c>
      <c r="AO18">
        <v>66809.604800000001</v>
      </c>
      <c r="AP18">
        <v>22585.113410000002</v>
      </c>
      <c r="AQ18">
        <v>9986.1978940000008</v>
      </c>
      <c r="AR18">
        <v>23760.231861</v>
      </c>
    </row>
    <row r="19" spans="1:44" x14ac:dyDescent="0.25">
      <c r="A19" s="1">
        <v>14245</v>
      </c>
      <c r="B19">
        <v>27500.000394999999</v>
      </c>
      <c r="C19">
        <v>19186.407996000002</v>
      </c>
      <c r="E19">
        <v>31999.999680000001</v>
      </c>
      <c r="F19">
        <v>12001.000180999999</v>
      </c>
      <c r="G19">
        <v>12118.999976999999</v>
      </c>
      <c r="H19">
        <v>14219.210782</v>
      </c>
      <c r="I19">
        <v>36947.600306</v>
      </c>
      <c r="J19">
        <v>0</v>
      </c>
      <c r="K19">
        <v>30998.399952</v>
      </c>
      <c r="L19">
        <v>40999.999913</v>
      </c>
      <c r="N19">
        <v>43939.200242999999</v>
      </c>
      <c r="O19">
        <v>3465.000004</v>
      </c>
      <c r="P19">
        <v>10065.000013000001</v>
      </c>
      <c r="R19">
        <v>2970.000004</v>
      </c>
      <c r="S19">
        <v>2625.093296</v>
      </c>
      <c r="T19">
        <v>1470.052246</v>
      </c>
      <c r="U19">
        <v>19899.728137999999</v>
      </c>
      <c r="W19">
        <v>3072.4091939999998</v>
      </c>
      <c r="Y19">
        <v>77189.633136000004</v>
      </c>
      <c r="Z19">
        <v>36859.713652999999</v>
      </c>
      <c r="AB19">
        <v>3200.0000500000001</v>
      </c>
      <c r="AC19">
        <v>8250.0000359999995</v>
      </c>
      <c r="AD19">
        <v>215569.67821000001</v>
      </c>
      <c r="AE19">
        <v>20697.694861</v>
      </c>
      <c r="AF19">
        <v>42022.378968999998</v>
      </c>
      <c r="AG19">
        <v>152966.56945099999</v>
      </c>
      <c r="AH19">
        <v>59591.851455999997</v>
      </c>
      <c r="AI19">
        <v>110817.99284399999</v>
      </c>
      <c r="AJ19">
        <v>4351.1547650000002</v>
      </c>
      <c r="AK19">
        <v>44653.099475000003</v>
      </c>
      <c r="AM19">
        <v>73671.737380999999</v>
      </c>
      <c r="AN19">
        <v>22501.685251999999</v>
      </c>
      <c r="AO19">
        <v>99063.756963000007</v>
      </c>
      <c r="AP19">
        <v>28799.999351999999</v>
      </c>
      <c r="AQ19">
        <v>12790.822795</v>
      </c>
      <c r="AR19">
        <v>25570.524267000001</v>
      </c>
    </row>
    <row r="20" spans="1:44" x14ac:dyDescent="0.25">
      <c r="A20" s="1">
        <v>14610</v>
      </c>
      <c r="B20">
        <v>20471.722636999999</v>
      </c>
      <c r="C20">
        <v>18947.649784000001</v>
      </c>
      <c r="E20">
        <v>25804.999503999999</v>
      </c>
      <c r="F20">
        <v>12001.000180999999</v>
      </c>
      <c r="G20">
        <v>12118.999976999999</v>
      </c>
      <c r="H20">
        <v>10519.882605000001</v>
      </c>
      <c r="I20">
        <v>30794.48013</v>
      </c>
      <c r="J20">
        <v>0</v>
      </c>
      <c r="K20">
        <v>28548.399968999998</v>
      </c>
      <c r="L20">
        <v>40999.999913</v>
      </c>
      <c r="N20">
        <v>41078.400345000002</v>
      </c>
      <c r="O20">
        <v>2622.0757279999998</v>
      </c>
      <c r="P20">
        <v>7616.5056860000004</v>
      </c>
      <c r="R20">
        <v>2247.493481</v>
      </c>
      <c r="S20">
        <v>1906.145403</v>
      </c>
      <c r="T20">
        <v>1067.4414260000001</v>
      </c>
      <c r="U20">
        <v>10792.989151</v>
      </c>
      <c r="W20">
        <v>2230.9525800000001</v>
      </c>
      <c r="Y20">
        <v>35469.118902000002</v>
      </c>
      <c r="Z20">
        <v>20546.089897999998</v>
      </c>
      <c r="AB20">
        <v>67658.873957000003</v>
      </c>
      <c r="AC20">
        <v>6126.4975160000004</v>
      </c>
      <c r="AD20">
        <v>152148.994056</v>
      </c>
      <c r="AE20">
        <v>20529.324689000001</v>
      </c>
      <c r="AF20">
        <v>32300.246057</v>
      </c>
      <c r="AG20">
        <v>88675.890178999995</v>
      </c>
      <c r="AH20">
        <v>74751.395237000004</v>
      </c>
      <c r="AI20">
        <v>90854.205277000001</v>
      </c>
      <c r="AJ20">
        <v>4664.9377979999999</v>
      </c>
      <c r="AK20">
        <v>33175.294478999996</v>
      </c>
      <c r="AM20">
        <v>60151.534995000002</v>
      </c>
      <c r="AN20">
        <v>16266.476038000001</v>
      </c>
      <c r="AO20">
        <v>32635.908065</v>
      </c>
      <c r="AP20">
        <v>11074.135762</v>
      </c>
      <c r="AQ20">
        <v>11543.338491</v>
      </c>
      <c r="AR20">
        <v>282.51495199999999</v>
      </c>
    </row>
    <row r="21" spans="1:44" x14ac:dyDescent="0.25">
      <c r="A21" s="1">
        <v>14976</v>
      </c>
      <c r="B21">
        <v>20847.573766000001</v>
      </c>
      <c r="C21">
        <v>19147.206212000001</v>
      </c>
      <c r="E21">
        <v>31999.999672000002</v>
      </c>
      <c r="F21">
        <v>12001.000161</v>
      </c>
      <c r="G21">
        <v>12118.999959000001</v>
      </c>
      <c r="H21">
        <v>12638.387994000001</v>
      </c>
      <c r="I21">
        <v>30073.919938999999</v>
      </c>
      <c r="J21">
        <v>0</v>
      </c>
      <c r="K21">
        <v>30889.029492000001</v>
      </c>
      <c r="L21">
        <v>40999.999882999997</v>
      </c>
      <c r="N21">
        <v>29606.400293999999</v>
      </c>
      <c r="O21">
        <v>3121.133867</v>
      </c>
      <c r="P21">
        <v>9066.1507569999994</v>
      </c>
      <c r="R21">
        <v>2675.2576009999998</v>
      </c>
      <c r="S21">
        <v>2559.2963559999998</v>
      </c>
      <c r="T21">
        <v>1433.20596</v>
      </c>
      <c r="U21">
        <v>15441.432644</v>
      </c>
      <c r="W21">
        <v>2995.4004559999998</v>
      </c>
      <c r="Y21">
        <v>36951.286438000003</v>
      </c>
      <c r="Z21">
        <v>17648.52693</v>
      </c>
      <c r="AB21">
        <v>19769.520203</v>
      </c>
      <c r="AC21">
        <v>7443.2293840000002</v>
      </c>
      <c r="AD21">
        <v>153717.573603</v>
      </c>
      <c r="AE21">
        <v>9514.3727340000005</v>
      </c>
      <c r="AF21">
        <v>18399.528408999999</v>
      </c>
      <c r="AG21">
        <v>62525.920511999997</v>
      </c>
      <c r="AH21">
        <v>39803.060963999997</v>
      </c>
      <c r="AI21">
        <v>52651.269654999996</v>
      </c>
      <c r="AJ21">
        <v>2613.2810060000002</v>
      </c>
      <c r="AK21">
        <v>21215.782320999999</v>
      </c>
      <c r="AM21">
        <v>36433.704946999998</v>
      </c>
      <c r="AN21">
        <v>10889.516670999999</v>
      </c>
      <c r="AO21">
        <v>47313.073110999998</v>
      </c>
      <c r="AP21">
        <v>14614.076734</v>
      </c>
      <c r="AQ21">
        <v>8423.3914719999993</v>
      </c>
      <c r="AR21">
        <v>6368.2867900000001</v>
      </c>
    </row>
    <row r="22" spans="1:44" x14ac:dyDescent="0.25">
      <c r="A22" s="1">
        <v>15341</v>
      </c>
      <c r="B22">
        <v>26416.717041</v>
      </c>
      <c r="C22">
        <v>19193.548708999999</v>
      </c>
      <c r="E22">
        <v>31999.999680000001</v>
      </c>
      <c r="F22">
        <v>12001.000180999999</v>
      </c>
      <c r="G22">
        <v>12118.999976999999</v>
      </c>
      <c r="H22">
        <v>14908.445539</v>
      </c>
      <c r="I22">
        <v>37640.000516</v>
      </c>
      <c r="J22">
        <v>0</v>
      </c>
      <c r="K22">
        <v>30998.399952</v>
      </c>
      <c r="L22">
        <v>40999.999913</v>
      </c>
      <c r="N22">
        <v>47760.000087</v>
      </c>
      <c r="O22">
        <v>3439.0328330000002</v>
      </c>
      <c r="P22">
        <v>9989.5715629999995</v>
      </c>
      <c r="R22">
        <v>2947.742428</v>
      </c>
      <c r="S22">
        <v>2633.1293529999998</v>
      </c>
      <c r="T22">
        <v>1474.5524379999999</v>
      </c>
      <c r="U22">
        <v>19546.227722</v>
      </c>
      <c r="W22">
        <v>3081.8145949999998</v>
      </c>
      <c r="Y22">
        <v>72827.025175000002</v>
      </c>
      <c r="Z22">
        <v>29997.775076000002</v>
      </c>
      <c r="AB22">
        <v>3199.9999389999998</v>
      </c>
      <c r="AC22">
        <v>8196.305241</v>
      </c>
      <c r="AD22">
        <v>196382.21897300001</v>
      </c>
      <c r="AE22">
        <v>15580.666295999999</v>
      </c>
      <c r="AF22">
        <v>35872.819847999999</v>
      </c>
      <c r="AG22">
        <v>124294.617424</v>
      </c>
      <c r="AH22">
        <v>40986.736859999997</v>
      </c>
      <c r="AI22">
        <v>98870.659031000003</v>
      </c>
      <c r="AJ22">
        <v>2498.199552</v>
      </c>
      <c r="AK22">
        <v>39842.328771</v>
      </c>
      <c r="AM22">
        <v>58270.442935999999</v>
      </c>
      <c r="AN22">
        <v>18323.012702</v>
      </c>
      <c r="AO22">
        <v>95173.519381000006</v>
      </c>
      <c r="AP22">
        <v>30051.214942999999</v>
      </c>
      <c r="AQ22">
        <v>17843.736783</v>
      </c>
      <c r="AR22">
        <v>21418.363686000001</v>
      </c>
    </row>
    <row r="23" spans="1:44" x14ac:dyDescent="0.25">
      <c r="A23" s="1">
        <v>15706</v>
      </c>
      <c r="B23">
        <v>27296.341110000001</v>
      </c>
      <c r="C23">
        <v>19193.548708999999</v>
      </c>
      <c r="E23">
        <v>31999.999680000001</v>
      </c>
      <c r="F23">
        <v>12001.000180999999</v>
      </c>
      <c r="G23">
        <v>12118.999976999999</v>
      </c>
      <c r="H23">
        <v>14000.83936</v>
      </c>
      <c r="I23">
        <v>37640.000516</v>
      </c>
      <c r="J23">
        <v>0</v>
      </c>
      <c r="K23">
        <v>30998.399952</v>
      </c>
      <c r="L23">
        <v>40999.999913</v>
      </c>
      <c r="N23">
        <v>47760.000087</v>
      </c>
      <c r="O23">
        <v>3465.000004</v>
      </c>
      <c r="P23">
        <v>10065.000013000001</v>
      </c>
      <c r="R23">
        <v>2970.000004</v>
      </c>
      <c r="S23">
        <v>2678.6666839999998</v>
      </c>
      <c r="T23">
        <v>1500.053343</v>
      </c>
      <c r="U23">
        <v>19976.333912999999</v>
      </c>
      <c r="W23">
        <v>3135.1114870000001</v>
      </c>
      <c r="Y23">
        <v>64922.851515000002</v>
      </c>
      <c r="Z23">
        <v>35970.348438000001</v>
      </c>
      <c r="AB23">
        <v>3199.9999389999998</v>
      </c>
      <c r="AC23">
        <v>8250.0000359999995</v>
      </c>
      <c r="AD23">
        <v>204932.596273</v>
      </c>
      <c r="AE23">
        <v>21902.877992000002</v>
      </c>
      <c r="AF23">
        <v>38782.166978000001</v>
      </c>
      <c r="AG23">
        <v>122107.661844</v>
      </c>
      <c r="AH23">
        <v>73087.847588000004</v>
      </c>
      <c r="AI23">
        <v>121211.702316</v>
      </c>
      <c r="AJ23">
        <v>5114.5052020000003</v>
      </c>
      <c r="AK23">
        <v>48844.597682</v>
      </c>
      <c r="AM23">
        <v>77565.947291000004</v>
      </c>
      <c r="AN23">
        <v>20411.855046000001</v>
      </c>
      <c r="AO23">
        <v>82486.858349999995</v>
      </c>
      <c r="AP23">
        <v>22548.795286</v>
      </c>
      <c r="AQ23">
        <v>14762.837506</v>
      </c>
      <c r="AR23">
        <v>9825.9507369999992</v>
      </c>
    </row>
    <row r="24" spans="1:44" x14ac:dyDescent="0.25">
      <c r="A24" s="1">
        <v>16071</v>
      </c>
      <c r="B24">
        <v>27361.695273000001</v>
      </c>
      <c r="C24">
        <v>19193.548708999999</v>
      </c>
      <c r="E24">
        <v>31999.999680000001</v>
      </c>
      <c r="F24">
        <v>12001.000180999999</v>
      </c>
      <c r="G24">
        <v>12118.999976999999</v>
      </c>
      <c r="H24">
        <v>13737.370267</v>
      </c>
      <c r="I24">
        <v>36400.000672000002</v>
      </c>
      <c r="J24">
        <v>0</v>
      </c>
      <c r="K24">
        <v>30998.399952</v>
      </c>
      <c r="L24">
        <v>40999.999913</v>
      </c>
      <c r="N24">
        <v>47760.000087</v>
      </c>
      <c r="O24">
        <v>3465.000004</v>
      </c>
      <c r="P24">
        <v>10065.000013000001</v>
      </c>
      <c r="R24">
        <v>2970.000004</v>
      </c>
      <c r="S24">
        <v>2718.846673</v>
      </c>
      <c r="T24">
        <v>1522.5541370000001</v>
      </c>
      <c r="U24">
        <v>19991.101304</v>
      </c>
      <c r="W24">
        <v>3182.1381470000001</v>
      </c>
      <c r="Y24">
        <v>70482.657634999996</v>
      </c>
      <c r="Z24">
        <v>35335.533292</v>
      </c>
      <c r="AB24">
        <v>3199.9999389999998</v>
      </c>
      <c r="AC24">
        <v>8250.0000359999995</v>
      </c>
      <c r="AD24">
        <v>203472.81748100001</v>
      </c>
      <c r="AE24">
        <v>20956.827870000001</v>
      </c>
      <c r="AF24">
        <v>34317.271706</v>
      </c>
      <c r="AG24">
        <v>129882.874198</v>
      </c>
      <c r="AH24">
        <v>67649.136291000003</v>
      </c>
      <c r="AI24">
        <v>114734.632155</v>
      </c>
      <c r="AJ24">
        <v>4776.9785410000004</v>
      </c>
      <c r="AK24">
        <v>46233.370711000003</v>
      </c>
      <c r="AM24">
        <v>75137.582815999995</v>
      </c>
      <c r="AN24">
        <v>19679.328836000001</v>
      </c>
      <c r="AO24">
        <v>89814.125901000007</v>
      </c>
      <c r="AP24">
        <v>25576.444125000002</v>
      </c>
      <c r="AQ24">
        <v>14557.994287</v>
      </c>
      <c r="AR24">
        <v>11145.290971</v>
      </c>
    </row>
    <row r="25" spans="1:44" x14ac:dyDescent="0.25">
      <c r="A25" s="1">
        <v>16437</v>
      </c>
      <c r="B25">
        <v>13042.802281</v>
      </c>
      <c r="C25">
        <v>18968.707902999999</v>
      </c>
      <c r="E25">
        <v>25804.999496</v>
      </c>
      <c r="F25">
        <v>12001.000161</v>
      </c>
      <c r="G25">
        <v>12118.999959000001</v>
      </c>
      <c r="H25">
        <v>10259.376582000001</v>
      </c>
      <c r="I25">
        <v>32088.480237</v>
      </c>
      <c r="J25">
        <v>0</v>
      </c>
      <c r="K25">
        <v>28548.399958000002</v>
      </c>
      <c r="L25">
        <v>40999.999882999997</v>
      </c>
      <c r="N25">
        <v>41078.400728000001</v>
      </c>
      <c r="O25">
        <v>2589.940642</v>
      </c>
      <c r="P25">
        <v>7523.1609129999997</v>
      </c>
      <c r="R25">
        <v>2219.949122</v>
      </c>
      <c r="S25">
        <v>2429.0519129999998</v>
      </c>
      <c r="T25">
        <v>1360.2690720000001</v>
      </c>
      <c r="U25">
        <v>11086.249914</v>
      </c>
      <c r="W25">
        <v>2842.9623590000001</v>
      </c>
      <c r="Y25">
        <v>23761.570377</v>
      </c>
      <c r="Z25">
        <v>11302.731309999999</v>
      </c>
      <c r="AB25">
        <v>3199.9999969999999</v>
      </c>
      <c r="AC25">
        <v>6066.9725559999997</v>
      </c>
      <c r="AD25">
        <v>117813.935933</v>
      </c>
      <c r="AE25">
        <v>7026.9656080000004</v>
      </c>
      <c r="AF25">
        <v>13994.032370999999</v>
      </c>
      <c r="AG25">
        <v>41913.707471000002</v>
      </c>
      <c r="AH25">
        <v>25995.451852999999</v>
      </c>
      <c r="AI25">
        <v>35376.580936999999</v>
      </c>
      <c r="AJ25">
        <v>1827.559088</v>
      </c>
      <c r="AK25">
        <v>14917.892061</v>
      </c>
      <c r="AM25">
        <v>25677.806786000001</v>
      </c>
      <c r="AN25">
        <v>6813.7013939999997</v>
      </c>
      <c r="AO25">
        <v>30606.620369</v>
      </c>
      <c r="AP25">
        <v>6841.5664690000003</v>
      </c>
      <c r="AQ25">
        <v>5301.508339</v>
      </c>
      <c r="AR25">
        <v>2981.3076959999999</v>
      </c>
    </row>
    <row r="26" spans="1:44" x14ac:dyDescent="0.25">
      <c r="A26" s="1">
        <v>16802</v>
      </c>
      <c r="B26">
        <v>25527.509838999998</v>
      </c>
      <c r="C26">
        <v>19018.499778000001</v>
      </c>
      <c r="E26">
        <v>31999.999680000001</v>
      </c>
      <c r="F26">
        <v>12001.000180999999</v>
      </c>
      <c r="G26">
        <v>12118.999976999999</v>
      </c>
      <c r="H26">
        <v>12324.381724000001</v>
      </c>
      <c r="I26">
        <v>26490.520446999999</v>
      </c>
      <c r="J26">
        <v>0</v>
      </c>
      <c r="K26">
        <v>30319.324022000001</v>
      </c>
      <c r="L26">
        <v>40999.999913</v>
      </c>
      <c r="N26">
        <v>25785.600060000001</v>
      </c>
      <c r="O26">
        <v>3135.5587489999998</v>
      </c>
      <c r="P26">
        <v>9108.0516029999999</v>
      </c>
      <c r="R26">
        <v>2687.6217849999998</v>
      </c>
      <c r="S26">
        <v>2653.495073</v>
      </c>
      <c r="T26">
        <v>1485.9572410000001</v>
      </c>
      <c r="U26">
        <v>15904.430988</v>
      </c>
      <c r="W26">
        <v>3105.6506330000002</v>
      </c>
      <c r="Y26">
        <v>47942.022631</v>
      </c>
      <c r="Z26">
        <v>22149.189352000001</v>
      </c>
      <c r="AB26">
        <v>3200.0000500000001</v>
      </c>
      <c r="AC26">
        <v>7357.8690740000002</v>
      </c>
      <c r="AD26">
        <v>162522.748861</v>
      </c>
      <c r="AE26">
        <v>11206.21811</v>
      </c>
      <c r="AF26">
        <v>22591.448122999998</v>
      </c>
      <c r="AG26">
        <v>78379.796568999998</v>
      </c>
      <c r="AH26">
        <v>44461.934456000003</v>
      </c>
      <c r="AI26">
        <v>65527.297751999999</v>
      </c>
      <c r="AJ26">
        <v>2898.7970310000001</v>
      </c>
      <c r="AK26">
        <v>25743.546756</v>
      </c>
      <c r="AM26">
        <v>44151.343962999999</v>
      </c>
      <c r="AN26">
        <v>13669.699934</v>
      </c>
      <c r="AO26">
        <v>59594.940246999999</v>
      </c>
      <c r="AP26">
        <v>18500.119728999998</v>
      </c>
      <c r="AQ26">
        <v>10057.382061</v>
      </c>
      <c r="AR26">
        <v>8061.6840949999996</v>
      </c>
    </row>
    <row r="27" spans="1:44" x14ac:dyDescent="0.25">
      <c r="A27" s="1">
        <v>17167</v>
      </c>
      <c r="B27">
        <v>26242.640378</v>
      </c>
      <c r="C27">
        <v>19169.992827999999</v>
      </c>
      <c r="E27">
        <v>31999.999680000001</v>
      </c>
      <c r="F27">
        <v>12001.000180999999</v>
      </c>
      <c r="G27">
        <v>12118.999976999999</v>
      </c>
      <c r="H27">
        <v>13816.87046</v>
      </c>
      <c r="I27">
        <v>33837.615451999998</v>
      </c>
      <c r="J27">
        <v>0</v>
      </c>
      <c r="K27">
        <v>30998.399952</v>
      </c>
      <c r="L27">
        <v>40999.999913</v>
      </c>
      <c r="N27">
        <v>40118.400217000002</v>
      </c>
      <c r="O27">
        <v>3421.2259130000002</v>
      </c>
      <c r="P27">
        <v>9937.8467010000004</v>
      </c>
      <c r="R27">
        <v>2932.4793540000001</v>
      </c>
      <c r="S27">
        <v>2611.7000079999998</v>
      </c>
      <c r="T27">
        <v>1462.5520039999999</v>
      </c>
      <c r="U27">
        <v>17606.416326999999</v>
      </c>
      <c r="W27">
        <v>3056.7336890000001</v>
      </c>
      <c r="Y27">
        <v>47129.117408999999</v>
      </c>
      <c r="Z27">
        <v>25050.993655999999</v>
      </c>
      <c r="AB27">
        <v>3200.0000850000001</v>
      </c>
      <c r="AC27">
        <v>8098.9154330000001</v>
      </c>
      <c r="AD27">
        <v>176364.47747700001</v>
      </c>
      <c r="AE27">
        <v>15084.82173</v>
      </c>
      <c r="AF27">
        <v>27089.082376999999</v>
      </c>
      <c r="AG27">
        <v>85833.633893999999</v>
      </c>
      <c r="AH27">
        <v>49078.443788999997</v>
      </c>
      <c r="AI27">
        <v>83479.405218999993</v>
      </c>
      <c r="AJ27">
        <v>3465.2777609999998</v>
      </c>
      <c r="AK27">
        <v>33639.155415000001</v>
      </c>
      <c r="AM27">
        <v>53751.813627000003</v>
      </c>
      <c r="AN27">
        <v>13954.166796</v>
      </c>
      <c r="AO27">
        <v>60044.839902</v>
      </c>
      <c r="AP27">
        <v>16626.839863000001</v>
      </c>
      <c r="AQ27">
        <v>10194.081461</v>
      </c>
      <c r="AR27">
        <v>7245.37655</v>
      </c>
    </row>
    <row r="28" spans="1:44" x14ac:dyDescent="0.25">
      <c r="A28" s="1">
        <v>17532</v>
      </c>
      <c r="B28">
        <v>14179.091517000001</v>
      </c>
      <c r="C28">
        <v>18820.002133000002</v>
      </c>
      <c r="E28">
        <v>25804.999503999999</v>
      </c>
      <c r="F28">
        <v>12001.000180999999</v>
      </c>
      <c r="G28">
        <v>12118.999976999999</v>
      </c>
      <c r="H28">
        <v>8515.8966720000008</v>
      </c>
      <c r="I28">
        <v>23460.499991000001</v>
      </c>
      <c r="J28">
        <v>0</v>
      </c>
      <c r="K28">
        <v>23764.291333000001</v>
      </c>
      <c r="L28">
        <v>40999.999913</v>
      </c>
      <c r="N28">
        <v>29506.699866999999</v>
      </c>
      <c r="O28">
        <v>2337.5695110000001</v>
      </c>
      <c r="P28">
        <v>6790.082864</v>
      </c>
      <c r="R28">
        <v>2003.6310089999999</v>
      </c>
      <c r="S28">
        <v>2188.8813930000001</v>
      </c>
      <c r="T28">
        <v>1225.77358</v>
      </c>
      <c r="U28">
        <v>8623.6450710000008</v>
      </c>
      <c r="W28">
        <v>2561.8667829999999</v>
      </c>
      <c r="Y28">
        <v>24467.056784</v>
      </c>
      <c r="Z28">
        <v>14948.413076999999</v>
      </c>
      <c r="AB28">
        <v>3200.0000500000001</v>
      </c>
      <c r="AC28">
        <v>5523.9500109999999</v>
      </c>
      <c r="AD28">
        <v>113097.618961</v>
      </c>
      <c r="AE28">
        <v>10737.287065</v>
      </c>
      <c r="AF28">
        <v>17837.991760000001</v>
      </c>
      <c r="AG28">
        <v>50455.022057000002</v>
      </c>
      <c r="AH28">
        <v>28982.549099</v>
      </c>
      <c r="AI28">
        <v>55495.957752000002</v>
      </c>
      <c r="AJ28">
        <v>2249.6582520000002</v>
      </c>
      <c r="AK28">
        <v>23102.165502</v>
      </c>
      <c r="AM28">
        <v>35153.889492000002</v>
      </c>
      <c r="AN28">
        <v>7372.9688829999996</v>
      </c>
      <c r="AO28">
        <v>32532.013257999999</v>
      </c>
      <c r="AP28">
        <v>7644.6801070000001</v>
      </c>
      <c r="AQ28">
        <v>5423.6543760000004</v>
      </c>
      <c r="AR28">
        <v>3331.2753889999999</v>
      </c>
    </row>
    <row r="29" spans="1:44" x14ac:dyDescent="0.25">
      <c r="A29" s="1">
        <v>17898</v>
      </c>
      <c r="B29">
        <v>22686.544731000002</v>
      </c>
      <c r="C29">
        <v>19092.441307000001</v>
      </c>
      <c r="E29">
        <v>25804.999496</v>
      </c>
      <c r="F29">
        <v>12001.000161</v>
      </c>
      <c r="G29">
        <v>12118.999959000001</v>
      </c>
      <c r="H29">
        <v>12162.004656999999</v>
      </c>
      <c r="I29">
        <v>24265.599815000001</v>
      </c>
      <c r="J29">
        <v>0</v>
      </c>
      <c r="K29">
        <v>27871.753816</v>
      </c>
      <c r="L29">
        <v>40999.999882999997</v>
      </c>
      <c r="N29">
        <v>22551.699693999999</v>
      </c>
      <c r="O29">
        <v>2519.340874</v>
      </c>
      <c r="P29">
        <v>7318.0853950000001</v>
      </c>
      <c r="R29">
        <v>2159.4350340000001</v>
      </c>
      <c r="S29">
        <v>1758.377532</v>
      </c>
      <c r="T29">
        <v>984.691418</v>
      </c>
      <c r="U29">
        <v>11545.529884</v>
      </c>
      <c r="W29">
        <v>2058.0050630000001</v>
      </c>
      <c r="Y29">
        <v>43335.111478999999</v>
      </c>
      <c r="Z29">
        <v>20385.523533</v>
      </c>
      <c r="AB29">
        <v>3200.0000500000001</v>
      </c>
      <c r="AC29">
        <v>5946.6326449999997</v>
      </c>
      <c r="AD29">
        <v>137021.39973199999</v>
      </c>
      <c r="AE29">
        <v>10299.921823999999</v>
      </c>
      <c r="AF29">
        <v>20430.973169000001</v>
      </c>
      <c r="AG29">
        <v>71381.740642999997</v>
      </c>
      <c r="AH29">
        <v>40407.729975000002</v>
      </c>
      <c r="AI29">
        <v>60923.957012999999</v>
      </c>
      <c r="AJ29">
        <v>2629.4079980000001</v>
      </c>
      <c r="AK29">
        <v>23810.807444999999</v>
      </c>
      <c r="AM29">
        <v>40398.530821</v>
      </c>
      <c r="AN29">
        <v>12475.426589999999</v>
      </c>
      <c r="AO29">
        <v>53758.877357999998</v>
      </c>
      <c r="AP29">
        <v>16570.449163000001</v>
      </c>
      <c r="AQ29">
        <v>9125.6262409999999</v>
      </c>
      <c r="AR29">
        <v>7220.803328</v>
      </c>
    </row>
    <row r="30" spans="1:44" x14ac:dyDescent="0.25">
      <c r="A30" s="1">
        <v>18263</v>
      </c>
      <c r="B30">
        <v>5569.6657050000003</v>
      </c>
      <c r="C30">
        <v>19156.807812999999</v>
      </c>
      <c r="E30">
        <v>25804.999503999999</v>
      </c>
      <c r="F30">
        <v>12001.000180999999</v>
      </c>
      <c r="G30">
        <v>12118.999976999999</v>
      </c>
      <c r="H30">
        <v>12699.852215999999</v>
      </c>
      <c r="I30">
        <v>30102.080239999999</v>
      </c>
      <c r="J30">
        <v>0</v>
      </c>
      <c r="K30">
        <v>28548.399968999998</v>
      </c>
      <c r="L30">
        <v>40999.999913</v>
      </c>
      <c r="N30">
        <v>37257.600034000003</v>
      </c>
      <c r="O30">
        <v>2545.6963740000001</v>
      </c>
      <c r="P30">
        <v>7394.6418489999996</v>
      </c>
      <c r="R30">
        <v>2182.0254639999998</v>
      </c>
      <c r="S30">
        <v>1865.0663099999999</v>
      </c>
      <c r="T30">
        <v>1044.437134</v>
      </c>
      <c r="U30">
        <v>11110.111370000001</v>
      </c>
      <c r="W30">
        <v>2182.8736090000002</v>
      </c>
      <c r="Y30">
        <v>18413.713769999998</v>
      </c>
      <c r="Z30">
        <v>12154.313056000001</v>
      </c>
      <c r="AB30">
        <v>3200.0000500000001</v>
      </c>
      <c r="AC30">
        <v>5968.7344460000004</v>
      </c>
      <c r="AD30">
        <v>111834.541789</v>
      </c>
      <c r="AE30">
        <v>8965.8949130000001</v>
      </c>
      <c r="AF30">
        <v>14208.722437</v>
      </c>
      <c r="AG30">
        <v>39822.203740999998</v>
      </c>
      <c r="AH30">
        <v>22201.919467</v>
      </c>
      <c r="AI30">
        <v>46903.388236999999</v>
      </c>
      <c r="AJ30">
        <v>1772.240043</v>
      </c>
      <c r="AK30">
        <v>19411.303970000001</v>
      </c>
      <c r="AM30">
        <v>28653.642523999999</v>
      </c>
      <c r="AN30">
        <v>5587.8770439999998</v>
      </c>
      <c r="AO30">
        <v>24698.521604000001</v>
      </c>
      <c r="AP30">
        <v>5286.0103220000001</v>
      </c>
      <c r="AQ30">
        <v>4055.0232919999999</v>
      </c>
      <c r="AR30">
        <v>2303.4523720000002</v>
      </c>
    </row>
    <row r="31" spans="1:44" x14ac:dyDescent="0.25">
      <c r="A31" s="1">
        <v>18628</v>
      </c>
      <c r="B31">
        <v>15891.845461999999</v>
      </c>
      <c r="C31">
        <v>18972.915755000002</v>
      </c>
      <c r="E31">
        <v>25804.999503999999</v>
      </c>
      <c r="F31">
        <v>12001.000180999999</v>
      </c>
      <c r="G31">
        <v>12118.999976999999</v>
      </c>
      <c r="H31">
        <v>11323.505207</v>
      </c>
      <c r="I31">
        <v>28350.400188</v>
      </c>
      <c r="J31">
        <v>0</v>
      </c>
      <c r="K31">
        <v>28548.399968999998</v>
      </c>
      <c r="L31">
        <v>40999.999913</v>
      </c>
      <c r="N31">
        <v>22924.799864000001</v>
      </c>
      <c r="O31">
        <v>2543.3788989999998</v>
      </c>
      <c r="P31">
        <v>7387.9101369999998</v>
      </c>
      <c r="R31">
        <v>2180.039057</v>
      </c>
      <c r="S31">
        <v>2185.1582779999999</v>
      </c>
      <c r="T31">
        <v>1223.688635</v>
      </c>
      <c r="U31">
        <v>11514.666411</v>
      </c>
      <c r="W31">
        <v>2557.5092479999998</v>
      </c>
      <c r="Y31">
        <v>26280.234971000002</v>
      </c>
      <c r="Z31">
        <v>13044.90914</v>
      </c>
      <c r="AB31">
        <v>3200.0000500000001</v>
      </c>
      <c r="AC31">
        <v>5963.7074000000002</v>
      </c>
      <c r="AD31">
        <v>119173.161819</v>
      </c>
      <c r="AE31">
        <v>7816.4942570000003</v>
      </c>
      <c r="AF31">
        <v>14884.723128</v>
      </c>
      <c r="AG31">
        <v>46507.663562000002</v>
      </c>
      <c r="AH31">
        <v>27856.145810999999</v>
      </c>
      <c r="AI31">
        <v>41614.163966</v>
      </c>
      <c r="AJ31">
        <v>1941.8891020000001</v>
      </c>
      <c r="AK31">
        <v>17078.78743</v>
      </c>
      <c r="AM31">
        <v>28482.428469999999</v>
      </c>
      <c r="AN31">
        <v>7716.5036909999999</v>
      </c>
      <c r="AO31">
        <v>33642.380986999997</v>
      </c>
      <c r="AP31">
        <v>9788.4042430000009</v>
      </c>
      <c r="AQ31">
        <v>5778.1853259999998</v>
      </c>
      <c r="AR31">
        <v>4265.4330449999998</v>
      </c>
    </row>
    <row r="32" spans="1:44" x14ac:dyDescent="0.25">
      <c r="A32" s="1">
        <v>18993</v>
      </c>
      <c r="B32">
        <v>27500.000394999999</v>
      </c>
      <c r="C32">
        <v>19165.882039</v>
      </c>
      <c r="E32">
        <v>31999.999680000001</v>
      </c>
      <c r="F32">
        <v>12001.000180999999</v>
      </c>
      <c r="G32">
        <v>12118.999976999999</v>
      </c>
      <c r="H32">
        <v>13794.466893999999</v>
      </c>
      <c r="I32">
        <v>30073.920195999999</v>
      </c>
      <c r="J32">
        <v>0</v>
      </c>
      <c r="K32">
        <v>30998.399952</v>
      </c>
      <c r="L32">
        <v>40999.999913</v>
      </c>
      <c r="N32">
        <v>29606.400164999999</v>
      </c>
      <c r="O32">
        <v>3369.2457880000002</v>
      </c>
      <c r="P32">
        <v>9786.856812</v>
      </c>
      <c r="R32">
        <v>2887.9249610000002</v>
      </c>
      <c r="S32">
        <v>2662.065967</v>
      </c>
      <c r="T32">
        <v>1490.7569410000001</v>
      </c>
      <c r="U32">
        <v>18168.609595000002</v>
      </c>
      <c r="W32">
        <v>3115.6820080000002</v>
      </c>
      <c r="Y32">
        <v>60922.220599</v>
      </c>
      <c r="Z32">
        <v>25022.521467999999</v>
      </c>
      <c r="AB32">
        <v>3199.9999389999998</v>
      </c>
      <c r="AC32">
        <v>8051.999984</v>
      </c>
      <c r="AD32">
        <v>172134.877717</v>
      </c>
      <c r="AE32">
        <v>11557.409946</v>
      </c>
      <c r="AF32">
        <v>25997.450290000001</v>
      </c>
      <c r="AG32">
        <v>85523.737353999997</v>
      </c>
      <c r="AH32">
        <v>33333.468786999998</v>
      </c>
      <c r="AI32">
        <v>66423.083262</v>
      </c>
      <c r="AJ32">
        <v>2390.160421</v>
      </c>
      <c r="AK32">
        <v>26064.045064999998</v>
      </c>
      <c r="AM32">
        <v>45337.182410000001</v>
      </c>
      <c r="AN32">
        <v>12034.729944000001</v>
      </c>
      <c r="AO32">
        <v>75727.030085000006</v>
      </c>
      <c r="AP32">
        <v>23488.26311</v>
      </c>
      <c r="AQ32">
        <v>9409.0559589999993</v>
      </c>
      <c r="AR32">
        <v>10235.337058999999</v>
      </c>
    </row>
    <row r="33" spans="1:44" x14ac:dyDescent="0.25">
      <c r="A33" s="1">
        <v>19359</v>
      </c>
      <c r="B33">
        <v>27500.000371999999</v>
      </c>
      <c r="C33">
        <v>19193.548686999999</v>
      </c>
      <c r="E33">
        <v>31999.999672000002</v>
      </c>
      <c r="F33">
        <v>12001.000161</v>
      </c>
      <c r="G33">
        <v>12118.999959000001</v>
      </c>
      <c r="H33">
        <v>13939.545351000001</v>
      </c>
      <c r="I33">
        <v>37640.000622</v>
      </c>
      <c r="J33">
        <v>0</v>
      </c>
      <c r="K33">
        <v>30998.399941</v>
      </c>
      <c r="L33">
        <v>40999.999882999997</v>
      </c>
      <c r="N33">
        <v>47760.000419999997</v>
      </c>
      <c r="O33">
        <v>3464.9999939999998</v>
      </c>
      <c r="P33">
        <v>10064.999984</v>
      </c>
      <c r="R33">
        <v>2969.9999950000001</v>
      </c>
      <c r="S33">
        <v>2646.5226739999998</v>
      </c>
      <c r="T33">
        <v>1482.0526970000001</v>
      </c>
      <c r="U33">
        <v>19883.938488</v>
      </c>
      <c r="W33">
        <v>3097.4901369999998</v>
      </c>
      <c r="Y33">
        <v>75731.695443999997</v>
      </c>
      <c r="Z33">
        <v>34732.608510999999</v>
      </c>
      <c r="AB33">
        <v>3199.9999389999998</v>
      </c>
      <c r="AC33">
        <v>8250.0000259999997</v>
      </c>
      <c r="AD33">
        <v>208893.098153</v>
      </c>
      <c r="AE33">
        <v>18232.530865000001</v>
      </c>
      <c r="AF33">
        <v>41383.607887999999</v>
      </c>
      <c r="AG33">
        <v>139073.68095499999</v>
      </c>
      <c r="AH33">
        <v>58882.720063000001</v>
      </c>
      <c r="AI33">
        <v>99654.428383000006</v>
      </c>
      <c r="AJ33">
        <v>4177.9792939999998</v>
      </c>
      <c r="AK33">
        <v>40154.239491</v>
      </c>
      <c r="AM33">
        <v>70858.628790000002</v>
      </c>
      <c r="AN33">
        <v>20507.423984000001</v>
      </c>
      <c r="AO33">
        <v>96422.259822000007</v>
      </c>
      <c r="AP33">
        <v>27558.625585999998</v>
      </c>
      <c r="AQ33">
        <v>14468.972207999999</v>
      </c>
      <c r="AR33">
        <v>12009.053865</v>
      </c>
    </row>
    <row r="34" spans="1:44" x14ac:dyDescent="0.25">
      <c r="A34" s="1">
        <v>19724</v>
      </c>
      <c r="B34">
        <v>27500.000394999999</v>
      </c>
      <c r="C34">
        <v>19175.688796999999</v>
      </c>
      <c r="E34">
        <v>31999.999680000001</v>
      </c>
      <c r="F34">
        <v>12001.000180999999</v>
      </c>
      <c r="G34">
        <v>12118.999976999999</v>
      </c>
      <c r="H34">
        <v>13877.545559</v>
      </c>
      <c r="I34">
        <v>37465.100259999999</v>
      </c>
      <c r="J34">
        <v>0</v>
      </c>
      <c r="K34">
        <v>30998.399952</v>
      </c>
      <c r="L34">
        <v>40999.999913</v>
      </c>
      <c r="N34">
        <v>46088.400349000003</v>
      </c>
      <c r="O34">
        <v>3400.0004680000002</v>
      </c>
      <c r="P34">
        <v>9876.1918370000003</v>
      </c>
      <c r="R34">
        <v>2914.2861160000002</v>
      </c>
      <c r="S34">
        <v>2729.5613490000001</v>
      </c>
      <c r="T34">
        <v>1528.554355</v>
      </c>
      <c r="U34">
        <v>18851.444511999998</v>
      </c>
      <c r="W34">
        <v>3194.6786029999998</v>
      </c>
      <c r="Y34">
        <v>55099.788842000002</v>
      </c>
      <c r="Z34">
        <v>35614.012738999998</v>
      </c>
      <c r="AB34">
        <v>3199.9999680000001</v>
      </c>
      <c r="AC34">
        <v>8010.6294289999996</v>
      </c>
      <c r="AD34">
        <v>204812.650734</v>
      </c>
      <c r="AE34">
        <v>22218.743856000001</v>
      </c>
      <c r="AF34">
        <v>38026.486053000001</v>
      </c>
      <c r="AG34">
        <v>117591.94961700001</v>
      </c>
      <c r="AH34">
        <v>82500.001187999995</v>
      </c>
      <c r="AI34">
        <v>122964.88868</v>
      </c>
      <c r="AJ34">
        <v>5659.7346770000004</v>
      </c>
      <c r="AK34">
        <v>49554.16274</v>
      </c>
      <c r="AM34">
        <v>77904.876315999994</v>
      </c>
      <c r="AN34">
        <v>22251.924528</v>
      </c>
      <c r="AO34">
        <v>68752.419540999996</v>
      </c>
      <c r="AP34">
        <v>18179.504144999999</v>
      </c>
      <c r="AQ34">
        <v>15560.107044</v>
      </c>
      <c r="AR34">
        <v>7921.9716939999998</v>
      </c>
    </row>
    <row r="35" spans="1:44" x14ac:dyDescent="0.25">
      <c r="A35" s="1">
        <v>20089</v>
      </c>
      <c r="B35">
        <v>25451.400795000001</v>
      </c>
      <c r="C35">
        <v>19192.059872000002</v>
      </c>
      <c r="E35">
        <v>31999.999680000001</v>
      </c>
      <c r="F35">
        <v>12001.000180999999</v>
      </c>
      <c r="G35">
        <v>12118.999976999999</v>
      </c>
      <c r="H35">
        <v>13235.556463000001</v>
      </c>
      <c r="I35">
        <v>37349.700184000001</v>
      </c>
      <c r="J35">
        <v>0</v>
      </c>
      <c r="K35">
        <v>30998.399952</v>
      </c>
      <c r="L35">
        <v>40999.999913</v>
      </c>
      <c r="N35">
        <v>44416.800195000003</v>
      </c>
      <c r="O35">
        <v>2694.5042079999998</v>
      </c>
      <c r="P35">
        <v>7826.8931759999996</v>
      </c>
      <c r="R35">
        <v>2309.5750360000002</v>
      </c>
      <c r="S35">
        <v>2286.6997350000001</v>
      </c>
      <c r="T35">
        <v>1280.5518520000001</v>
      </c>
      <c r="U35">
        <v>12386.838153999999</v>
      </c>
      <c r="W35">
        <v>2676.3533699999998</v>
      </c>
      <c r="Y35">
        <v>48960.959579000002</v>
      </c>
      <c r="Z35">
        <v>25664.535273000001</v>
      </c>
      <c r="AB35">
        <v>3199.9999680000001</v>
      </c>
      <c r="AC35">
        <v>6385.4999779999998</v>
      </c>
      <c r="AD35">
        <v>153248.275762</v>
      </c>
      <c r="AE35">
        <v>15346.233688</v>
      </c>
      <c r="AF35">
        <v>27782.759871999999</v>
      </c>
      <c r="AG35">
        <v>88303.284702999998</v>
      </c>
      <c r="AH35">
        <v>50198.491825999998</v>
      </c>
      <c r="AI35">
        <v>84925.990361000004</v>
      </c>
      <c r="AJ35">
        <v>3538.9311980000002</v>
      </c>
      <c r="AK35">
        <v>34222.034933000003</v>
      </c>
      <c r="AM35">
        <v>54942.884381000003</v>
      </c>
      <c r="AN35">
        <v>14340.288838</v>
      </c>
      <c r="AO35">
        <v>62355.139701</v>
      </c>
      <c r="AP35">
        <v>17409.284061999999</v>
      </c>
      <c r="AQ35">
        <v>10503.927071</v>
      </c>
      <c r="AR35">
        <v>7586.3371230000002</v>
      </c>
    </row>
    <row r="36" spans="1:44" x14ac:dyDescent="0.25">
      <c r="A36" s="1">
        <v>20454</v>
      </c>
      <c r="B36">
        <v>5555.072811</v>
      </c>
      <c r="C36">
        <v>18974.377689000001</v>
      </c>
      <c r="E36">
        <v>25804.999503999999</v>
      </c>
      <c r="F36">
        <v>12001.000180999999</v>
      </c>
      <c r="G36">
        <v>12118.999976999999</v>
      </c>
      <c r="H36">
        <v>10309.716163999999</v>
      </c>
      <c r="I36">
        <v>30679.079904999999</v>
      </c>
      <c r="J36">
        <v>0</v>
      </c>
      <c r="K36">
        <v>28548.399968999998</v>
      </c>
      <c r="L36">
        <v>40999.999913</v>
      </c>
      <c r="N36">
        <v>39406.800171000003</v>
      </c>
      <c r="O36">
        <v>2519.0157899999999</v>
      </c>
      <c r="P36">
        <v>7317.1411049999997</v>
      </c>
      <c r="R36">
        <v>2159.1563919999999</v>
      </c>
      <c r="S36">
        <v>2084.528002</v>
      </c>
      <c r="T36">
        <v>1167.335681</v>
      </c>
      <c r="U36">
        <v>10798.827808</v>
      </c>
      <c r="W36">
        <v>2439.731573</v>
      </c>
      <c r="Y36">
        <v>18661.707514999998</v>
      </c>
      <c r="Z36">
        <v>12455.221883</v>
      </c>
      <c r="AB36">
        <v>3199.9999969999999</v>
      </c>
      <c r="AC36">
        <v>5911.8783519999997</v>
      </c>
      <c r="AD36">
        <v>111430.54418</v>
      </c>
      <c r="AE36">
        <v>9220.9561200000007</v>
      </c>
      <c r="AF36">
        <v>14519.04999</v>
      </c>
      <c r="AG36">
        <v>40639.273617999999</v>
      </c>
      <c r="AH36">
        <v>22560.094461000001</v>
      </c>
      <c r="AI36">
        <v>48314.681873000001</v>
      </c>
      <c r="AJ36">
        <v>1808.1212780000001</v>
      </c>
      <c r="AK36">
        <v>19979.985401999998</v>
      </c>
      <c r="AM36">
        <v>29372.946003000001</v>
      </c>
      <c r="AN36">
        <v>5669.057742</v>
      </c>
      <c r="AO36">
        <v>25063.810970999999</v>
      </c>
      <c r="AP36">
        <v>5286.2887929999997</v>
      </c>
      <c r="AQ36">
        <v>4105.5727580000002</v>
      </c>
      <c r="AR36">
        <v>2303.5737570000001</v>
      </c>
    </row>
    <row r="37" spans="1:44" x14ac:dyDescent="0.25">
      <c r="A37" s="1">
        <v>20820</v>
      </c>
      <c r="B37">
        <v>27500.000371999999</v>
      </c>
      <c r="C37">
        <v>19165.882018</v>
      </c>
      <c r="E37">
        <v>31999.999672000002</v>
      </c>
      <c r="F37">
        <v>12001.000161</v>
      </c>
      <c r="G37">
        <v>12118.999959000001</v>
      </c>
      <c r="H37">
        <v>14414.239484</v>
      </c>
      <c r="I37">
        <v>30073.92023</v>
      </c>
      <c r="J37">
        <v>0</v>
      </c>
      <c r="K37">
        <v>30998.399941</v>
      </c>
      <c r="L37">
        <v>40999.999882999997</v>
      </c>
      <c r="N37">
        <v>29606.400044000002</v>
      </c>
      <c r="O37">
        <v>3369.245797</v>
      </c>
      <c r="P37">
        <v>9786.8568400000004</v>
      </c>
      <c r="R37">
        <v>2887.9249690000001</v>
      </c>
      <c r="S37">
        <v>2601.7180979999998</v>
      </c>
      <c r="T37">
        <v>1456.962135</v>
      </c>
      <c r="U37">
        <v>19245.191722</v>
      </c>
      <c r="W37">
        <v>3045.0508620000001</v>
      </c>
      <c r="Y37">
        <v>68439.864786000006</v>
      </c>
      <c r="Z37">
        <v>25397.307111999999</v>
      </c>
      <c r="AB37">
        <v>3199.9999389999998</v>
      </c>
      <c r="AC37">
        <v>8051.9999900000003</v>
      </c>
      <c r="AD37">
        <v>178297.70319199999</v>
      </c>
      <c r="AE37">
        <v>12571.789051</v>
      </c>
      <c r="AF37">
        <v>29568.712266999999</v>
      </c>
      <c r="AG37">
        <v>115145.56696</v>
      </c>
      <c r="AH37">
        <v>38926.558643999997</v>
      </c>
      <c r="AI37">
        <v>84675.739958000006</v>
      </c>
      <c r="AJ37">
        <v>2775.00047</v>
      </c>
      <c r="AK37">
        <v>33888.340797999997</v>
      </c>
      <c r="AM37">
        <v>50373.314377000002</v>
      </c>
      <c r="AN37">
        <v>19350.992791000001</v>
      </c>
      <c r="AO37">
        <v>91395.745987000002</v>
      </c>
      <c r="AP37">
        <v>31682.625427999999</v>
      </c>
      <c r="AQ37">
        <v>18130.967235</v>
      </c>
      <c r="AR37">
        <v>26826.053715999999</v>
      </c>
    </row>
    <row r="38" spans="1:44" x14ac:dyDescent="0.25">
      <c r="A38" s="1">
        <v>21185</v>
      </c>
      <c r="B38">
        <v>20534.419679999999</v>
      </c>
      <c r="C38">
        <v>19170.768309999999</v>
      </c>
      <c r="E38">
        <v>31999.999680000001</v>
      </c>
      <c r="F38">
        <v>12001.000180999999</v>
      </c>
      <c r="G38">
        <v>12118.999976999999</v>
      </c>
      <c r="H38">
        <v>13831.863552000001</v>
      </c>
      <c r="I38">
        <v>35350.600043999999</v>
      </c>
      <c r="J38">
        <v>0</v>
      </c>
      <c r="K38">
        <v>30998.399952</v>
      </c>
      <c r="L38">
        <v>40999.999913</v>
      </c>
      <c r="N38">
        <v>43939.199823000003</v>
      </c>
      <c r="O38">
        <v>2886.6630810000001</v>
      </c>
      <c r="P38">
        <v>8385.0689500000008</v>
      </c>
      <c r="R38">
        <v>2474.2826409999998</v>
      </c>
      <c r="S38">
        <v>2618.7165150000001</v>
      </c>
      <c r="T38">
        <v>1466.4812480000001</v>
      </c>
      <c r="U38">
        <v>14209.342205999999</v>
      </c>
      <c r="W38">
        <v>3064.9458089999998</v>
      </c>
      <c r="Y38">
        <v>45457.651016999997</v>
      </c>
      <c r="Z38">
        <v>32757.568005000001</v>
      </c>
      <c r="AB38">
        <v>3199.9999600000001</v>
      </c>
      <c r="AC38">
        <v>6856.5468430000001</v>
      </c>
      <c r="AD38">
        <v>178715.94753800001</v>
      </c>
      <c r="AE38">
        <v>21201.979554000001</v>
      </c>
      <c r="AF38">
        <v>33898.400888999997</v>
      </c>
      <c r="AG38">
        <v>104572.89039299999</v>
      </c>
      <c r="AH38">
        <v>78675.876380999995</v>
      </c>
      <c r="AI38">
        <v>117335.307055</v>
      </c>
      <c r="AJ38">
        <v>5313.1321230000003</v>
      </c>
      <c r="AK38">
        <v>47283.968391000002</v>
      </c>
      <c r="AM38">
        <v>72178.671421999999</v>
      </c>
      <c r="AN38">
        <v>19686.026063000001</v>
      </c>
      <c r="AO38">
        <v>57837.155911000002</v>
      </c>
      <c r="AP38">
        <v>14193.821266000001</v>
      </c>
      <c r="AQ38">
        <v>13912.973657</v>
      </c>
      <c r="AR38">
        <v>6185.1548009999997</v>
      </c>
    </row>
    <row r="39" spans="1:44" x14ac:dyDescent="0.25">
      <c r="A39" s="1">
        <v>21550</v>
      </c>
      <c r="B39">
        <v>26055.289140000001</v>
      </c>
      <c r="C39">
        <v>19193.548708999999</v>
      </c>
      <c r="E39">
        <v>31999.999680000001</v>
      </c>
      <c r="F39">
        <v>12001.000180999999</v>
      </c>
      <c r="G39">
        <v>12118.999976999999</v>
      </c>
      <c r="H39">
        <v>12937.675792</v>
      </c>
      <c r="I39">
        <v>36947.600306</v>
      </c>
      <c r="J39">
        <v>0</v>
      </c>
      <c r="K39">
        <v>30998.399952</v>
      </c>
      <c r="L39">
        <v>40999.999913</v>
      </c>
      <c r="N39">
        <v>43939.200242999999</v>
      </c>
      <c r="O39">
        <v>3401.6908629999998</v>
      </c>
      <c r="P39">
        <v>9881.1020310000004</v>
      </c>
      <c r="R39">
        <v>2915.735025</v>
      </c>
      <c r="S39">
        <v>2629.2493340000001</v>
      </c>
      <c r="T39">
        <v>1472.379627</v>
      </c>
      <c r="U39">
        <v>19484.801361000002</v>
      </c>
      <c r="W39">
        <v>3077.27342</v>
      </c>
      <c r="Y39">
        <v>71420.206391</v>
      </c>
      <c r="Z39">
        <v>29892.419890000001</v>
      </c>
      <c r="AB39">
        <v>3199.9999969999999</v>
      </c>
      <c r="AC39">
        <v>8119.089723</v>
      </c>
      <c r="AD39">
        <v>190880.132759</v>
      </c>
      <c r="AE39">
        <v>15265.465233000001</v>
      </c>
      <c r="AF39">
        <v>33894.134250000003</v>
      </c>
      <c r="AG39">
        <v>123979.13722999999</v>
      </c>
      <c r="AH39">
        <v>36233.909272999997</v>
      </c>
      <c r="AI39">
        <v>98365.916328000007</v>
      </c>
      <c r="AJ39">
        <v>2347.2791360000001</v>
      </c>
      <c r="AK39">
        <v>39638.9159</v>
      </c>
      <c r="AM39">
        <v>58007.785189000002</v>
      </c>
      <c r="AN39">
        <v>18291.785498000001</v>
      </c>
      <c r="AO39">
        <v>99167.939203999995</v>
      </c>
      <c r="AP39">
        <v>31682.626334</v>
      </c>
      <c r="AQ39">
        <v>17179.808833999999</v>
      </c>
      <c r="AR39">
        <v>15093.120617</v>
      </c>
    </row>
    <row r="40" spans="1:44" x14ac:dyDescent="0.25">
      <c r="A40" s="1">
        <v>21915</v>
      </c>
      <c r="B40">
        <v>21948.639792000002</v>
      </c>
      <c r="C40">
        <v>19168.698875999999</v>
      </c>
      <c r="E40">
        <v>31999.999680000001</v>
      </c>
      <c r="F40">
        <v>12001.000180999999</v>
      </c>
      <c r="G40">
        <v>12118.999976999999</v>
      </c>
      <c r="H40">
        <v>13292.372912999999</v>
      </c>
      <c r="I40">
        <v>34056.600207000003</v>
      </c>
      <c r="J40">
        <v>0</v>
      </c>
      <c r="K40">
        <v>30998.399952</v>
      </c>
      <c r="L40">
        <v>40999.999913</v>
      </c>
      <c r="N40">
        <v>43939.199823000003</v>
      </c>
      <c r="O40">
        <v>2868.3793049999999</v>
      </c>
      <c r="P40">
        <v>8331.9589350000006</v>
      </c>
      <c r="R40">
        <v>2458.6108330000002</v>
      </c>
      <c r="S40">
        <v>2118.046499</v>
      </c>
      <c r="T40">
        <v>1186.106039</v>
      </c>
      <c r="U40">
        <v>14151.690296999999</v>
      </c>
      <c r="W40">
        <v>2478.9616219999998</v>
      </c>
      <c r="Y40">
        <v>46946.492636000003</v>
      </c>
      <c r="Z40">
        <v>33468.660889999999</v>
      </c>
      <c r="AB40">
        <v>3200.0000850000001</v>
      </c>
      <c r="AC40">
        <v>6840.0883450000001</v>
      </c>
      <c r="AD40">
        <v>180330.92655900001</v>
      </c>
      <c r="AE40">
        <v>21585.332181000002</v>
      </c>
      <c r="AF40">
        <v>34639.791281999998</v>
      </c>
      <c r="AG40">
        <v>107092.18524000001</v>
      </c>
      <c r="AH40">
        <v>80279.618938</v>
      </c>
      <c r="AI40">
        <v>119456.728601</v>
      </c>
      <c r="AJ40">
        <v>5243.636082</v>
      </c>
      <c r="AK40">
        <v>48138.793845</v>
      </c>
      <c r="AM40">
        <v>73646.655117000002</v>
      </c>
      <c r="AN40">
        <v>20124.785830000001</v>
      </c>
      <c r="AO40">
        <v>59743.494399000003</v>
      </c>
      <c r="AP40">
        <v>14782.652357999999</v>
      </c>
      <c r="AQ40">
        <v>14252.368455</v>
      </c>
      <c r="AR40">
        <v>6441.7460469999996</v>
      </c>
    </row>
    <row r="41" spans="1:44" x14ac:dyDescent="0.25">
      <c r="A41" s="1">
        <v>22281</v>
      </c>
      <c r="B41">
        <v>13594.357101</v>
      </c>
      <c r="C41">
        <v>18951.909199999998</v>
      </c>
      <c r="E41">
        <v>25804.999496</v>
      </c>
      <c r="F41">
        <v>12001.000161</v>
      </c>
      <c r="G41">
        <v>12118.999959000001</v>
      </c>
      <c r="H41">
        <v>10095.705099999999</v>
      </c>
      <c r="I41">
        <v>28808.080214000001</v>
      </c>
      <c r="J41">
        <v>0</v>
      </c>
      <c r="K41">
        <v>28182.694480999999</v>
      </c>
      <c r="L41">
        <v>40999.999882999997</v>
      </c>
      <c r="N41">
        <v>37257.600460000001</v>
      </c>
      <c r="O41">
        <v>2216.4698189999999</v>
      </c>
      <c r="P41">
        <v>6438.317094</v>
      </c>
      <c r="R41">
        <v>1899.8312739999999</v>
      </c>
      <c r="S41">
        <v>936.30867499999999</v>
      </c>
      <c r="T41">
        <v>524.33285799999999</v>
      </c>
      <c r="U41">
        <v>7912.0343439999997</v>
      </c>
      <c r="W41">
        <v>1095.855673</v>
      </c>
      <c r="Y41">
        <v>17958.489228999999</v>
      </c>
      <c r="Z41">
        <v>8251.9879000000001</v>
      </c>
      <c r="AB41">
        <v>70858.874007000006</v>
      </c>
      <c r="AC41">
        <v>5270.0647980000003</v>
      </c>
      <c r="AD41">
        <v>99096.132289000001</v>
      </c>
      <c r="AE41">
        <v>5218.7062379999998</v>
      </c>
      <c r="AF41">
        <v>10734.649679</v>
      </c>
      <c r="AG41">
        <v>31468.165289</v>
      </c>
      <c r="AH41">
        <v>20100.059141999998</v>
      </c>
      <c r="AI41">
        <v>25279.783689</v>
      </c>
      <c r="AJ41">
        <v>1413.095047</v>
      </c>
      <c r="AK41">
        <v>10866.213567000001</v>
      </c>
      <c r="AM41">
        <v>19193.728941000001</v>
      </c>
      <c r="AN41">
        <v>5294.2336619999996</v>
      </c>
      <c r="AO41">
        <v>23230.795762000002</v>
      </c>
      <c r="AP41">
        <v>7016.7479300000005</v>
      </c>
      <c r="AQ41">
        <v>4061.430081</v>
      </c>
      <c r="AR41">
        <v>3057.6454370000001</v>
      </c>
    </row>
    <row r="42" spans="1:44" x14ac:dyDescent="0.25">
      <c r="A42" s="1">
        <v>22646</v>
      </c>
      <c r="B42">
        <v>15726.409227</v>
      </c>
      <c r="C42">
        <v>18986.409133000001</v>
      </c>
      <c r="E42">
        <v>25804.999503999999</v>
      </c>
      <c r="F42">
        <v>12001.000180999999</v>
      </c>
      <c r="G42">
        <v>12118.999976999999</v>
      </c>
      <c r="H42">
        <v>11329.044592</v>
      </c>
      <c r="I42">
        <v>23228.399830999999</v>
      </c>
      <c r="J42">
        <v>0</v>
      </c>
      <c r="K42">
        <v>28345.264949</v>
      </c>
      <c r="L42">
        <v>40999.999913</v>
      </c>
      <c r="N42">
        <v>22924.799864000001</v>
      </c>
      <c r="O42">
        <v>2458.9939250000002</v>
      </c>
      <c r="P42">
        <v>7142.7918760000002</v>
      </c>
      <c r="R42">
        <v>2107.7090779999999</v>
      </c>
      <c r="S42">
        <v>279.02360700000003</v>
      </c>
      <c r="T42">
        <v>156.25322</v>
      </c>
      <c r="U42">
        <v>9329.3271239999995</v>
      </c>
      <c r="W42">
        <v>326.56923</v>
      </c>
      <c r="Y42">
        <v>24521.272270000001</v>
      </c>
      <c r="Z42">
        <v>12474.790316000001</v>
      </c>
      <c r="AB42">
        <v>100541.120767</v>
      </c>
      <c r="AC42">
        <v>5789.6163939999997</v>
      </c>
      <c r="AD42">
        <v>114356.416765</v>
      </c>
      <c r="AE42">
        <v>7508.8291250000002</v>
      </c>
      <c r="AF42">
        <v>13999.612859999999</v>
      </c>
      <c r="AG42">
        <v>43838.171277000001</v>
      </c>
      <c r="AH42">
        <v>25561.165671999999</v>
      </c>
      <c r="AI42">
        <v>40575.607905999997</v>
      </c>
      <c r="AJ42">
        <v>1797.0274039999999</v>
      </c>
      <c r="AK42">
        <v>16535.074752</v>
      </c>
      <c r="AM42">
        <v>27093.470702999999</v>
      </c>
      <c r="AN42">
        <v>7188.2575729999999</v>
      </c>
      <c r="AO42">
        <v>31308.880862999998</v>
      </c>
      <c r="AP42">
        <v>8923.1708519999993</v>
      </c>
      <c r="AQ42">
        <v>5318.3960530000004</v>
      </c>
      <c r="AR42">
        <v>3888.3955550000001</v>
      </c>
    </row>
    <row r="43" spans="1:44" x14ac:dyDescent="0.25">
      <c r="A43" s="1">
        <v>23011</v>
      </c>
      <c r="B43">
        <v>24980.986728</v>
      </c>
      <c r="C43">
        <v>19153.801466000001</v>
      </c>
      <c r="E43">
        <v>31999.999680000001</v>
      </c>
      <c r="F43">
        <v>12001.000180999999</v>
      </c>
      <c r="G43">
        <v>12118.999976999999</v>
      </c>
      <c r="H43">
        <v>14396.205587</v>
      </c>
      <c r="I43">
        <v>26490.520515</v>
      </c>
      <c r="J43">
        <v>0</v>
      </c>
      <c r="K43">
        <v>30998.399952</v>
      </c>
      <c r="L43">
        <v>40999.999913</v>
      </c>
      <c r="N43">
        <v>25785.599977000002</v>
      </c>
      <c r="O43">
        <v>2594.0128329999998</v>
      </c>
      <c r="P43">
        <v>7534.9896570000001</v>
      </c>
      <c r="R43">
        <v>2223.4395709999999</v>
      </c>
      <c r="S43">
        <v>2593.3662340000001</v>
      </c>
      <c r="T43">
        <v>1452.285091</v>
      </c>
      <c r="U43">
        <v>10993.723593000001</v>
      </c>
      <c r="W43">
        <v>3035.2758399999998</v>
      </c>
      <c r="Y43">
        <v>45705.727257999999</v>
      </c>
      <c r="Z43">
        <v>21652.895184000001</v>
      </c>
      <c r="AB43">
        <v>3200.0000500000001</v>
      </c>
      <c r="AC43">
        <v>6177.7044599999999</v>
      </c>
      <c r="AD43">
        <v>143096.91297899999</v>
      </c>
      <c r="AE43">
        <v>10923.809088</v>
      </c>
      <c r="AF43">
        <v>21491.622461999999</v>
      </c>
      <c r="AG43">
        <v>75420.681299999997</v>
      </c>
      <c r="AH43">
        <v>42417.231405999999</v>
      </c>
      <c r="AI43">
        <v>65032.657829999996</v>
      </c>
      <c r="AJ43">
        <v>2760.1701290000001</v>
      </c>
      <c r="AK43">
        <v>25342.718799999999</v>
      </c>
      <c r="AM43">
        <v>42751.306538999997</v>
      </c>
      <c r="AN43">
        <v>13154.165945000001</v>
      </c>
      <c r="AO43">
        <v>56658.478667000003</v>
      </c>
      <c r="AP43">
        <v>17394.507534</v>
      </c>
      <c r="AQ43">
        <v>9599.1002150000004</v>
      </c>
      <c r="AR43">
        <v>7579.8984190000001</v>
      </c>
    </row>
    <row r="44" spans="1:44" x14ac:dyDescent="0.25">
      <c r="A44" s="1">
        <v>23376</v>
      </c>
      <c r="B44">
        <v>21320.568794999999</v>
      </c>
      <c r="C44">
        <v>19191.373211999999</v>
      </c>
      <c r="E44">
        <v>31999.999680000001</v>
      </c>
      <c r="F44">
        <v>12001.000180999999</v>
      </c>
      <c r="G44">
        <v>12118.999976999999</v>
      </c>
      <c r="H44">
        <v>14057.003057</v>
      </c>
      <c r="I44">
        <v>36947.600011000002</v>
      </c>
      <c r="J44">
        <v>0</v>
      </c>
      <c r="K44">
        <v>30998.399952</v>
      </c>
      <c r="L44">
        <v>40999.999913</v>
      </c>
      <c r="N44">
        <v>43939.200439</v>
      </c>
      <c r="O44">
        <v>3361.2140559999998</v>
      </c>
      <c r="P44">
        <v>9763.5265419999996</v>
      </c>
      <c r="R44">
        <v>2881.0406189999999</v>
      </c>
      <c r="S44">
        <v>2675.9880039999998</v>
      </c>
      <c r="T44">
        <v>1498.5532820000001</v>
      </c>
      <c r="U44">
        <v>18865.307038999999</v>
      </c>
      <c r="W44">
        <v>3131.9763600000001</v>
      </c>
      <c r="Y44">
        <v>35498.536988</v>
      </c>
      <c r="Z44">
        <v>17009.082083000001</v>
      </c>
      <c r="AB44">
        <v>3199.9999389999998</v>
      </c>
      <c r="AC44">
        <v>8019.6721440000001</v>
      </c>
      <c r="AD44">
        <v>160246.587944</v>
      </c>
      <c r="AE44">
        <v>9206.3550969999997</v>
      </c>
      <c r="AF44">
        <v>17759.384686000001</v>
      </c>
      <c r="AG44">
        <v>60198.820935999996</v>
      </c>
      <c r="AH44">
        <v>38170.589054999997</v>
      </c>
      <c r="AI44">
        <v>50946.794055999999</v>
      </c>
      <c r="AJ44">
        <v>2512.070811</v>
      </c>
      <c r="AK44">
        <v>20528.996143</v>
      </c>
      <c r="AM44">
        <v>35161.819882999996</v>
      </c>
      <c r="AN44">
        <v>10423.111197</v>
      </c>
      <c r="AO44">
        <v>45443.180675000003</v>
      </c>
      <c r="AP44">
        <v>13543.07127</v>
      </c>
      <c r="AQ44">
        <v>8075.437817</v>
      </c>
      <c r="AR44">
        <v>5901.5812759999999</v>
      </c>
    </row>
    <row r="45" spans="1:44" x14ac:dyDescent="0.25">
      <c r="A45" s="1">
        <v>23742</v>
      </c>
      <c r="B45">
        <v>24935.567247999999</v>
      </c>
      <c r="C45">
        <v>18997.981981000001</v>
      </c>
      <c r="E45">
        <v>27274.999465000001</v>
      </c>
      <c r="F45">
        <v>12001.000161</v>
      </c>
      <c r="G45">
        <v>12118.999959000001</v>
      </c>
      <c r="H45">
        <v>11064.228955</v>
      </c>
      <c r="I45">
        <v>30794.480222999999</v>
      </c>
      <c r="J45">
        <v>0</v>
      </c>
      <c r="K45">
        <v>29143.399936999998</v>
      </c>
      <c r="L45">
        <v>40999.999882999997</v>
      </c>
      <c r="N45">
        <v>41078.399881999998</v>
      </c>
      <c r="O45">
        <v>2693.4091699999999</v>
      </c>
      <c r="P45">
        <v>7823.7123510000001</v>
      </c>
      <c r="R45">
        <v>2308.6364309999999</v>
      </c>
      <c r="S45">
        <v>1896.460568</v>
      </c>
      <c r="T45">
        <v>1062.017918</v>
      </c>
      <c r="U45">
        <v>11873.737784999999</v>
      </c>
      <c r="W45">
        <v>2219.6174489999999</v>
      </c>
      <c r="Y45">
        <v>44908.815043000002</v>
      </c>
      <c r="Z45">
        <v>21508.463924</v>
      </c>
      <c r="AB45">
        <v>3199.9999969999999</v>
      </c>
      <c r="AC45">
        <v>6382.6139579999999</v>
      </c>
      <c r="AD45">
        <v>145746.397268</v>
      </c>
      <c r="AE45">
        <v>12230.100831</v>
      </c>
      <c r="AF45">
        <v>24266.130289000001</v>
      </c>
      <c r="AG45">
        <v>76965.186891999998</v>
      </c>
      <c r="AH45">
        <v>42063.756305000003</v>
      </c>
      <c r="AI45">
        <v>67683.983890999996</v>
      </c>
      <c r="AJ45">
        <v>2918.5933300000002</v>
      </c>
      <c r="AK45">
        <v>27275.729436000001</v>
      </c>
      <c r="AM45">
        <v>45703.012953999998</v>
      </c>
      <c r="AN45">
        <v>12910.325556</v>
      </c>
      <c r="AO45">
        <v>55911.170251000003</v>
      </c>
      <c r="AP45">
        <v>16466.628709000001</v>
      </c>
      <c r="AQ45">
        <v>9231.4428489999991</v>
      </c>
      <c r="AR45">
        <v>7175.5621209999999</v>
      </c>
    </row>
    <row r="46" spans="1:44" x14ac:dyDescent="0.25">
      <c r="A46" s="1">
        <v>24107</v>
      </c>
      <c r="B46">
        <v>26626.259327</v>
      </c>
      <c r="C46">
        <v>19165.882039</v>
      </c>
      <c r="E46">
        <v>31999.999680000001</v>
      </c>
      <c r="F46">
        <v>12001.000180999999</v>
      </c>
      <c r="G46">
        <v>12118.999976999999</v>
      </c>
      <c r="H46">
        <v>14325.125722999999</v>
      </c>
      <c r="I46">
        <v>30073.920079</v>
      </c>
      <c r="J46">
        <v>0</v>
      </c>
      <c r="K46">
        <v>30998.399952</v>
      </c>
      <c r="L46">
        <v>40999.999913</v>
      </c>
      <c r="N46">
        <v>29606.400164999999</v>
      </c>
      <c r="O46">
        <v>3367.4832080000001</v>
      </c>
      <c r="P46">
        <v>9781.736938</v>
      </c>
      <c r="R46">
        <v>2886.414178</v>
      </c>
      <c r="S46">
        <v>2635.5530060000001</v>
      </c>
      <c r="T46">
        <v>1475.909684</v>
      </c>
      <c r="U46">
        <v>18099.050447000001</v>
      </c>
      <c r="W46">
        <v>3084.6512389999998</v>
      </c>
      <c r="Y46">
        <v>49623.120583999997</v>
      </c>
      <c r="Z46">
        <v>20977.323859</v>
      </c>
      <c r="AB46">
        <v>3199.9999389999998</v>
      </c>
      <c r="AC46">
        <v>8046.0503429999999</v>
      </c>
      <c r="AD46">
        <v>171957.024821</v>
      </c>
      <c r="AE46">
        <v>10697.171842</v>
      </c>
      <c r="AF46">
        <v>23149.866619</v>
      </c>
      <c r="AG46">
        <v>77949.898728999993</v>
      </c>
      <c r="AH46">
        <v>43547.267477000001</v>
      </c>
      <c r="AI46">
        <v>59198.545575999997</v>
      </c>
      <c r="AJ46">
        <v>2883.774116</v>
      </c>
      <c r="AK46">
        <v>23855.089874000001</v>
      </c>
      <c r="AM46">
        <v>42930.795904999999</v>
      </c>
      <c r="AN46">
        <v>13209.151433000001</v>
      </c>
      <c r="AO46">
        <v>62347.933556999997</v>
      </c>
      <c r="AP46">
        <v>19426.686512</v>
      </c>
      <c r="AQ46">
        <v>10033.438815</v>
      </c>
      <c r="AR46">
        <v>8465.4482320000006</v>
      </c>
    </row>
    <row r="47" spans="1:44" x14ac:dyDescent="0.25">
      <c r="A47" s="1">
        <v>24472</v>
      </c>
      <c r="B47">
        <v>20235.349085999998</v>
      </c>
      <c r="C47">
        <v>19193.548708999999</v>
      </c>
      <c r="E47">
        <v>31999.999680000001</v>
      </c>
      <c r="F47">
        <v>12001.000180999999</v>
      </c>
      <c r="G47">
        <v>12118.999976999999</v>
      </c>
      <c r="H47">
        <v>14069.764048999999</v>
      </c>
      <c r="I47">
        <v>35350.600788999996</v>
      </c>
      <c r="J47">
        <v>0</v>
      </c>
      <c r="K47">
        <v>30998.399952</v>
      </c>
      <c r="L47">
        <v>40999.999913</v>
      </c>
      <c r="N47">
        <v>43939.200099000002</v>
      </c>
      <c r="O47">
        <v>2769.9855010000001</v>
      </c>
      <c r="P47">
        <v>8046.1483609999996</v>
      </c>
      <c r="R47">
        <v>2374.273287</v>
      </c>
      <c r="S47">
        <v>2481.9863220000002</v>
      </c>
      <c r="T47">
        <v>1389.9123400000001</v>
      </c>
      <c r="U47">
        <v>13464.177465999999</v>
      </c>
      <c r="W47">
        <v>2904.9167910000001</v>
      </c>
      <c r="Y47">
        <v>38149.334196000003</v>
      </c>
      <c r="Z47">
        <v>23354.692885</v>
      </c>
      <c r="AB47">
        <v>3200.0000850000001</v>
      </c>
      <c r="AC47">
        <v>6599.6860429999997</v>
      </c>
      <c r="AD47">
        <v>149017.66961499999</v>
      </c>
      <c r="AE47">
        <v>14828.615299999999</v>
      </c>
      <c r="AF47">
        <v>24243.144747999999</v>
      </c>
      <c r="AG47">
        <v>76380.339305000001</v>
      </c>
      <c r="AH47">
        <v>48004.179002999997</v>
      </c>
      <c r="AI47">
        <v>82060.057937999998</v>
      </c>
      <c r="AJ47">
        <v>3391.5485870000002</v>
      </c>
      <c r="AK47">
        <v>33066.312259999999</v>
      </c>
      <c r="AM47">
        <v>50723.285356</v>
      </c>
      <c r="AN47">
        <v>12512.844429000001</v>
      </c>
      <c r="AO47">
        <v>49604.782427999999</v>
      </c>
      <c r="AP47">
        <v>12720.24595</v>
      </c>
      <c r="AQ47">
        <v>9231.4784249999993</v>
      </c>
      <c r="AR47">
        <v>5543.0238630000003</v>
      </c>
    </row>
    <row r="48" spans="1:44" x14ac:dyDescent="0.25">
      <c r="A48" s="1">
        <v>24837</v>
      </c>
      <c r="B48">
        <v>27104.242731999999</v>
      </c>
      <c r="C48">
        <v>19193.548708999999</v>
      </c>
      <c r="E48">
        <v>31999.999680000001</v>
      </c>
      <c r="F48">
        <v>12001.000180999999</v>
      </c>
      <c r="G48">
        <v>12118.999976999999</v>
      </c>
      <c r="H48">
        <v>14082.463999</v>
      </c>
      <c r="I48">
        <v>36947.600252999997</v>
      </c>
      <c r="J48">
        <v>0</v>
      </c>
      <c r="K48">
        <v>30998.399952</v>
      </c>
      <c r="L48">
        <v>40999.999913</v>
      </c>
      <c r="N48">
        <v>43939.200348999999</v>
      </c>
      <c r="O48">
        <v>3377.3966799999998</v>
      </c>
      <c r="P48">
        <v>9810.5332149999995</v>
      </c>
      <c r="R48">
        <v>2894.9114399999999</v>
      </c>
      <c r="S48">
        <v>2608.6928280000002</v>
      </c>
      <c r="T48">
        <v>1460.867984</v>
      </c>
      <c r="U48">
        <v>19376.754326999999</v>
      </c>
      <c r="W48">
        <v>3053.214086</v>
      </c>
      <c r="Y48">
        <v>68322.358819000001</v>
      </c>
      <c r="Z48">
        <v>26780.637774999999</v>
      </c>
      <c r="AB48">
        <v>3200.0000500000001</v>
      </c>
      <c r="AC48">
        <v>8068.8543680000002</v>
      </c>
      <c r="AD48">
        <v>183813.773954</v>
      </c>
      <c r="AE48">
        <v>14467.989788000001</v>
      </c>
      <c r="AF48">
        <v>31649.680262000002</v>
      </c>
      <c r="AG48">
        <v>100516.86634399999</v>
      </c>
      <c r="AH48">
        <v>39165.166426999996</v>
      </c>
      <c r="AI48">
        <v>78822.750018000006</v>
      </c>
      <c r="AJ48">
        <v>2370.8219130000002</v>
      </c>
      <c r="AK48">
        <v>31760.607619999999</v>
      </c>
      <c r="AM48">
        <v>55124.453041000001</v>
      </c>
      <c r="AN48">
        <v>13880.221106999999</v>
      </c>
      <c r="AO48">
        <v>86980.783291</v>
      </c>
      <c r="AP48">
        <v>26458.029290999999</v>
      </c>
      <c r="AQ48">
        <v>10168.367456</v>
      </c>
      <c r="AR48">
        <v>11529.453256000001</v>
      </c>
    </row>
    <row r="49" spans="1:44" x14ac:dyDescent="0.25">
      <c r="A49" s="1">
        <v>25203</v>
      </c>
      <c r="B49">
        <v>26802.891775</v>
      </c>
      <c r="C49">
        <v>19123.02519</v>
      </c>
      <c r="E49">
        <v>31999.999672000002</v>
      </c>
      <c r="F49">
        <v>12001.000161</v>
      </c>
      <c r="G49">
        <v>12118.999959000001</v>
      </c>
      <c r="H49">
        <v>12644.285970000001</v>
      </c>
      <c r="I49">
        <v>35350.600184000003</v>
      </c>
      <c r="J49">
        <v>0</v>
      </c>
      <c r="K49">
        <v>30998.399941</v>
      </c>
      <c r="L49">
        <v>40999.999882999997</v>
      </c>
      <c r="N49">
        <v>43939.200277000004</v>
      </c>
      <c r="O49">
        <v>3193.2471850000002</v>
      </c>
      <c r="P49">
        <v>9275.6227739999995</v>
      </c>
      <c r="R49">
        <v>2737.069015</v>
      </c>
      <c r="S49">
        <v>1502.123083</v>
      </c>
      <c r="T49">
        <v>841.18892700000004</v>
      </c>
      <c r="U49">
        <v>16032.161205</v>
      </c>
      <c r="W49">
        <v>1758.0848570000001</v>
      </c>
      <c r="Y49">
        <v>51522.119811999997</v>
      </c>
      <c r="Z49">
        <v>33586.842123000002</v>
      </c>
      <c r="AB49">
        <v>3200.0000850000001</v>
      </c>
      <c r="AC49">
        <v>7526.5806700000003</v>
      </c>
      <c r="AD49">
        <v>192622.385026</v>
      </c>
      <c r="AE49">
        <v>21021.14085</v>
      </c>
      <c r="AF49">
        <v>35842.444660000001</v>
      </c>
      <c r="AG49">
        <v>110665.08644</v>
      </c>
      <c r="AH49">
        <v>79639.394528000004</v>
      </c>
      <c r="AI49">
        <v>116337.04818100001</v>
      </c>
      <c r="AJ49">
        <v>5346.4489249999997</v>
      </c>
      <c r="AK49">
        <v>46883.203350000003</v>
      </c>
      <c r="AM49">
        <v>73550.093471999993</v>
      </c>
      <c r="AN49">
        <v>20965.743420999999</v>
      </c>
      <c r="AO49">
        <v>64286.603755999997</v>
      </c>
      <c r="AP49">
        <v>16903.602122</v>
      </c>
      <c r="AQ49">
        <v>14641.411783</v>
      </c>
      <c r="AR49">
        <v>7365.9792010000001</v>
      </c>
    </row>
    <row r="50" spans="1:44" x14ac:dyDescent="0.25">
      <c r="A50" s="1">
        <v>25568</v>
      </c>
      <c r="B50">
        <v>27003.404858999998</v>
      </c>
      <c r="C50">
        <v>19185.395097000001</v>
      </c>
      <c r="E50">
        <v>31999.999680000001</v>
      </c>
      <c r="F50">
        <v>12001.000180999999</v>
      </c>
      <c r="G50">
        <v>12118.999976999999</v>
      </c>
      <c r="H50">
        <v>14177.85447</v>
      </c>
      <c r="I50">
        <v>36947.599696999998</v>
      </c>
      <c r="J50">
        <v>0</v>
      </c>
      <c r="K50">
        <v>30998.399952</v>
      </c>
      <c r="L50">
        <v>40999.999913</v>
      </c>
      <c r="N50">
        <v>43939.200016000003</v>
      </c>
      <c r="O50">
        <v>3301.7627360000001</v>
      </c>
      <c r="P50">
        <v>9590.8346130000009</v>
      </c>
      <c r="R50">
        <v>2830.0823449999998</v>
      </c>
      <c r="S50">
        <v>2570.7249339999998</v>
      </c>
      <c r="T50">
        <v>1439.605963</v>
      </c>
      <c r="U50">
        <v>19652.096062000001</v>
      </c>
      <c r="W50">
        <v>3008.7764619999998</v>
      </c>
      <c r="Y50">
        <v>78189.040670999995</v>
      </c>
      <c r="Z50">
        <v>31415.756634000001</v>
      </c>
      <c r="AB50">
        <v>3200.0000500000001</v>
      </c>
      <c r="AC50">
        <v>8191.6477580000001</v>
      </c>
      <c r="AD50">
        <v>215056.534598</v>
      </c>
      <c r="AE50">
        <v>15505.330894000001</v>
      </c>
      <c r="AF50">
        <v>38789.767172</v>
      </c>
      <c r="AG50">
        <v>141666.022604</v>
      </c>
      <c r="AH50">
        <v>47330.593342</v>
      </c>
      <c r="AI50">
        <v>93745.944623999996</v>
      </c>
      <c r="AJ50">
        <v>3367.5568480000002</v>
      </c>
      <c r="AK50">
        <v>32364.188435</v>
      </c>
      <c r="AM50">
        <v>58589.069279000003</v>
      </c>
      <c r="AN50">
        <v>21391.666940999999</v>
      </c>
      <c r="AO50">
        <v>107402.501588</v>
      </c>
      <c r="AP50">
        <v>32924.001020000003</v>
      </c>
      <c r="AQ50">
        <v>18352.164968000001</v>
      </c>
      <c r="AR50">
        <v>30947.673304</v>
      </c>
    </row>
    <row r="51" spans="1:44" x14ac:dyDescent="0.25">
      <c r="A51" s="1">
        <v>25933</v>
      </c>
      <c r="B51">
        <v>27500.000394999999</v>
      </c>
      <c r="C51">
        <v>19193.548708999999</v>
      </c>
      <c r="E51">
        <v>31999.999680000001</v>
      </c>
      <c r="F51">
        <v>12001.000180999999</v>
      </c>
      <c r="G51">
        <v>12118.999976999999</v>
      </c>
      <c r="H51">
        <v>13593.210143</v>
      </c>
      <c r="I51">
        <v>37640.000516</v>
      </c>
      <c r="J51">
        <v>0</v>
      </c>
      <c r="K51">
        <v>30998.399952</v>
      </c>
      <c r="L51">
        <v>40999.999913</v>
      </c>
      <c r="N51">
        <v>47760.000087</v>
      </c>
      <c r="O51">
        <v>3465.000004</v>
      </c>
      <c r="P51">
        <v>10065.000013000001</v>
      </c>
      <c r="R51">
        <v>2970.000004</v>
      </c>
      <c r="S51">
        <v>2764.384016</v>
      </c>
      <c r="T51">
        <v>1548.0550490000001</v>
      </c>
      <c r="U51">
        <v>19699.514084999999</v>
      </c>
      <c r="W51">
        <v>3235.4350519999998</v>
      </c>
      <c r="Y51">
        <v>69568.557016999999</v>
      </c>
      <c r="Z51">
        <v>32898.608345000001</v>
      </c>
      <c r="AB51">
        <v>3199.9999389999998</v>
      </c>
      <c r="AC51">
        <v>8250.0000359999995</v>
      </c>
      <c r="AD51">
        <v>199081.77825100001</v>
      </c>
      <c r="AE51">
        <v>18321.395407</v>
      </c>
      <c r="AF51">
        <v>31412.501839</v>
      </c>
      <c r="AG51">
        <v>123690.27175299999</v>
      </c>
      <c r="AH51">
        <v>34114.291360000003</v>
      </c>
      <c r="AI51">
        <v>97669.932763999997</v>
      </c>
      <c r="AJ51">
        <v>2430.963667</v>
      </c>
      <c r="AK51">
        <v>28618.665615000002</v>
      </c>
      <c r="AM51">
        <v>65745.455933000005</v>
      </c>
      <c r="AN51">
        <v>19203.35108</v>
      </c>
      <c r="AO51">
        <v>84348.007668000006</v>
      </c>
      <c r="AP51">
        <v>23447.782787</v>
      </c>
      <c r="AQ51">
        <v>12112.140819</v>
      </c>
      <c r="AR51">
        <v>10217.696620000001</v>
      </c>
    </row>
    <row r="52" spans="1:44" x14ac:dyDescent="0.25">
      <c r="A52" s="1">
        <v>26298</v>
      </c>
      <c r="B52">
        <v>21826.116134</v>
      </c>
      <c r="C52">
        <v>19193.548708999999</v>
      </c>
      <c r="E52">
        <v>31999.999680000001</v>
      </c>
      <c r="F52">
        <v>12001.000180999999</v>
      </c>
      <c r="G52">
        <v>12118.999976999999</v>
      </c>
      <c r="H52">
        <v>13708.715953999999</v>
      </c>
      <c r="I52">
        <v>37640.000516</v>
      </c>
      <c r="J52">
        <v>0</v>
      </c>
      <c r="K52">
        <v>30998.399952</v>
      </c>
      <c r="L52">
        <v>40999.999913</v>
      </c>
      <c r="N52">
        <v>47760.000087</v>
      </c>
      <c r="O52">
        <v>3059.889983</v>
      </c>
      <c r="P52">
        <v>8888.2518550000004</v>
      </c>
      <c r="R52">
        <v>2622.7628420000001</v>
      </c>
      <c r="S52">
        <v>2663.7378239999998</v>
      </c>
      <c r="T52">
        <v>1491.6931810000001</v>
      </c>
      <c r="U52">
        <v>15297.159189</v>
      </c>
      <c r="W52">
        <v>3117.6387490000002</v>
      </c>
      <c r="Y52">
        <v>42194.421231</v>
      </c>
      <c r="Z52">
        <v>29551.254369999999</v>
      </c>
      <c r="AB52">
        <v>3199.9999389999998</v>
      </c>
      <c r="AC52">
        <v>7263.3934959999997</v>
      </c>
      <c r="AD52">
        <v>177126.21977699999</v>
      </c>
      <c r="AE52">
        <v>16794.431182</v>
      </c>
      <c r="AF52">
        <v>30593.434949999999</v>
      </c>
      <c r="AG52">
        <v>94926.158752000003</v>
      </c>
      <c r="AH52">
        <v>63167.917131000002</v>
      </c>
      <c r="AI52">
        <v>92939.216436999995</v>
      </c>
      <c r="AJ52">
        <v>4270.4124490000004</v>
      </c>
      <c r="AK52">
        <v>37450.414248000001</v>
      </c>
      <c r="AM52">
        <v>62406.550930999998</v>
      </c>
      <c r="AN52">
        <v>16873.807099000001</v>
      </c>
      <c r="AO52">
        <v>53713.694982000001</v>
      </c>
      <c r="AP52">
        <v>13467.749254</v>
      </c>
      <c r="AQ52">
        <v>12639.473642999999</v>
      </c>
      <c r="AR52">
        <v>5868.7591430000002</v>
      </c>
    </row>
    <row r="53" spans="1:44" x14ac:dyDescent="0.25">
      <c r="A53" s="1">
        <v>26664</v>
      </c>
      <c r="B53">
        <v>18618.172255000001</v>
      </c>
      <c r="C53">
        <v>19186.632096000001</v>
      </c>
      <c r="E53">
        <v>31999.999672000002</v>
      </c>
      <c r="F53">
        <v>12001.000161</v>
      </c>
      <c r="G53">
        <v>12118.999959000001</v>
      </c>
      <c r="H53">
        <v>14876.915891000001</v>
      </c>
      <c r="I53">
        <v>36590.599886999997</v>
      </c>
      <c r="J53">
        <v>0</v>
      </c>
      <c r="K53">
        <v>30998.399941</v>
      </c>
      <c r="L53">
        <v>40999.999882999997</v>
      </c>
      <c r="N53">
        <v>43939.200277000004</v>
      </c>
      <c r="O53">
        <v>2636.9472989999999</v>
      </c>
      <c r="P53">
        <v>7659.7040589999997</v>
      </c>
      <c r="R53">
        <v>2260.240542</v>
      </c>
      <c r="S53">
        <v>1879.107794</v>
      </c>
      <c r="T53">
        <v>1052.3003650000001</v>
      </c>
      <c r="U53">
        <v>11709.481841000001</v>
      </c>
      <c r="W53">
        <v>2199.3077629999998</v>
      </c>
      <c r="Y53">
        <v>31335.775903999998</v>
      </c>
      <c r="Z53">
        <v>16600.647277</v>
      </c>
      <c r="AB53">
        <v>3200.0000850000001</v>
      </c>
      <c r="AC53">
        <v>6307.2787479999997</v>
      </c>
      <c r="AD53">
        <v>130124.482046</v>
      </c>
      <c r="AE53">
        <v>10051.978687999999</v>
      </c>
      <c r="AF53">
        <v>18103.322934</v>
      </c>
      <c r="AG53">
        <v>56961.956043999999</v>
      </c>
      <c r="AH53">
        <v>31723.724662000001</v>
      </c>
      <c r="AI53">
        <v>55627.868714999997</v>
      </c>
      <c r="AJ53">
        <v>2262.1378810000001</v>
      </c>
      <c r="AK53">
        <v>22416.130563999999</v>
      </c>
      <c r="AM53">
        <v>35717.770598000003</v>
      </c>
      <c r="AN53">
        <v>9160.4384499999996</v>
      </c>
      <c r="AO53">
        <v>39829.550865999998</v>
      </c>
      <c r="AP53">
        <v>10950.589232</v>
      </c>
      <c r="AQ53">
        <v>6639.1389749999998</v>
      </c>
      <c r="AR53">
        <v>4771.8710899999996</v>
      </c>
    </row>
    <row r="54" spans="1:44" x14ac:dyDescent="0.25">
      <c r="A54" s="1">
        <v>27029</v>
      </c>
      <c r="B54">
        <v>27278.268301</v>
      </c>
      <c r="C54">
        <v>19193.548708999999</v>
      </c>
      <c r="E54">
        <v>31999.999680000001</v>
      </c>
      <c r="F54">
        <v>12001.000180999999</v>
      </c>
      <c r="G54">
        <v>12118.999976999999</v>
      </c>
      <c r="H54">
        <v>13245.324774999999</v>
      </c>
      <c r="I54">
        <v>36772.699981999998</v>
      </c>
      <c r="J54">
        <v>0</v>
      </c>
      <c r="K54">
        <v>30998.399952</v>
      </c>
      <c r="L54">
        <v>40999.999913</v>
      </c>
      <c r="N54">
        <v>42267.600428999998</v>
      </c>
      <c r="O54">
        <v>3369.2457880000002</v>
      </c>
      <c r="P54">
        <v>9786.856812</v>
      </c>
      <c r="R54">
        <v>2887.9249610000002</v>
      </c>
      <c r="S54">
        <v>2597.223559</v>
      </c>
      <c r="T54">
        <v>1454.445193</v>
      </c>
      <c r="U54">
        <v>17710.690612999999</v>
      </c>
      <c r="W54">
        <v>3039.7904530000001</v>
      </c>
      <c r="Y54">
        <v>57061.191057999997</v>
      </c>
      <c r="Z54">
        <v>22763.448855999999</v>
      </c>
      <c r="AB54">
        <v>3199.9999969999999</v>
      </c>
      <c r="AC54">
        <v>8051.999984</v>
      </c>
      <c r="AD54">
        <v>170949.884444</v>
      </c>
      <c r="AE54">
        <v>12280.513712</v>
      </c>
      <c r="AF54">
        <v>27626.143292000001</v>
      </c>
      <c r="AG54">
        <v>85179.306918000002</v>
      </c>
      <c r="AH54">
        <v>35858.159738000002</v>
      </c>
      <c r="AI54">
        <v>66718.527035999999</v>
      </c>
      <c r="AJ54">
        <v>2625.373998</v>
      </c>
      <c r="AK54">
        <v>26883.804237</v>
      </c>
      <c r="AM54">
        <v>46865.987222999996</v>
      </c>
      <c r="AN54">
        <v>12268.488359999999</v>
      </c>
      <c r="AO54">
        <v>72451.169586000004</v>
      </c>
      <c r="AP54">
        <v>22173.429346000001</v>
      </c>
      <c r="AQ54">
        <v>11853.957673999999</v>
      </c>
      <c r="AR54">
        <v>9662.3797900000009</v>
      </c>
    </row>
    <row r="55" spans="1:44" x14ac:dyDescent="0.25">
      <c r="A55" s="1">
        <v>27394</v>
      </c>
      <c r="B55">
        <v>27346.399273999999</v>
      </c>
      <c r="C55">
        <v>19193.548708999999</v>
      </c>
      <c r="E55">
        <v>31999.999680000001</v>
      </c>
      <c r="F55">
        <v>12001.000180999999</v>
      </c>
      <c r="G55">
        <v>12118.999976999999</v>
      </c>
      <c r="H55">
        <v>13716.496138</v>
      </c>
      <c r="I55">
        <v>37524.599732000002</v>
      </c>
      <c r="J55">
        <v>0</v>
      </c>
      <c r="K55">
        <v>30998.399952</v>
      </c>
      <c r="L55">
        <v>40999.999913</v>
      </c>
      <c r="N55">
        <v>46088.400047000003</v>
      </c>
      <c r="O55">
        <v>3465.000004</v>
      </c>
      <c r="P55">
        <v>10065.000013000001</v>
      </c>
      <c r="R55">
        <v>2970.000004</v>
      </c>
      <c r="S55">
        <v>2665.2733669999998</v>
      </c>
      <c r="T55">
        <v>1492.553085</v>
      </c>
      <c r="U55">
        <v>19786.502541000002</v>
      </c>
      <c r="W55">
        <v>3119.4359479999998</v>
      </c>
      <c r="Y55">
        <v>56613.057884000002</v>
      </c>
      <c r="Z55">
        <v>32288.721191000001</v>
      </c>
      <c r="AB55">
        <v>3199.9999389999998</v>
      </c>
      <c r="AC55">
        <v>8250.0000359999995</v>
      </c>
      <c r="AD55">
        <v>198819.46316799999</v>
      </c>
      <c r="AE55">
        <v>19743.360263999999</v>
      </c>
      <c r="AF55">
        <v>34755.046966000002</v>
      </c>
      <c r="AG55">
        <v>109438.272385</v>
      </c>
      <c r="AH55">
        <v>70565.105813000002</v>
      </c>
      <c r="AI55">
        <v>108023.22956199999</v>
      </c>
      <c r="AJ55">
        <v>4812.7577220000003</v>
      </c>
      <c r="AK55">
        <v>43531.261198</v>
      </c>
      <c r="AM55">
        <v>69676.265251000004</v>
      </c>
      <c r="AN55">
        <v>19369.831962</v>
      </c>
      <c r="AO55">
        <v>71307.056995999999</v>
      </c>
      <c r="AP55">
        <v>19729.100617</v>
      </c>
      <c r="AQ55">
        <v>13873.264907000001</v>
      </c>
      <c r="AR55">
        <v>8597.2295990000002</v>
      </c>
    </row>
    <row r="56" spans="1:44" x14ac:dyDescent="0.25">
      <c r="A56" s="1">
        <v>27759</v>
      </c>
      <c r="B56">
        <v>27500.000394999999</v>
      </c>
      <c r="C56">
        <v>19179.015353999999</v>
      </c>
      <c r="E56">
        <v>31999.999680000001</v>
      </c>
      <c r="F56">
        <v>12001.000180999999</v>
      </c>
      <c r="G56">
        <v>12118.999976999999</v>
      </c>
      <c r="H56">
        <v>14304.405612</v>
      </c>
      <c r="I56">
        <v>36399.999971999998</v>
      </c>
      <c r="J56">
        <v>0</v>
      </c>
      <c r="K56">
        <v>30998.399952</v>
      </c>
      <c r="L56">
        <v>40999.999913</v>
      </c>
      <c r="N56">
        <v>47760.000056999997</v>
      </c>
      <c r="O56">
        <v>3409.1212180000002</v>
      </c>
      <c r="P56">
        <v>9902.6854440000006</v>
      </c>
      <c r="R56">
        <v>2922.103901</v>
      </c>
      <c r="S56">
        <v>2667.9520339999999</v>
      </c>
      <c r="T56">
        <v>1494.0531390000001</v>
      </c>
      <c r="U56">
        <v>18962.473083000001</v>
      </c>
      <c r="W56">
        <v>3122.5710600000002</v>
      </c>
      <c r="Y56">
        <v>72008.192292000007</v>
      </c>
      <c r="Z56">
        <v>32342.027889000001</v>
      </c>
      <c r="AB56">
        <v>3199.9999389999998</v>
      </c>
      <c r="AC56">
        <v>8120.2425880000001</v>
      </c>
      <c r="AD56">
        <v>191543.44198900001</v>
      </c>
      <c r="AE56">
        <v>18478.681607999999</v>
      </c>
      <c r="AF56">
        <v>35303.206034000003</v>
      </c>
      <c r="AG56">
        <v>115461.50268799999</v>
      </c>
      <c r="AH56">
        <v>52862.029176999997</v>
      </c>
      <c r="AI56">
        <v>102256.30021299999</v>
      </c>
      <c r="AJ56">
        <v>3337.4034710000001</v>
      </c>
      <c r="AK56">
        <v>41202.736784000001</v>
      </c>
      <c r="AM56">
        <v>67828.123403999998</v>
      </c>
      <c r="AN56">
        <v>16522.116984</v>
      </c>
      <c r="AO56">
        <v>92650.411252000005</v>
      </c>
      <c r="AP56">
        <v>26858.424695000002</v>
      </c>
      <c r="AQ56">
        <v>12134.673908999999</v>
      </c>
      <c r="AR56">
        <v>11703.931256</v>
      </c>
    </row>
    <row r="57" spans="1:44" x14ac:dyDescent="0.25">
      <c r="A57" s="1">
        <v>28125</v>
      </c>
      <c r="B57">
        <v>13388.259620000001</v>
      </c>
      <c r="C57">
        <v>18939.272181</v>
      </c>
      <c r="E57">
        <v>26479.999518000001</v>
      </c>
      <c r="F57">
        <v>12001.000161</v>
      </c>
      <c r="G57">
        <v>12118.999959000001</v>
      </c>
      <c r="H57">
        <v>9493.7682499999992</v>
      </c>
      <c r="I57">
        <v>20270.899866</v>
      </c>
      <c r="J57">
        <v>0</v>
      </c>
      <c r="K57">
        <v>28813.399975</v>
      </c>
      <c r="L57">
        <v>40999.999882999997</v>
      </c>
      <c r="N57">
        <v>33327.500407</v>
      </c>
      <c r="O57">
        <v>2452.187488</v>
      </c>
      <c r="P57">
        <v>7123.0208000000002</v>
      </c>
      <c r="R57">
        <v>2101.8749899999998</v>
      </c>
      <c r="S57">
        <v>1049.790904</v>
      </c>
      <c r="T57">
        <v>587.88290600000005</v>
      </c>
      <c r="U57">
        <v>9381.8122669999993</v>
      </c>
      <c r="W57">
        <v>1228.6752739999999</v>
      </c>
      <c r="Y57">
        <v>27356.585978999999</v>
      </c>
      <c r="Z57">
        <v>23504.963743</v>
      </c>
      <c r="AB57">
        <v>69583.718141000005</v>
      </c>
      <c r="AC57">
        <v>5736.7909600000003</v>
      </c>
      <c r="AD57">
        <v>139870.17666500001</v>
      </c>
      <c r="AE57">
        <v>16897.004636000001</v>
      </c>
      <c r="AF57">
        <v>26398.625437999999</v>
      </c>
      <c r="AG57">
        <v>74325.783284999998</v>
      </c>
      <c r="AH57">
        <v>59181.602663999998</v>
      </c>
      <c r="AI57">
        <v>89897.673251</v>
      </c>
      <c r="AJ57">
        <v>4123.2748700000002</v>
      </c>
      <c r="AK57">
        <v>36910.381253</v>
      </c>
      <c r="AM57">
        <v>55128.816936000003</v>
      </c>
      <c r="AN57">
        <v>14193.737069999999</v>
      </c>
      <c r="AO57">
        <v>34906.957429000002</v>
      </c>
      <c r="AP57">
        <v>7044.9792390000002</v>
      </c>
      <c r="AQ57">
        <v>9663.9506270000002</v>
      </c>
      <c r="AR57">
        <v>3069.9474799999998</v>
      </c>
    </row>
    <row r="58" spans="1:44" x14ac:dyDescent="0.25">
      <c r="A58" s="1">
        <v>28490</v>
      </c>
      <c r="B58">
        <v>3053.3378600000001</v>
      </c>
      <c r="C58">
        <v>17838.679222999999</v>
      </c>
      <c r="E58">
        <v>26689.999538</v>
      </c>
      <c r="F58">
        <v>12001.000180999999</v>
      </c>
      <c r="G58">
        <v>12118.999976999999</v>
      </c>
      <c r="H58">
        <v>3827.3018959999999</v>
      </c>
      <c r="I58">
        <v>13067.900062999999</v>
      </c>
      <c r="J58">
        <v>0</v>
      </c>
      <c r="K58">
        <v>12141.973684000001</v>
      </c>
      <c r="L58">
        <v>40999.999913</v>
      </c>
      <c r="N58">
        <v>11940.000061000001</v>
      </c>
      <c r="O58">
        <v>954.464337</v>
      </c>
      <c r="P58">
        <v>2772.4916450000001</v>
      </c>
      <c r="R58">
        <v>818.11228900000003</v>
      </c>
      <c r="S58">
        <v>226.37654599999999</v>
      </c>
      <c r="T58">
        <v>126.770866</v>
      </c>
      <c r="U58">
        <v>2780.2929939999999</v>
      </c>
      <c r="W58">
        <v>264.95111000000003</v>
      </c>
      <c r="Y58">
        <v>4670.0987859999996</v>
      </c>
      <c r="Z58">
        <v>3357.9638359999999</v>
      </c>
      <c r="AB58">
        <v>52743.360552999999</v>
      </c>
      <c r="AC58">
        <v>2312.4178879999999</v>
      </c>
      <c r="AD58">
        <v>38800.072855999999</v>
      </c>
      <c r="AE58">
        <v>1741.6526859999999</v>
      </c>
      <c r="AF58">
        <v>2130.9680800000001</v>
      </c>
      <c r="AG58">
        <v>9057.0085550000003</v>
      </c>
      <c r="AH58">
        <v>3335.1371800000002</v>
      </c>
      <c r="AI58">
        <v>12655.903936000001</v>
      </c>
      <c r="AJ58">
        <v>234.47024999999999</v>
      </c>
      <c r="AK58">
        <v>4530.4781860000003</v>
      </c>
      <c r="AM58">
        <v>5880.4354789999998</v>
      </c>
      <c r="AN58">
        <v>1335.889136</v>
      </c>
      <c r="AO58">
        <v>5628.0850780000001</v>
      </c>
      <c r="AP58">
        <v>1164.2660269999999</v>
      </c>
      <c r="AQ58">
        <v>828.00870999999995</v>
      </c>
      <c r="AR58">
        <v>507.34512100000001</v>
      </c>
    </row>
    <row r="59" spans="1:44" x14ac:dyDescent="0.25">
      <c r="A59" s="1">
        <v>28855</v>
      </c>
      <c r="B59">
        <v>25743.764792000002</v>
      </c>
      <c r="C59">
        <v>19016.748395999999</v>
      </c>
      <c r="E59">
        <v>31999.999680000001</v>
      </c>
      <c r="F59">
        <v>12001.000180999999</v>
      </c>
      <c r="G59">
        <v>12118.999976999999</v>
      </c>
      <c r="H59">
        <v>13976.042083</v>
      </c>
      <c r="I59">
        <v>27674.099844</v>
      </c>
      <c r="J59">
        <v>0</v>
      </c>
      <c r="K59">
        <v>29740.720646000002</v>
      </c>
      <c r="L59">
        <v>40999.999913</v>
      </c>
      <c r="N59">
        <v>24700.899943</v>
      </c>
      <c r="O59">
        <v>3223.9871050000002</v>
      </c>
      <c r="P59">
        <v>9364.9149230000003</v>
      </c>
      <c r="R59">
        <v>2763.4175180000002</v>
      </c>
      <c r="S59">
        <v>2490.3958130000001</v>
      </c>
      <c r="T59">
        <v>1394.6216549999999</v>
      </c>
      <c r="U59">
        <v>18269.569500000001</v>
      </c>
      <c r="W59">
        <v>2914.7592599999998</v>
      </c>
      <c r="Y59">
        <v>69211.649611999994</v>
      </c>
      <c r="Z59">
        <v>26685.774028</v>
      </c>
      <c r="AB59">
        <v>3199.9999969999999</v>
      </c>
      <c r="AC59">
        <v>7713.7500110000001</v>
      </c>
      <c r="AD59">
        <v>188597.25092399999</v>
      </c>
      <c r="AE59">
        <v>12789.131105</v>
      </c>
      <c r="AF59">
        <v>33116.765819</v>
      </c>
      <c r="AG59">
        <v>123332.49297399999</v>
      </c>
      <c r="AH59">
        <v>28418.886312999999</v>
      </c>
      <c r="AI59">
        <v>82776.040773000001</v>
      </c>
      <c r="AJ59">
        <v>1807.2830630000001</v>
      </c>
      <c r="AK59">
        <v>33240.426764000003</v>
      </c>
      <c r="AM59">
        <v>49628.138900999998</v>
      </c>
      <c r="AN59">
        <v>19207.314917</v>
      </c>
      <c r="AO59">
        <v>96248.024470000004</v>
      </c>
      <c r="AP59">
        <v>30421.567050000001</v>
      </c>
      <c r="AQ59">
        <v>16801.162471</v>
      </c>
      <c r="AR59">
        <v>7899.8839509999998</v>
      </c>
    </row>
    <row r="60" spans="1:44" x14ac:dyDescent="0.25">
      <c r="A60" s="1">
        <v>29220</v>
      </c>
      <c r="B60">
        <v>24912.43017</v>
      </c>
      <c r="C60">
        <v>19164.492385000001</v>
      </c>
      <c r="E60">
        <v>27274.999473</v>
      </c>
      <c r="F60">
        <v>12001.000180999999</v>
      </c>
      <c r="G60">
        <v>12118.999976999999</v>
      </c>
      <c r="H60">
        <v>13998.28044</v>
      </c>
      <c r="I60">
        <v>35235.200054000001</v>
      </c>
      <c r="J60">
        <v>0</v>
      </c>
      <c r="K60">
        <v>29139.327049</v>
      </c>
      <c r="L60">
        <v>40999.999913</v>
      </c>
      <c r="N60">
        <v>42267.599578000001</v>
      </c>
      <c r="O60">
        <v>3357.5234059999998</v>
      </c>
      <c r="P60">
        <v>9752.8060839999998</v>
      </c>
      <c r="R60">
        <v>2877.8772049999998</v>
      </c>
      <c r="S60">
        <v>2692.0600049999998</v>
      </c>
      <c r="T60">
        <v>1507.5536030000001</v>
      </c>
      <c r="U60">
        <v>17236.302405999999</v>
      </c>
      <c r="W60">
        <v>3150.78703</v>
      </c>
      <c r="Y60">
        <v>53616.243965000001</v>
      </c>
      <c r="Z60">
        <v>30307.025205000002</v>
      </c>
      <c r="AB60">
        <v>3200.0000500000001</v>
      </c>
      <c r="AC60">
        <v>7894.8721960000003</v>
      </c>
      <c r="AD60">
        <v>192660.515518</v>
      </c>
      <c r="AE60">
        <v>16448.128025000002</v>
      </c>
      <c r="AF60">
        <v>33153.586566999998</v>
      </c>
      <c r="AG60">
        <v>109143.38301400001</v>
      </c>
      <c r="AH60">
        <v>64416.856920999999</v>
      </c>
      <c r="AI60">
        <v>91025.472102999993</v>
      </c>
      <c r="AJ60">
        <v>4304.3985220000004</v>
      </c>
      <c r="AK60">
        <v>36680.853310999999</v>
      </c>
      <c r="AM60">
        <v>63208.933248000001</v>
      </c>
      <c r="AN60">
        <v>18272.327970999999</v>
      </c>
      <c r="AO60">
        <v>66899.417002999995</v>
      </c>
      <c r="AP60">
        <v>17583.579970999999</v>
      </c>
      <c r="AQ60">
        <v>14022.693501</v>
      </c>
      <c r="AR60">
        <v>7662.2890070000003</v>
      </c>
    </row>
    <row r="61" spans="1:44" x14ac:dyDescent="0.25">
      <c r="A61" s="1">
        <v>29586</v>
      </c>
      <c r="B61">
        <v>27171.853413000001</v>
      </c>
      <c r="C61">
        <v>19193.548686999999</v>
      </c>
      <c r="E61">
        <v>31999.999672000002</v>
      </c>
      <c r="F61">
        <v>12001.000161</v>
      </c>
      <c r="G61">
        <v>12118.999959000001</v>
      </c>
      <c r="H61">
        <v>13243.386481</v>
      </c>
      <c r="I61">
        <v>36947.600320999998</v>
      </c>
      <c r="J61">
        <v>0</v>
      </c>
      <c r="K61">
        <v>30998.399941</v>
      </c>
      <c r="L61">
        <v>40999.999882999997</v>
      </c>
      <c r="N61">
        <v>43939.200182</v>
      </c>
      <c r="O61">
        <v>3464.9999939999998</v>
      </c>
      <c r="P61">
        <v>10064.999984</v>
      </c>
      <c r="R61">
        <v>2969.9999950000001</v>
      </c>
      <c r="S61">
        <v>2617.0573439999998</v>
      </c>
      <c r="T61">
        <v>1465.552113</v>
      </c>
      <c r="U61">
        <v>19814.701926000002</v>
      </c>
      <c r="W61">
        <v>3063.0039160000001</v>
      </c>
      <c r="Y61">
        <v>73282.791675999993</v>
      </c>
      <c r="Z61">
        <v>32288.224461000002</v>
      </c>
      <c r="AB61">
        <v>3200.0000500000001</v>
      </c>
      <c r="AC61">
        <v>8250.0000259999997</v>
      </c>
      <c r="AD61">
        <v>195621.98290500001</v>
      </c>
      <c r="AE61">
        <v>16958.121198000001</v>
      </c>
      <c r="AF61">
        <v>35142.129757000002</v>
      </c>
      <c r="AG61">
        <v>127885.628826</v>
      </c>
      <c r="AH61">
        <v>45305.432528999998</v>
      </c>
      <c r="AI61">
        <v>106488.12402</v>
      </c>
      <c r="AJ61">
        <v>3414.447545</v>
      </c>
      <c r="AK61">
        <v>42907.485167999999</v>
      </c>
      <c r="AM61">
        <v>61961.979047000001</v>
      </c>
      <c r="AN61">
        <v>18682.360128</v>
      </c>
      <c r="AO61">
        <v>96927.589953999995</v>
      </c>
      <c r="AP61">
        <v>31682.626190999999</v>
      </c>
      <c r="AQ61">
        <v>18400.673627</v>
      </c>
      <c r="AR61">
        <v>41643.053440999996</v>
      </c>
    </row>
    <row r="62" spans="1:44" x14ac:dyDescent="0.25">
      <c r="A62" s="1">
        <v>29951</v>
      </c>
      <c r="B62">
        <v>14583.228821999999</v>
      </c>
      <c r="C62">
        <v>19173.728972000001</v>
      </c>
      <c r="E62">
        <v>27274.999473</v>
      </c>
      <c r="F62">
        <v>12001.000180999999</v>
      </c>
      <c r="G62">
        <v>12118.999976999999</v>
      </c>
      <c r="H62">
        <v>14718.39581</v>
      </c>
      <c r="I62">
        <v>33382.480339000002</v>
      </c>
      <c r="J62">
        <v>0</v>
      </c>
      <c r="K62">
        <v>29143.399947999998</v>
      </c>
      <c r="L62">
        <v>40999.999913</v>
      </c>
      <c r="N62">
        <v>41078.399945999998</v>
      </c>
      <c r="O62">
        <v>3255.7164440000001</v>
      </c>
      <c r="P62">
        <v>9457.0810980000006</v>
      </c>
      <c r="R62">
        <v>2790.6140949999999</v>
      </c>
      <c r="S62">
        <v>2373.7708389999998</v>
      </c>
      <c r="T62">
        <v>1329.31167</v>
      </c>
      <c r="U62">
        <v>16427.488570000001</v>
      </c>
      <c r="W62">
        <v>2778.2613900000001</v>
      </c>
      <c r="Y62">
        <v>30422.765754</v>
      </c>
      <c r="Z62">
        <v>22174.039347999998</v>
      </c>
      <c r="AB62">
        <v>3199.9999969999999</v>
      </c>
      <c r="AC62">
        <v>7722.5771699999996</v>
      </c>
      <c r="AD62">
        <v>168250.51235400001</v>
      </c>
      <c r="AE62">
        <v>13555.106532</v>
      </c>
      <c r="AF62">
        <v>26103.267919999998</v>
      </c>
      <c r="AG62">
        <v>79964.731838000007</v>
      </c>
      <c r="AH62">
        <v>48074.228190000002</v>
      </c>
      <c r="AI62">
        <v>70832.939087000006</v>
      </c>
      <c r="AJ62">
        <v>3379.764048</v>
      </c>
      <c r="AK62">
        <v>29332.000931999999</v>
      </c>
      <c r="AM62">
        <v>49210.328010999998</v>
      </c>
      <c r="AN62">
        <v>12533.545582999999</v>
      </c>
      <c r="AO62">
        <v>38860.777031999998</v>
      </c>
      <c r="AP62">
        <v>8148.0038430000004</v>
      </c>
      <c r="AQ62">
        <v>9902.7816930000008</v>
      </c>
      <c r="AR62">
        <v>3550.6059970000001</v>
      </c>
    </row>
    <row r="63" spans="1:44" x14ac:dyDescent="0.25">
      <c r="A63" s="1">
        <v>30316</v>
      </c>
      <c r="B63">
        <v>27500.000394999999</v>
      </c>
      <c r="C63">
        <v>19193.548708999999</v>
      </c>
      <c r="E63">
        <v>31999.999680000001</v>
      </c>
      <c r="F63">
        <v>12001.000180999999</v>
      </c>
      <c r="G63">
        <v>12118.999976999999</v>
      </c>
      <c r="H63">
        <v>13693.334111</v>
      </c>
      <c r="I63">
        <v>30073.920079</v>
      </c>
      <c r="J63">
        <v>0</v>
      </c>
      <c r="K63">
        <v>30998.399952</v>
      </c>
      <c r="L63">
        <v>40999.999913</v>
      </c>
      <c r="N63">
        <v>29606.400164999999</v>
      </c>
      <c r="O63">
        <v>3446.2585469999999</v>
      </c>
      <c r="P63">
        <v>10010.560541999999</v>
      </c>
      <c r="R63">
        <v>2953.9358980000002</v>
      </c>
      <c r="S63">
        <v>2569.2008980000001</v>
      </c>
      <c r="T63">
        <v>1438.7525029999999</v>
      </c>
      <c r="U63">
        <v>19695.428724000001</v>
      </c>
      <c r="W63">
        <v>3006.9927309999998</v>
      </c>
      <c r="Y63">
        <v>72574.954326999999</v>
      </c>
      <c r="Z63">
        <v>29207.993630000001</v>
      </c>
      <c r="AB63">
        <v>3199.9999389999998</v>
      </c>
      <c r="AC63">
        <v>8211.2465389999998</v>
      </c>
      <c r="AD63">
        <v>201430.91162999999</v>
      </c>
      <c r="AE63">
        <v>14408.842414999999</v>
      </c>
      <c r="AF63">
        <v>34676.570775</v>
      </c>
      <c r="AG63">
        <v>131314.13563899999</v>
      </c>
      <c r="AH63">
        <v>37125.544416999997</v>
      </c>
      <c r="AI63">
        <v>94083.293581999998</v>
      </c>
      <c r="AJ63">
        <v>2116.8959340000001</v>
      </c>
      <c r="AK63">
        <v>37120.522087999998</v>
      </c>
      <c r="AM63">
        <v>54467.742516999999</v>
      </c>
      <c r="AN63">
        <v>18537.436266000001</v>
      </c>
      <c r="AO63">
        <v>96362.147813000003</v>
      </c>
      <c r="AP63">
        <v>30861.999887999998</v>
      </c>
      <c r="AQ63">
        <v>18698.237593000002</v>
      </c>
      <c r="AR63">
        <v>8033.6536029999997</v>
      </c>
    </row>
    <row r="64" spans="1:44" x14ac:dyDescent="0.25">
      <c r="A64" s="1">
        <v>30681</v>
      </c>
      <c r="B64">
        <v>27500.000394999999</v>
      </c>
      <c r="C64">
        <v>19193.548708999999</v>
      </c>
      <c r="E64">
        <v>31999.999680000001</v>
      </c>
      <c r="F64">
        <v>12001.000180999999</v>
      </c>
      <c r="G64">
        <v>12118.999976999999</v>
      </c>
      <c r="H64">
        <v>15049.999973</v>
      </c>
      <c r="I64">
        <v>37640.000516</v>
      </c>
      <c r="J64">
        <v>0</v>
      </c>
      <c r="K64">
        <v>30998.399952</v>
      </c>
      <c r="L64">
        <v>40999.999913</v>
      </c>
      <c r="N64">
        <v>47760.000087</v>
      </c>
      <c r="O64">
        <v>3465.000004</v>
      </c>
      <c r="P64">
        <v>10065.000013000001</v>
      </c>
      <c r="R64">
        <v>2970.000004</v>
      </c>
      <c r="S64">
        <v>2665.273338</v>
      </c>
      <c r="T64">
        <v>1492.5530690000001</v>
      </c>
      <c r="U64">
        <v>20000.000291</v>
      </c>
      <c r="W64">
        <v>3119.435915</v>
      </c>
      <c r="Y64">
        <v>83361.169953000004</v>
      </c>
      <c r="Z64">
        <v>41102.872064000003</v>
      </c>
      <c r="AB64">
        <v>3199.9999389999998</v>
      </c>
      <c r="AC64">
        <v>8250.0000359999995</v>
      </c>
      <c r="AD64">
        <v>230027.18078600001</v>
      </c>
      <c r="AE64">
        <v>22525.042764999998</v>
      </c>
      <c r="AF64">
        <v>41441.637754000003</v>
      </c>
      <c r="AG64">
        <v>170365.42248400001</v>
      </c>
      <c r="AH64">
        <v>42108.728792000002</v>
      </c>
      <c r="AI64">
        <v>89601.546398999999</v>
      </c>
      <c r="AJ64">
        <v>3000.443945</v>
      </c>
      <c r="AK64">
        <v>43543.310362999997</v>
      </c>
      <c r="AM64">
        <v>80901.376224000007</v>
      </c>
      <c r="AN64">
        <v>26949.356500999998</v>
      </c>
      <c r="AO64">
        <v>109285.419742</v>
      </c>
      <c r="AP64">
        <v>30862.000368000001</v>
      </c>
      <c r="AQ64">
        <v>18819.600150999999</v>
      </c>
      <c r="AR64">
        <v>53469.999376</v>
      </c>
    </row>
    <row r="65" spans="1:44" x14ac:dyDescent="0.25">
      <c r="A65" s="1">
        <v>31047</v>
      </c>
      <c r="B65">
        <v>27500.000371999999</v>
      </c>
      <c r="C65">
        <v>19193.548686999999</v>
      </c>
      <c r="E65">
        <v>31999.999672000002</v>
      </c>
      <c r="F65">
        <v>12001.000161</v>
      </c>
      <c r="G65">
        <v>12118.999959000001</v>
      </c>
      <c r="H65">
        <v>14076.113933000001</v>
      </c>
      <c r="I65">
        <v>37640.000622</v>
      </c>
      <c r="J65">
        <v>0</v>
      </c>
      <c r="K65">
        <v>30998.399941</v>
      </c>
      <c r="L65">
        <v>40999.999882999997</v>
      </c>
      <c r="N65">
        <v>47760.000419999997</v>
      </c>
      <c r="O65">
        <v>3464.9999939999998</v>
      </c>
      <c r="P65">
        <v>10064.999984</v>
      </c>
      <c r="R65">
        <v>2969.9999950000001</v>
      </c>
      <c r="S65">
        <v>2729.561361</v>
      </c>
      <c r="T65">
        <v>1528.5543620000001</v>
      </c>
      <c r="U65">
        <v>19628.107625000001</v>
      </c>
      <c r="W65">
        <v>3194.678617</v>
      </c>
      <c r="Y65">
        <v>69312.997319999995</v>
      </c>
      <c r="Z65">
        <v>32026.168627999999</v>
      </c>
      <c r="AB65">
        <v>3199.9999389999998</v>
      </c>
      <c r="AC65">
        <v>8250.0000259999997</v>
      </c>
      <c r="AD65">
        <v>190950.34645099999</v>
      </c>
      <c r="AE65">
        <v>18312.178865000002</v>
      </c>
      <c r="AF65">
        <v>31389.461781999998</v>
      </c>
      <c r="AG65">
        <v>116590.467943</v>
      </c>
      <c r="AH65">
        <v>38583.126515000004</v>
      </c>
      <c r="AI65">
        <v>112746.12140600001</v>
      </c>
      <c r="AJ65">
        <v>2409.1588740000002</v>
      </c>
      <c r="AK65">
        <v>32885.770988999997</v>
      </c>
      <c r="AM65">
        <v>65722.464494999993</v>
      </c>
      <c r="AN65">
        <v>17318.876839</v>
      </c>
      <c r="AO65">
        <v>81025.766107999996</v>
      </c>
      <c r="AP65">
        <v>23492.942575000001</v>
      </c>
      <c r="AQ65">
        <v>16565.773464000002</v>
      </c>
      <c r="AR65">
        <v>10237.375657000001</v>
      </c>
    </row>
    <row r="66" spans="1:44" x14ac:dyDescent="0.25">
      <c r="A66" s="1">
        <v>31412</v>
      </c>
      <c r="B66">
        <v>20956.142926</v>
      </c>
      <c r="C66">
        <v>18989.009107000002</v>
      </c>
      <c r="E66">
        <v>31999.999680000001</v>
      </c>
      <c r="F66">
        <v>12001.000180999999</v>
      </c>
      <c r="G66">
        <v>12118.999976999999</v>
      </c>
      <c r="H66">
        <v>11121.787953999999</v>
      </c>
      <c r="I66">
        <v>33382.480059000001</v>
      </c>
      <c r="J66">
        <v>0</v>
      </c>
      <c r="K66">
        <v>30958.336160999999</v>
      </c>
      <c r="L66">
        <v>40999.999913</v>
      </c>
      <c r="N66">
        <v>41078.399792999997</v>
      </c>
      <c r="O66">
        <v>2705.821203</v>
      </c>
      <c r="P66">
        <v>7859.7663519999996</v>
      </c>
      <c r="R66">
        <v>2319.2753170000001</v>
      </c>
      <c r="S66">
        <v>2123.5518529999999</v>
      </c>
      <c r="T66">
        <v>1189.189038</v>
      </c>
      <c r="U66">
        <v>12784.25432</v>
      </c>
      <c r="W66">
        <v>2485.4050889999999</v>
      </c>
      <c r="Y66">
        <v>41414.017946</v>
      </c>
      <c r="Z66">
        <v>31232.340955</v>
      </c>
      <c r="AB66">
        <v>3200.0000850000001</v>
      </c>
      <c r="AC66">
        <v>6398.0781820000002</v>
      </c>
      <c r="AD66">
        <v>161030.792277</v>
      </c>
      <c r="AE66">
        <v>19857.138148999999</v>
      </c>
      <c r="AF66">
        <v>32345.644112000002</v>
      </c>
      <c r="AG66">
        <v>100863.16602</v>
      </c>
      <c r="AH66">
        <v>74528.291486999995</v>
      </c>
      <c r="AI66">
        <v>109892.19180299999</v>
      </c>
      <c r="AJ66">
        <v>5019.0393389999999</v>
      </c>
      <c r="AK66">
        <v>44284.207504999998</v>
      </c>
      <c r="AM66">
        <v>68358.170744000003</v>
      </c>
      <c r="AN66">
        <v>18822.542806000001</v>
      </c>
      <c r="AO66">
        <v>58171.307378999998</v>
      </c>
      <c r="AP66">
        <v>14838.603088</v>
      </c>
      <c r="AQ66">
        <v>13439.011528000001</v>
      </c>
      <c r="AR66">
        <v>6466.1270370000002</v>
      </c>
    </row>
    <row r="67" spans="1:44" x14ac:dyDescent="0.25">
      <c r="A67" s="1">
        <v>31777</v>
      </c>
      <c r="B67">
        <v>25459.010183999999</v>
      </c>
      <c r="C67">
        <v>19152.544803000001</v>
      </c>
      <c r="E67">
        <v>31999.999680000001</v>
      </c>
      <c r="F67">
        <v>12001.000180999999</v>
      </c>
      <c r="G67">
        <v>12118.999976999999</v>
      </c>
      <c r="H67">
        <v>13595.059487</v>
      </c>
      <c r="I67">
        <v>30073.919886</v>
      </c>
      <c r="J67">
        <v>0</v>
      </c>
      <c r="K67">
        <v>30998.399952</v>
      </c>
      <c r="L67">
        <v>40999.999913</v>
      </c>
      <c r="N67">
        <v>29606.399749</v>
      </c>
      <c r="O67">
        <v>3324.4414299999999</v>
      </c>
      <c r="P67">
        <v>9656.7108210000006</v>
      </c>
      <c r="R67">
        <v>2849.5212259999998</v>
      </c>
      <c r="S67">
        <v>2674.6921229999998</v>
      </c>
      <c r="T67">
        <v>1497.827589</v>
      </c>
      <c r="U67">
        <v>18902.424640000001</v>
      </c>
      <c r="W67">
        <v>3130.4596609999999</v>
      </c>
      <c r="Y67">
        <v>72737.534434999994</v>
      </c>
      <c r="Z67">
        <v>28806.844800999999</v>
      </c>
      <c r="AB67">
        <v>3200.0000500000001</v>
      </c>
      <c r="AC67">
        <v>7866.2598090000001</v>
      </c>
      <c r="AD67">
        <v>188543.67443799999</v>
      </c>
      <c r="AE67">
        <v>13602.866926000001</v>
      </c>
      <c r="AF67">
        <v>32041.443463</v>
      </c>
      <c r="AG67">
        <v>112768.884235</v>
      </c>
      <c r="AH67">
        <v>36965.533513000002</v>
      </c>
      <c r="AI67">
        <v>74033.767537000007</v>
      </c>
      <c r="AJ67">
        <v>2076.6473150000002</v>
      </c>
      <c r="AK67">
        <v>29829.991129999999</v>
      </c>
      <c r="AM67">
        <v>54354.389390999997</v>
      </c>
      <c r="AN67">
        <v>16629.697197000001</v>
      </c>
      <c r="AO67">
        <v>92867.608720999997</v>
      </c>
      <c r="AP67">
        <v>28119.06582</v>
      </c>
      <c r="AQ67">
        <v>10842.383308</v>
      </c>
      <c r="AR67">
        <v>8413.3282510000008</v>
      </c>
    </row>
    <row r="68" spans="1:44" x14ac:dyDescent="0.25">
      <c r="A68" s="1">
        <v>32142</v>
      </c>
      <c r="B68">
        <v>6708.5445040000004</v>
      </c>
      <c r="C68">
        <v>18982.205665000001</v>
      </c>
      <c r="E68">
        <v>25804.999503999999</v>
      </c>
      <c r="F68">
        <v>12001.000180999999</v>
      </c>
      <c r="G68">
        <v>12118.999976999999</v>
      </c>
      <c r="H68">
        <v>10076.695954999999</v>
      </c>
      <c r="I68">
        <v>32088.480092999998</v>
      </c>
      <c r="J68">
        <v>0</v>
      </c>
      <c r="K68">
        <v>28548.399968999998</v>
      </c>
      <c r="L68">
        <v>40999.999913</v>
      </c>
      <c r="N68">
        <v>41078.400719999998</v>
      </c>
      <c r="O68">
        <v>2635.8306929999999</v>
      </c>
      <c r="P68">
        <v>7656.4605840000004</v>
      </c>
      <c r="R68">
        <v>2259.2834509999998</v>
      </c>
      <c r="S68">
        <v>1839.8592180000001</v>
      </c>
      <c r="T68">
        <v>1030.321162</v>
      </c>
      <c r="U68">
        <v>11407.995584</v>
      </c>
      <c r="W68">
        <v>2153.3712289999999</v>
      </c>
      <c r="Y68">
        <v>24355.655089</v>
      </c>
      <c r="Z68">
        <v>12676.293519999999</v>
      </c>
      <c r="AB68">
        <v>67658.873957000003</v>
      </c>
      <c r="AC68">
        <v>6157.2459529999996</v>
      </c>
      <c r="AD68">
        <v>121874.71051200001</v>
      </c>
      <c r="AE68">
        <v>7794.7093480000003</v>
      </c>
      <c r="AF68">
        <v>15189.746048999999</v>
      </c>
      <c r="AG68">
        <v>46161.3511</v>
      </c>
      <c r="AH68">
        <v>28061.314877000001</v>
      </c>
      <c r="AI68">
        <v>40210.325662000003</v>
      </c>
      <c r="AJ68">
        <v>1972.7953339999999</v>
      </c>
      <c r="AK68">
        <v>16755.322382999999</v>
      </c>
      <c r="AM68">
        <v>28362.726780000001</v>
      </c>
      <c r="AN68">
        <v>7330.0464769999999</v>
      </c>
      <c r="AO68">
        <v>31002.426137999999</v>
      </c>
      <c r="AP68">
        <v>5701.4282679999997</v>
      </c>
      <c r="AQ68">
        <v>5759.6537799999996</v>
      </c>
      <c r="AR68">
        <v>2484.4765689999999</v>
      </c>
    </row>
    <row r="69" spans="1:44" x14ac:dyDescent="0.25">
      <c r="A69" s="1">
        <v>32508</v>
      </c>
      <c r="B69">
        <v>3766.6952580000002</v>
      </c>
      <c r="C69">
        <v>18769.016425000002</v>
      </c>
      <c r="E69">
        <v>26689.999530000001</v>
      </c>
      <c r="F69">
        <v>12001.000161</v>
      </c>
      <c r="G69">
        <v>12118.999959000001</v>
      </c>
      <c r="H69">
        <v>7108.739243</v>
      </c>
      <c r="I69">
        <v>15292.819955999999</v>
      </c>
      <c r="J69">
        <v>0</v>
      </c>
      <c r="K69">
        <v>23026.655170999999</v>
      </c>
      <c r="L69">
        <v>40999.999882999997</v>
      </c>
      <c r="N69">
        <v>15173.899834</v>
      </c>
      <c r="O69">
        <v>2034.410431</v>
      </c>
      <c r="P69">
        <v>5909.4779179999996</v>
      </c>
      <c r="R69">
        <v>1743.7803690000001</v>
      </c>
      <c r="S69">
        <v>1072.172067</v>
      </c>
      <c r="T69">
        <v>600.41635799999995</v>
      </c>
      <c r="U69">
        <v>6718.7394389999999</v>
      </c>
      <c r="W69">
        <v>1254.870187</v>
      </c>
      <c r="Y69">
        <v>7057.3372049999998</v>
      </c>
      <c r="Z69">
        <v>4223.7602980000001</v>
      </c>
      <c r="AB69">
        <v>83069.518477999998</v>
      </c>
      <c r="AC69">
        <v>4811.6669320000001</v>
      </c>
      <c r="AD69">
        <v>78119.887873999993</v>
      </c>
      <c r="AE69">
        <v>2362.0462940000002</v>
      </c>
      <c r="AF69">
        <v>3683.913004</v>
      </c>
      <c r="AG69">
        <v>13073.472812</v>
      </c>
      <c r="AH69">
        <v>6367.8563869999998</v>
      </c>
      <c r="AI69">
        <v>14856.486781</v>
      </c>
      <c r="AJ69">
        <v>447.67960199999999</v>
      </c>
      <c r="AK69">
        <v>5649.825495</v>
      </c>
      <c r="AM69">
        <v>8262.3124470000002</v>
      </c>
      <c r="AN69">
        <v>2047.451693</v>
      </c>
      <c r="AO69">
        <v>8794.9537509999991</v>
      </c>
      <c r="AP69">
        <v>2222.960775</v>
      </c>
      <c r="AQ69">
        <v>1411.411648</v>
      </c>
      <c r="AR69">
        <v>968.68604300000004</v>
      </c>
    </row>
    <row r="70" spans="1:44" x14ac:dyDescent="0.25">
      <c r="A70" s="1">
        <v>32873</v>
      </c>
      <c r="B70">
        <v>25083.816164</v>
      </c>
      <c r="C70">
        <v>19075.229521000001</v>
      </c>
      <c r="E70">
        <v>31999.999680000001</v>
      </c>
      <c r="F70">
        <v>12001.000180999999</v>
      </c>
      <c r="G70">
        <v>12118.999976999999</v>
      </c>
      <c r="H70">
        <v>13429.637841</v>
      </c>
      <c r="I70">
        <v>19709.48</v>
      </c>
      <c r="J70">
        <v>0</v>
      </c>
      <c r="K70">
        <v>29805.950996</v>
      </c>
      <c r="L70">
        <v>40999.999913</v>
      </c>
      <c r="N70">
        <v>19690.899635999998</v>
      </c>
      <c r="O70">
        <v>2453.9616350000001</v>
      </c>
      <c r="P70">
        <v>7128.1742720000002</v>
      </c>
      <c r="R70">
        <v>2103.3956870000002</v>
      </c>
      <c r="S70">
        <v>1309.0416809999999</v>
      </c>
      <c r="T70">
        <v>733.06334100000004</v>
      </c>
      <c r="U70">
        <v>9687.8871810000001</v>
      </c>
      <c r="W70">
        <v>1532.1023829999999</v>
      </c>
      <c r="Y70">
        <v>51528.415685</v>
      </c>
      <c r="Z70">
        <v>20913.741008000001</v>
      </c>
      <c r="AB70">
        <v>3200.0000500000001</v>
      </c>
      <c r="AC70">
        <v>5793.4402319999999</v>
      </c>
      <c r="AD70">
        <v>137973.93681300001</v>
      </c>
      <c r="AE70">
        <v>10479.406542999999</v>
      </c>
      <c r="AF70">
        <v>22983.018678</v>
      </c>
      <c r="AG70">
        <v>78253.683579000004</v>
      </c>
      <c r="AH70">
        <v>40269.454628</v>
      </c>
      <c r="AI70">
        <v>60152.372813000002</v>
      </c>
      <c r="AJ70">
        <v>2708.0212759999999</v>
      </c>
      <c r="AK70">
        <v>24023.499232999999</v>
      </c>
      <c r="AM70">
        <v>42348.895016000002</v>
      </c>
      <c r="AN70">
        <v>12686.103928</v>
      </c>
      <c r="AO70">
        <v>65007.807294999999</v>
      </c>
      <c r="AP70">
        <v>20712.117526000002</v>
      </c>
      <c r="AQ70">
        <v>9737.7758560000002</v>
      </c>
      <c r="AR70">
        <v>9025.5927159999992</v>
      </c>
    </row>
    <row r="71" spans="1:44" x14ac:dyDescent="0.25">
      <c r="A71" s="1">
        <v>33238</v>
      </c>
      <c r="B71">
        <v>3531.7798750000002</v>
      </c>
      <c r="C71">
        <v>18781.775443999999</v>
      </c>
      <c r="E71">
        <v>26689.999538</v>
      </c>
      <c r="F71">
        <v>12001.000180999999</v>
      </c>
      <c r="G71">
        <v>12118.999976999999</v>
      </c>
      <c r="H71">
        <v>7234.2403420000001</v>
      </c>
      <c r="I71">
        <v>15292.820037</v>
      </c>
      <c r="J71">
        <v>0</v>
      </c>
      <c r="K71">
        <v>23026.655182999999</v>
      </c>
      <c r="L71">
        <v>40999.999913</v>
      </c>
      <c r="N71">
        <v>15173.899857</v>
      </c>
      <c r="O71">
        <v>2368.7688450000001</v>
      </c>
      <c r="P71">
        <v>6880.7095010000003</v>
      </c>
      <c r="R71">
        <v>2030.3732950000001</v>
      </c>
      <c r="S71">
        <v>731.33275300000003</v>
      </c>
      <c r="T71">
        <v>409.54634199999998</v>
      </c>
      <c r="U71">
        <v>8730.5245510000004</v>
      </c>
      <c r="W71">
        <v>855.95185400000003</v>
      </c>
      <c r="Y71">
        <v>5122.0189380000002</v>
      </c>
      <c r="Z71">
        <v>2353.5853990000001</v>
      </c>
      <c r="AB71">
        <v>69699.998376000003</v>
      </c>
      <c r="AC71">
        <v>5587.7178119999999</v>
      </c>
      <c r="AD71">
        <v>87379.227647000007</v>
      </c>
      <c r="AE71">
        <v>1488.4499559999999</v>
      </c>
      <c r="AF71">
        <v>3061.6761329999999</v>
      </c>
      <c r="AG71">
        <v>8975.1724059999997</v>
      </c>
      <c r="AH71">
        <v>5732.8253930000001</v>
      </c>
      <c r="AI71">
        <v>7210.1572720000004</v>
      </c>
      <c r="AJ71">
        <v>403.03499299999999</v>
      </c>
      <c r="AK71">
        <v>3099.2000410000001</v>
      </c>
      <c r="AM71">
        <v>5474.3270270000003</v>
      </c>
      <c r="AN71">
        <v>1509.991464</v>
      </c>
      <c r="AO71">
        <v>6625.7562019999996</v>
      </c>
      <c r="AP71">
        <v>2001.2772219999999</v>
      </c>
      <c r="AQ71">
        <v>1158.3781690000001</v>
      </c>
      <c r="AR71">
        <v>872.08434</v>
      </c>
    </row>
    <row r="72" spans="1:44" x14ac:dyDescent="0.25">
      <c r="A72" s="1">
        <v>33603</v>
      </c>
      <c r="B72">
        <v>3756.5315439999999</v>
      </c>
      <c r="C72">
        <v>18530.882023999999</v>
      </c>
      <c r="E72">
        <v>26689.999538</v>
      </c>
      <c r="F72">
        <v>12001.000180999999</v>
      </c>
      <c r="G72">
        <v>12118.999976999999</v>
      </c>
      <c r="H72">
        <v>3907.699012</v>
      </c>
      <c r="I72">
        <v>14361.900183</v>
      </c>
      <c r="J72">
        <v>0</v>
      </c>
      <c r="K72">
        <v>11760.02601</v>
      </c>
      <c r="L72">
        <v>40999.999913</v>
      </c>
      <c r="N72">
        <v>11940.000061000001</v>
      </c>
      <c r="O72">
        <v>1173.513884</v>
      </c>
      <c r="P72">
        <v>3408.778425</v>
      </c>
      <c r="R72">
        <v>1005.869044</v>
      </c>
      <c r="S72">
        <v>1471.7488579999999</v>
      </c>
      <c r="T72">
        <v>824.17935999999997</v>
      </c>
      <c r="U72">
        <v>4077.2697750000002</v>
      </c>
      <c r="W72">
        <v>1722.5348630000001</v>
      </c>
      <c r="Y72">
        <v>6365.9044219999996</v>
      </c>
      <c r="Z72">
        <v>3269.4604469999999</v>
      </c>
      <c r="AB72">
        <v>36449.999614</v>
      </c>
      <c r="AC72">
        <v>2834.287503</v>
      </c>
      <c r="AD72">
        <v>48939.379130000001</v>
      </c>
      <c r="AE72">
        <v>1959.1549439999999</v>
      </c>
      <c r="AF72">
        <v>3617.5560230000001</v>
      </c>
      <c r="AG72">
        <v>11402.998680000001</v>
      </c>
      <c r="AH72">
        <v>6587.6175219999996</v>
      </c>
      <c r="AI72">
        <v>10688.843959</v>
      </c>
      <c r="AJ72">
        <v>463.129482</v>
      </c>
      <c r="AK72">
        <v>4336.1061449999997</v>
      </c>
      <c r="AM72">
        <v>7056.3423389999998</v>
      </c>
      <c r="AN72">
        <v>1865.0825689999999</v>
      </c>
      <c r="AO72">
        <v>8117.4829049999998</v>
      </c>
      <c r="AP72">
        <v>2299.6773619999999</v>
      </c>
      <c r="AQ72">
        <v>1374.8759299999999</v>
      </c>
      <c r="AR72">
        <v>1002.116383</v>
      </c>
    </row>
    <row r="73" spans="1:44" x14ac:dyDescent="0.25">
      <c r="A73" s="1">
        <v>33969</v>
      </c>
      <c r="B73">
        <v>5045.4406829999998</v>
      </c>
      <c r="C73">
        <v>18714.269084</v>
      </c>
      <c r="E73">
        <v>26689.999530000001</v>
      </c>
      <c r="F73">
        <v>12001.000161</v>
      </c>
      <c r="G73">
        <v>12118.999959000001</v>
      </c>
      <c r="H73">
        <v>7209.6739219999999</v>
      </c>
      <c r="I73">
        <v>14361.900242</v>
      </c>
      <c r="J73">
        <v>0</v>
      </c>
      <c r="K73">
        <v>21297.028592999999</v>
      </c>
      <c r="L73">
        <v>40999.999882999997</v>
      </c>
      <c r="N73">
        <v>11940.000061000001</v>
      </c>
      <c r="O73">
        <v>1656.547601</v>
      </c>
      <c r="P73">
        <v>4811.8763639999997</v>
      </c>
      <c r="R73">
        <v>1419.8979440000001</v>
      </c>
      <c r="S73">
        <v>1390.8922580000001</v>
      </c>
      <c r="T73">
        <v>778.89966500000003</v>
      </c>
      <c r="U73">
        <v>4868.5706620000001</v>
      </c>
      <c r="W73">
        <v>1627.9002989999999</v>
      </c>
      <c r="Y73">
        <v>10517.11529</v>
      </c>
      <c r="Z73">
        <v>5228.2938000000004</v>
      </c>
      <c r="AB73">
        <v>67658.873957000003</v>
      </c>
      <c r="AC73">
        <v>3983.1000060000001</v>
      </c>
      <c r="AD73">
        <v>70816.20246</v>
      </c>
      <c r="AE73">
        <v>3181.7770569999998</v>
      </c>
      <c r="AF73">
        <v>6070.9541769999996</v>
      </c>
      <c r="AG73">
        <v>18714.058944</v>
      </c>
      <c r="AH73">
        <v>11153.731798999999</v>
      </c>
      <c r="AI73">
        <v>16790.023007</v>
      </c>
      <c r="AJ73">
        <v>784.14112899999998</v>
      </c>
      <c r="AK73">
        <v>6920.1015989999996</v>
      </c>
      <c r="AM73">
        <v>11530.746025</v>
      </c>
      <c r="AN73">
        <v>3087.1447159999998</v>
      </c>
      <c r="AO73">
        <v>13469.921813999999</v>
      </c>
      <c r="AP73">
        <v>3893.6663789999998</v>
      </c>
      <c r="AQ73">
        <v>2304.035269</v>
      </c>
      <c r="AR73">
        <v>1696.7192580000001</v>
      </c>
    </row>
    <row r="74" spans="1:44" x14ac:dyDescent="0.25">
      <c r="A74" s="1">
        <v>34334</v>
      </c>
      <c r="B74">
        <v>26169.776421999999</v>
      </c>
      <c r="C74">
        <v>19134.257755999999</v>
      </c>
      <c r="E74">
        <v>31999.999680000001</v>
      </c>
      <c r="F74">
        <v>12001.000180999999</v>
      </c>
      <c r="G74">
        <v>12118.999976999999</v>
      </c>
      <c r="H74">
        <v>14268.437549</v>
      </c>
      <c r="I74">
        <v>27674.099844</v>
      </c>
      <c r="J74">
        <v>0</v>
      </c>
      <c r="K74">
        <v>30250.746803999999</v>
      </c>
      <c r="L74">
        <v>40999.999913</v>
      </c>
      <c r="N74">
        <v>24700.899943</v>
      </c>
      <c r="O74">
        <v>3249.078751</v>
      </c>
      <c r="P74">
        <v>9437.8001800000002</v>
      </c>
      <c r="R74">
        <v>2784.9246429999998</v>
      </c>
      <c r="S74">
        <v>2608.1524460000001</v>
      </c>
      <c r="T74">
        <v>1460.56537</v>
      </c>
      <c r="U74">
        <v>17011.674750999999</v>
      </c>
      <c r="W74">
        <v>3052.581623</v>
      </c>
      <c r="Y74">
        <v>59133.984063000004</v>
      </c>
      <c r="Z74">
        <v>22262.704048</v>
      </c>
      <c r="AB74">
        <v>3200.0000500000001</v>
      </c>
      <c r="AC74">
        <v>7769.3569420000003</v>
      </c>
      <c r="AD74">
        <v>165729.12104200001</v>
      </c>
      <c r="AE74">
        <v>10785.578713999999</v>
      </c>
      <c r="AF74">
        <v>23878.710924999999</v>
      </c>
      <c r="AG74">
        <v>83724.836385999995</v>
      </c>
      <c r="AH74">
        <v>33525.443598999998</v>
      </c>
      <c r="AI74">
        <v>61681.247106000003</v>
      </c>
      <c r="AJ74">
        <v>2389.9653079999998</v>
      </c>
      <c r="AK74">
        <v>24475.833603999999</v>
      </c>
      <c r="AM74">
        <v>43808.735741999997</v>
      </c>
      <c r="AN74">
        <v>11856.511434</v>
      </c>
      <c r="AO74">
        <v>75299.855104999995</v>
      </c>
      <c r="AP74">
        <v>23734.827793</v>
      </c>
      <c r="AQ74">
        <v>9406.038407</v>
      </c>
      <c r="AR74">
        <v>10342.780957000001</v>
      </c>
    </row>
    <row r="75" spans="1:44" x14ac:dyDescent="0.25">
      <c r="A75" s="1">
        <v>34699</v>
      </c>
      <c r="B75">
        <v>9002.9231949999994</v>
      </c>
      <c r="C75">
        <v>18895.836079000001</v>
      </c>
      <c r="E75">
        <v>25804.999503999999</v>
      </c>
      <c r="F75">
        <v>12001.000180999999</v>
      </c>
      <c r="G75">
        <v>12118.999976999999</v>
      </c>
      <c r="H75">
        <v>8982.8099079999993</v>
      </c>
      <c r="I75">
        <v>25331.500151</v>
      </c>
      <c r="J75">
        <v>0</v>
      </c>
      <c r="K75">
        <v>26843.208439999999</v>
      </c>
      <c r="L75">
        <v>40999.999913</v>
      </c>
      <c r="N75">
        <v>31655.900160000001</v>
      </c>
      <c r="O75">
        <v>2308.1536970000002</v>
      </c>
      <c r="P75">
        <v>6704.6369299999997</v>
      </c>
      <c r="R75">
        <v>1978.417455</v>
      </c>
      <c r="S75">
        <v>2058.5304449999999</v>
      </c>
      <c r="T75">
        <v>1152.777049</v>
      </c>
      <c r="U75">
        <v>8435.0658270000004</v>
      </c>
      <c r="W75">
        <v>2409.3040329999999</v>
      </c>
      <c r="Y75">
        <v>24309.784530000001</v>
      </c>
      <c r="Z75">
        <v>20833.276222</v>
      </c>
      <c r="AB75">
        <v>70858.874007000006</v>
      </c>
      <c r="AC75">
        <v>5430.1033230000003</v>
      </c>
      <c r="AD75">
        <v>128992.01914</v>
      </c>
      <c r="AE75">
        <v>14971.059486</v>
      </c>
      <c r="AF75">
        <v>23409.035865999998</v>
      </c>
      <c r="AG75">
        <v>65917.878951000006</v>
      </c>
      <c r="AH75">
        <v>52449.659484999996</v>
      </c>
      <c r="AI75">
        <v>79632.351305999997</v>
      </c>
      <c r="AJ75">
        <v>3654.3451460000001</v>
      </c>
      <c r="AK75">
        <v>32699.275637999999</v>
      </c>
      <c r="AM75">
        <v>48861.406251</v>
      </c>
      <c r="AN75">
        <v>12582.742303999999</v>
      </c>
      <c r="AO75">
        <v>31021.614889</v>
      </c>
      <c r="AP75">
        <v>6278.3009110000003</v>
      </c>
      <c r="AQ75">
        <v>8570.5158620000002</v>
      </c>
      <c r="AR75">
        <v>2735.8568959999998</v>
      </c>
    </row>
    <row r="76" spans="1:44" x14ac:dyDescent="0.25">
      <c r="A76" s="1">
        <v>35064</v>
      </c>
      <c r="B76">
        <v>26360.283346</v>
      </c>
      <c r="C76">
        <v>19148.002694999999</v>
      </c>
      <c r="E76">
        <v>31999.999680000001</v>
      </c>
      <c r="F76">
        <v>12001.000180999999</v>
      </c>
      <c r="G76">
        <v>12118.999976999999</v>
      </c>
      <c r="H76">
        <v>14568.405231999999</v>
      </c>
      <c r="I76">
        <v>27848.999906000001</v>
      </c>
      <c r="J76">
        <v>0</v>
      </c>
      <c r="K76">
        <v>30774.469958999998</v>
      </c>
      <c r="L76">
        <v>40999.999913</v>
      </c>
      <c r="N76">
        <v>26372.500198999998</v>
      </c>
      <c r="O76">
        <v>3283.633605</v>
      </c>
      <c r="P76">
        <v>9538.1738050000004</v>
      </c>
      <c r="R76">
        <v>2814.5430900000001</v>
      </c>
      <c r="S76">
        <v>2581.5819040000001</v>
      </c>
      <c r="T76">
        <v>1445.685866</v>
      </c>
      <c r="U76">
        <v>18692.236499999999</v>
      </c>
      <c r="W76">
        <v>3021.4834609999998</v>
      </c>
      <c r="Y76">
        <v>72126.355064000003</v>
      </c>
      <c r="Z76">
        <v>27452.312763000002</v>
      </c>
      <c r="AB76">
        <v>19493.361534</v>
      </c>
      <c r="AC76">
        <v>7886.3445620000002</v>
      </c>
      <c r="AD76">
        <v>179331.91808800001</v>
      </c>
      <c r="AE76">
        <v>13504.427554</v>
      </c>
      <c r="AF76">
        <v>30895.734754000001</v>
      </c>
      <c r="AG76">
        <v>111724.186913</v>
      </c>
      <c r="AH76">
        <v>29815.382837000001</v>
      </c>
      <c r="AI76">
        <v>76710.500396000003</v>
      </c>
      <c r="AJ76">
        <v>1882.6856849999999</v>
      </c>
      <c r="AK76">
        <v>30300.661809000001</v>
      </c>
      <c r="AM76">
        <v>53752.322346000001</v>
      </c>
      <c r="AN76">
        <v>16369.653606</v>
      </c>
      <c r="AO76">
        <v>91760.474212000001</v>
      </c>
      <c r="AP76">
        <v>28800.000110000001</v>
      </c>
      <c r="AQ76">
        <v>8882.1483910000006</v>
      </c>
      <c r="AR76">
        <v>7080.089105</v>
      </c>
    </row>
    <row r="77" spans="1:44" x14ac:dyDescent="0.25">
      <c r="A77" s="1">
        <v>35430</v>
      </c>
      <c r="B77">
        <v>27213.546199</v>
      </c>
      <c r="C77">
        <v>19193.548686999999</v>
      </c>
      <c r="E77">
        <v>31999.999672000002</v>
      </c>
      <c r="F77">
        <v>12001.000161</v>
      </c>
      <c r="G77">
        <v>12118.999959000001</v>
      </c>
      <c r="H77">
        <v>14051.377947000001</v>
      </c>
      <c r="I77">
        <v>37639.999652999999</v>
      </c>
      <c r="J77">
        <v>0</v>
      </c>
      <c r="K77">
        <v>30998.399941</v>
      </c>
      <c r="L77">
        <v>40999.999882999997</v>
      </c>
      <c r="N77">
        <v>47759.999985000002</v>
      </c>
      <c r="O77">
        <v>3464.9999939999998</v>
      </c>
      <c r="P77">
        <v>10064.999984</v>
      </c>
      <c r="R77">
        <v>2969.9999950000001</v>
      </c>
      <c r="S77">
        <v>2737.5973370000002</v>
      </c>
      <c r="T77">
        <v>1533.0545090000001</v>
      </c>
      <c r="U77">
        <v>19660.101538999999</v>
      </c>
      <c r="W77">
        <v>3204.083924</v>
      </c>
      <c r="Y77">
        <v>68736.465674000006</v>
      </c>
      <c r="Z77">
        <v>35061.702276000004</v>
      </c>
      <c r="AB77">
        <v>3200.0000500000001</v>
      </c>
      <c r="AC77">
        <v>8250.0000259999997</v>
      </c>
      <c r="AD77">
        <v>197229.39725899999</v>
      </c>
      <c r="AE77">
        <v>21698.229565000001</v>
      </c>
      <c r="AF77">
        <v>31969.145776000001</v>
      </c>
      <c r="AG77">
        <v>131449.77144899999</v>
      </c>
      <c r="AH77">
        <v>58388.935236999998</v>
      </c>
      <c r="AI77">
        <v>117598.95125</v>
      </c>
      <c r="AJ77">
        <v>4577.7032079999999</v>
      </c>
      <c r="AK77">
        <v>47388.191250000003</v>
      </c>
      <c r="AM77">
        <v>76100.092086999997</v>
      </c>
      <c r="AN77">
        <v>21822.944961000001</v>
      </c>
      <c r="AO77">
        <v>85820.094440999994</v>
      </c>
      <c r="AP77">
        <v>23492.941602999999</v>
      </c>
      <c r="AQ77">
        <v>13882.218104</v>
      </c>
      <c r="AR77">
        <v>10237.375668999999</v>
      </c>
    </row>
    <row r="78" spans="1:44" x14ac:dyDescent="0.25">
      <c r="A78" s="1">
        <v>35795</v>
      </c>
      <c r="B78">
        <v>27500.000394999999</v>
      </c>
      <c r="C78">
        <v>19193.548708999999</v>
      </c>
      <c r="E78">
        <v>31999.999680000001</v>
      </c>
      <c r="F78">
        <v>12001.000180999999</v>
      </c>
      <c r="G78">
        <v>12118.999976999999</v>
      </c>
      <c r="H78">
        <v>14060.631939999999</v>
      </c>
      <c r="I78">
        <v>37640.000516</v>
      </c>
      <c r="J78">
        <v>0</v>
      </c>
      <c r="K78">
        <v>30998.399952</v>
      </c>
      <c r="L78">
        <v>40999.999913</v>
      </c>
      <c r="N78">
        <v>47760.000087</v>
      </c>
      <c r="O78">
        <v>3465.000004</v>
      </c>
      <c r="P78">
        <v>10065.000013000001</v>
      </c>
      <c r="R78">
        <v>2970.000004</v>
      </c>
      <c r="S78">
        <v>2657.237337</v>
      </c>
      <c r="T78">
        <v>1488.052909</v>
      </c>
      <c r="U78">
        <v>19813.138159999999</v>
      </c>
      <c r="W78">
        <v>3110.0305790000002</v>
      </c>
      <c r="Y78">
        <v>73909.428272000005</v>
      </c>
      <c r="Z78">
        <v>33281.185004999999</v>
      </c>
      <c r="AB78">
        <v>3199.9999389999998</v>
      </c>
      <c r="AC78">
        <v>8250.0000359999995</v>
      </c>
      <c r="AD78">
        <v>197335.98587400001</v>
      </c>
      <c r="AE78">
        <v>17627.839415999999</v>
      </c>
      <c r="AF78">
        <v>32498.879389000002</v>
      </c>
      <c r="AG78">
        <v>133026.44109000001</v>
      </c>
      <c r="AH78">
        <v>56369.731961999998</v>
      </c>
      <c r="AI78">
        <v>95070.388884999993</v>
      </c>
      <c r="AJ78">
        <v>2711.6093270000001</v>
      </c>
      <c r="AK78">
        <v>37579.237443999999</v>
      </c>
      <c r="AM78">
        <v>65373.327632</v>
      </c>
      <c r="AN78">
        <v>19311.605284000001</v>
      </c>
      <c r="AO78">
        <v>88029.263611999995</v>
      </c>
      <c r="AP78">
        <v>26929.085942000002</v>
      </c>
      <c r="AQ78">
        <v>10623.203036999999</v>
      </c>
      <c r="AR78">
        <v>26551.723115000001</v>
      </c>
    </row>
    <row r="79" spans="1:44" x14ac:dyDescent="0.25">
      <c r="A79" s="1">
        <v>36160</v>
      </c>
      <c r="B79">
        <v>26525.824578</v>
      </c>
      <c r="C79">
        <v>19193.548708999999</v>
      </c>
      <c r="E79">
        <v>31999.999680000001</v>
      </c>
      <c r="F79">
        <v>12001.000180999999</v>
      </c>
      <c r="G79">
        <v>12118.999976999999</v>
      </c>
      <c r="H79">
        <v>14145.965738999999</v>
      </c>
      <c r="I79">
        <v>37640.000516</v>
      </c>
      <c r="J79">
        <v>0</v>
      </c>
      <c r="K79">
        <v>30998.399952</v>
      </c>
      <c r="L79">
        <v>40999.999913</v>
      </c>
      <c r="N79">
        <v>47760.000087</v>
      </c>
      <c r="O79">
        <v>3465.000004</v>
      </c>
      <c r="P79">
        <v>10065.000013000001</v>
      </c>
      <c r="R79">
        <v>2970.000004</v>
      </c>
      <c r="S79">
        <v>2619.7360079999999</v>
      </c>
      <c r="T79">
        <v>1467.0521639999999</v>
      </c>
      <c r="U79">
        <v>19987.607077000001</v>
      </c>
      <c r="W79">
        <v>3066.1390230000002</v>
      </c>
      <c r="Y79">
        <v>81263.378012999994</v>
      </c>
      <c r="Z79">
        <v>42700.817259000003</v>
      </c>
      <c r="AB79">
        <v>3199.9999389999998</v>
      </c>
      <c r="AC79">
        <v>8250.0000359999995</v>
      </c>
      <c r="AD79">
        <v>235207.90915399999</v>
      </c>
      <c r="AE79">
        <v>22944.750027999999</v>
      </c>
      <c r="AF79">
        <v>43499.297912000002</v>
      </c>
      <c r="AG79">
        <v>160435.435287</v>
      </c>
      <c r="AH79">
        <v>69175.363622000004</v>
      </c>
      <c r="AI79">
        <v>138379.59684400001</v>
      </c>
      <c r="AJ79">
        <v>4169.797869</v>
      </c>
      <c r="AK79">
        <v>55759.231673000002</v>
      </c>
      <c r="AM79">
        <v>86453.717413000006</v>
      </c>
      <c r="AN79">
        <v>26170.382056999999</v>
      </c>
      <c r="AO79">
        <v>101793.16762199999</v>
      </c>
      <c r="AP79">
        <v>30300.252099000001</v>
      </c>
      <c r="AQ79">
        <v>16974.254510999999</v>
      </c>
      <c r="AR79">
        <v>7472.9629480000003</v>
      </c>
    </row>
    <row r="80" spans="1:44" x14ac:dyDescent="0.25">
      <c r="A80" s="1">
        <v>36525</v>
      </c>
      <c r="B80">
        <v>27500.000394999999</v>
      </c>
      <c r="C80">
        <v>19193.548708999999</v>
      </c>
      <c r="E80">
        <v>31999.999680000001</v>
      </c>
      <c r="F80">
        <v>12001.000180999999</v>
      </c>
      <c r="G80">
        <v>12118.999976999999</v>
      </c>
      <c r="H80">
        <v>14076.113965</v>
      </c>
      <c r="I80">
        <v>37639.99985</v>
      </c>
      <c r="J80">
        <v>0</v>
      </c>
      <c r="K80">
        <v>30998.399952</v>
      </c>
      <c r="L80">
        <v>40999.999913</v>
      </c>
      <c r="N80">
        <v>47760.000197000001</v>
      </c>
      <c r="O80">
        <v>3465.000004</v>
      </c>
      <c r="P80">
        <v>10065.000013000001</v>
      </c>
      <c r="R80">
        <v>2970.000004</v>
      </c>
      <c r="S80">
        <v>2737.5973349999999</v>
      </c>
      <c r="T80">
        <v>1533.0545079999999</v>
      </c>
      <c r="U80">
        <v>19217.662458999999</v>
      </c>
      <c r="W80">
        <v>3204.0839209999999</v>
      </c>
      <c r="Y80">
        <v>64377.916115</v>
      </c>
      <c r="Z80">
        <v>36726.387371999997</v>
      </c>
      <c r="AB80">
        <v>3199.9999389999998</v>
      </c>
      <c r="AC80">
        <v>8250.0000359999995</v>
      </c>
      <c r="AD80">
        <v>207166.662679</v>
      </c>
      <c r="AE80">
        <v>22529.274581000001</v>
      </c>
      <c r="AF80">
        <v>39517.783167000001</v>
      </c>
      <c r="AG80">
        <v>123887.325061</v>
      </c>
      <c r="AH80">
        <v>76472.341415999996</v>
      </c>
      <c r="AI80">
        <v>124679.039816</v>
      </c>
      <c r="AJ80">
        <v>5319.6350899999998</v>
      </c>
      <c r="AK80">
        <v>50242.315071999998</v>
      </c>
      <c r="AM80">
        <v>79461.676456999994</v>
      </c>
      <c r="AN80">
        <v>21108.967413999999</v>
      </c>
      <c r="AO80">
        <v>81625.036861</v>
      </c>
      <c r="AP80">
        <v>22104.744737000001</v>
      </c>
      <c r="AQ80">
        <v>15165.106712000001</v>
      </c>
      <c r="AR80">
        <v>9632.4495000000006</v>
      </c>
    </row>
    <row r="81" spans="1:44" x14ac:dyDescent="0.25">
      <c r="A81" s="1">
        <v>36891</v>
      </c>
      <c r="B81">
        <v>26136.050019999999</v>
      </c>
      <c r="C81">
        <v>19189.578189</v>
      </c>
      <c r="E81">
        <v>31999.999672000002</v>
      </c>
      <c r="F81">
        <v>12001.000161</v>
      </c>
      <c r="G81">
        <v>12118.999959000001</v>
      </c>
      <c r="H81">
        <v>13769.101461</v>
      </c>
      <c r="I81">
        <v>36225.100257999999</v>
      </c>
      <c r="J81">
        <v>0</v>
      </c>
      <c r="K81">
        <v>30998.399941</v>
      </c>
      <c r="L81">
        <v>40999.999882999997</v>
      </c>
      <c r="N81">
        <v>46088.399603999998</v>
      </c>
      <c r="O81">
        <v>3450.5150960000001</v>
      </c>
      <c r="P81">
        <v>10022.924804</v>
      </c>
      <c r="R81">
        <v>2957.5843679999998</v>
      </c>
      <c r="S81">
        <v>2678.6666620000001</v>
      </c>
      <c r="T81">
        <v>1500.05333</v>
      </c>
      <c r="U81">
        <v>18283.695342999999</v>
      </c>
      <c r="W81">
        <v>3135.111461</v>
      </c>
      <c r="Y81">
        <v>60083.142611000003</v>
      </c>
      <c r="Z81">
        <v>32310.568662000001</v>
      </c>
      <c r="AB81">
        <v>3199.9999680000001</v>
      </c>
      <c r="AC81">
        <v>8191.4566949999999</v>
      </c>
      <c r="AD81">
        <v>196445.689526</v>
      </c>
      <c r="AE81">
        <v>19335.046850999999</v>
      </c>
      <c r="AF81">
        <v>34917.412384000003</v>
      </c>
      <c r="AG81">
        <v>110745.24112799999</v>
      </c>
      <c r="AH81">
        <v>66112.861562999999</v>
      </c>
      <c r="AI81">
        <v>107001.289032</v>
      </c>
      <c r="AJ81">
        <v>4592.4483890000001</v>
      </c>
      <c r="AK81">
        <v>43118.296818000003</v>
      </c>
      <c r="AM81">
        <v>69310.517359000005</v>
      </c>
      <c r="AN81">
        <v>18614.705721999999</v>
      </c>
      <c r="AO81">
        <v>76187.022975999993</v>
      </c>
      <c r="AP81">
        <v>21290.653117000002</v>
      </c>
      <c r="AQ81">
        <v>13526.768921000001</v>
      </c>
      <c r="AR81">
        <v>9277.6978309999995</v>
      </c>
    </row>
    <row r="82" spans="1:44" x14ac:dyDescent="0.25">
      <c r="A82" s="1">
        <v>37256</v>
      </c>
      <c r="B82">
        <v>5833.132329</v>
      </c>
      <c r="C82">
        <v>19151.848280999999</v>
      </c>
      <c r="E82">
        <v>25804.999503999999</v>
      </c>
      <c r="F82">
        <v>12001.000180999999</v>
      </c>
      <c r="G82">
        <v>12118.999976999999</v>
      </c>
      <c r="H82">
        <v>12479.297118</v>
      </c>
      <c r="I82">
        <v>33267.080175000003</v>
      </c>
      <c r="J82">
        <v>0</v>
      </c>
      <c r="K82">
        <v>28548.399968999998</v>
      </c>
      <c r="L82">
        <v>40999.999913</v>
      </c>
      <c r="N82">
        <v>39406.800148000002</v>
      </c>
      <c r="O82">
        <v>2633.5184949999998</v>
      </c>
      <c r="P82">
        <v>7649.7442000000001</v>
      </c>
      <c r="R82">
        <v>2257.301567</v>
      </c>
      <c r="S82">
        <v>2422.2166430000002</v>
      </c>
      <c r="T82">
        <v>1356.4413199999999</v>
      </c>
      <c r="U82">
        <v>11607.285338</v>
      </c>
      <c r="W82">
        <v>2834.9623590000001</v>
      </c>
      <c r="Y82">
        <v>21205.358972000002</v>
      </c>
      <c r="Z82">
        <v>17088.096280000002</v>
      </c>
      <c r="AB82">
        <v>3199.9999969999999</v>
      </c>
      <c r="AC82">
        <v>6168.3324350000003</v>
      </c>
      <c r="AD82">
        <v>128705.164473</v>
      </c>
      <c r="AE82">
        <v>12428.721657</v>
      </c>
      <c r="AF82">
        <v>19340.148742000001</v>
      </c>
      <c r="AG82">
        <v>54293.886717000001</v>
      </c>
      <c r="AH82">
        <v>39426.076045000002</v>
      </c>
      <c r="AI82">
        <v>65937.498139999996</v>
      </c>
      <c r="AJ82">
        <v>2843.788626</v>
      </c>
      <c r="AK82">
        <v>27108.292018</v>
      </c>
      <c r="AM82">
        <v>40152.500818</v>
      </c>
      <c r="AN82">
        <v>9539.5485069999995</v>
      </c>
      <c r="AO82">
        <v>27559.265952000002</v>
      </c>
      <c r="AP82">
        <v>5544.1045109999995</v>
      </c>
      <c r="AQ82">
        <v>6574.5344729999997</v>
      </c>
      <c r="AR82">
        <v>2415.920537</v>
      </c>
    </row>
    <row r="83" spans="1:44" x14ac:dyDescent="0.25">
      <c r="A83" s="1">
        <v>37621</v>
      </c>
      <c r="B83">
        <v>18768.160497000001</v>
      </c>
      <c r="C83">
        <v>19189.538518000001</v>
      </c>
      <c r="E83">
        <v>31999.999680000001</v>
      </c>
      <c r="F83">
        <v>12001.000180999999</v>
      </c>
      <c r="G83">
        <v>12118.999976999999</v>
      </c>
      <c r="H83">
        <v>13833.307285000001</v>
      </c>
      <c r="I83">
        <v>28350.399861999998</v>
      </c>
      <c r="J83">
        <v>0</v>
      </c>
      <c r="K83">
        <v>30998.399952</v>
      </c>
      <c r="L83">
        <v>40999.999913</v>
      </c>
      <c r="N83">
        <v>22924.800197</v>
      </c>
      <c r="O83">
        <v>2724.4244189999999</v>
      </c>
      <c r="P83">
        <v>7913.8042640000003</v>
      </c>
      <c r="R83">
        <v>2335.22093</v>
      </c>
      <c r="S83">
        <v>2157.6156649999998</v>
      </c>
      <c r="T83">
        <v>1208.264772</v>
      </c>
      <c r="U83">
        <v>13103.660698</v>
      </c>
      <c r="W83">
        <v>2525.2733739999999</v>
      </c>
      <c r="Y83">
        <v>29765.149279000001</v>
      </c>
      <c r="Z83">
        <v>15146.042632999999</v>
      </c>
      <c r="AB83">
        <v>3200.0000500000001</v>
      </c>
      <c r="AC83">
        <v>6493.717705</v>
      </c>
      <c r="AD83">
        <v>130591.777491</v>
      </c>
      <c r="AE83">
        <v>8010.7135189999999</v>
      </c>
      <c r="AF83">
        <v>14434.182494999999</v>
      </c>
      <c r="AG83">
        <v>51133.733712000001</v>
      </c>
      <c r="AH83">
        <v>30629.461562</v>
      </c>
      <c r="AI83">
        <v>47175.184691000002</v>
      </c>
      <c r="AJ83">
        <v>2010.985809</v>
      </c>
      <c r="AK83">
        <v>18472.496678</v>
      </c>
      <c r="AM83">
        <v>30158.046689999999</v>
      </c>
      <c r="AN83">
        <v>8739.7402770000008</v>
      </c>
      <c r="AO83">
        <v>37804.257131999999</v>
      </c>
      <c r="AP83">
        <v>11245.901738</v>
      </c>
      <c r="AQ83">
        <v>6603.2899500000003</v>
      </c>
      <c r="AR83">
        <v>4900.5575319999998</v>
      </c>
    </row>
    <row r="84" spans="1:44" x14ac:dyDescent="0.25">
      <c r="A84" s="1">
        <v>37986</v>
      </c>
      <c r="B84">
        <v>23180.664745999999</v>
      </c>
      <c r="C84">
        <v>19174.964461</v>
      </c>
      <c r="E84">
        <v>31999.999680000001</v>
      </c>
      <c r="F84">
        <v>12001.000180999999</v>
      </c>
      <c r="G84">
        <v>12118.999976999999</v>
      </c>
      <c r="H84">
        <v>13501.290950000001</v>
      </c>
      <c r="I84">
        <v>29899.020205000001</v>
      </c>
      <c r="J84">
        <v>0</v>
      </c>
      <c r="K84">
        <v>30998.399952</v>
      </c>
      <c r="L84">
        <v>40999.999913</v>
      </c>
      <c r="N84">
        <v>27934.799738999998</v>
      </c>
      <c r="O84">
        <v>3002.3545650000001</v>
      </c>
      <c r="P84">
        <v>8721.1251659999998</v>
      </c>
      <c r="R84">
        <v>2573.44677</v>
      </c>
      <c r="S84">
        <v>2625.707981</v>
      </c>
      <c r="T84">
        <v>1470.3964699999999</v>
      </c>
      <c r="U84">
        <v>14887.480568000001</v>
      </c>
      <c r="W84">
        <v>3073.1286209999998</v>
      </c>
      <c r="Y84">
        <v>41155.587602</v>
      </c>
      <c r="Z84">
        <v>21021.147626000002</v>
      </c>
      <c r="AB84">
        <v>3199.9999969999999</v>
      </c>
      <c r="AC84">
        <v>7135.570573</v>
      </c>
      <c r="AD84">
        <v>154361.878012</v>
      </c>
      <c r="AE84">
        <v>12253.194136</v>
      </c>
      <c r="AF84">
        <v>22580.565307000001</v>
      </c>
      <c r="AG84">
        <v>72928.535145000002</v>
      </c>
      <c r="AH84">
        <v>42636.368989000002</v>
      </c>
      <c r="AI84">
        <v>67808.844742999994</v>
      </c>
      <c r="AJ84">
        <v>2949.0291320000001</v>
      </c>
      <c r="AK84">
        <v>27324.291648999999</v>
      </c>
      <c r="AM84">
        <v>44604.700875000002</v>
      </c>
      <c r="AN84">
        <v>12066.569562999999</v>
      </c>
      <c r="AO84">
        <v>52451.400735000003</v>
      </c>
      <c r="AP84">
        <v>15072.272353</v>
      </c>
      <c r="AQ84">
        <v>8960.8284079999994</v>
      </c>
      <c r="AR84">
        <v>6567.9522720000004</v>
      </c>
    </row>
    <row r="85" spans="1:44" x14ac:dyDescent="0.25">
      <c r="A85" s="1">
        <v>38352</v>
      </c>
      <c r="B85">
        <v>26554.291752000001</v>
      </c>
      <c r="C85">
        <v>19193.548686999999</v>
      </c>
      <c r="E85">
        <v>31999.999672000002</v>
      </c>
      <c r="F85">
        <v>12001.000161</v>
      </c>
      <c r="G85">
        <v>12118.999959000001</v>
      </c>
      <c r="H85">
        <v>15046.084605</v>
      </c>
      <c r="I85">
        <v>36475.200189000003</v>
      </c>
      <c r="J85">
        <v>0</v>
      </c>
      <c r="K85">
        <v>30998.399941</v>
      </c>
      <c r="L85">
        <v>40999.999882999997</v>
      </c>
      <c r="N85">
        <v>42267.600470999998</v>
      </c>
      <c r="O85">
        <v>2680.4776280000001</v>
      </c>
      <c r="P85">
        <v>7786.1493</v>
      </c>
      <c r="R85">
        <v>2297.552252</v>
      </c>
      <c r="S85">
        <v>2157.4438249999998</v>
      </c>
      <c r="T85">
        <v>1208.1685419999999</v>
      </c>
      <c r="U85">
        <v>12648.294103</v>
      </c>
      <c r="W85">
        <v>2525.0722529999998</v>
      </c>
      <c r="Y85">
        <v>47037.723750999998</v>
      </c>
      <c r="Z85">
        <v>22644.957189000001</v>
      </c>
      <c r="AB85">
        <v>3200.0000770000001</v>
      </c>
      <c r="AC85">
        <v>6398.4041070000003</v>
      </c>
      <c r="AD85">
        <v>148508.076703</v>
      </c>
      <c r="AE85">
        <v>12948.271220000001</v>
      </c>
      <c r="AF85">
        <v>25584.709487</v>
      </c>
      <c r="AG85">
        <v>80890.55816</v>
      </c>
      <c r="AH85">
        <v>43948.912855000002</v>
      </c>
      <c r="AI85">
        <v>71658.530538000006</v>
      </c>
      <c r="AJ85">
        <v>3061.7494660000002</v>
      </c>
      <c r="AK85">
        <v>28877.443372000002</v>
      </c>
      <c r="AM85">
        <v>48207.104925</v>
      </c>
      <c r="AN85">
        <v>13518.908985</v>
      </c>
      <c r="AO85">
        <v>58549.875089000001</v>
      </c>
      <c r="AP85">
        <v>17151.292278000001</v>
      </c>
      <c r="AQ85">
        <v>9638.7572670000009</v>
      </c>
      <c r="AR85">
        <v>7473.914033</v>
      </c>
    </row>
    <row r="86" spans="1:44" x14ac:dyDescent="0.25">
      <c r="A86" s="1">
        <v>38717</v>
      </c>
      <c r="B86">
        <v>25978.833053999999</v>
      </c>
      <c r="C86">
        <v>19192.025581999998</v>
      </c>
      <c r="E86">
        <v>31999.999680000001</v>
      </c>
      <c r="F86">
        <v>12001.000180999999</v>
      </c>
      <c r="G86">
        <v>12118.999976999999</v>
      </c>
      <c r="H86">
        <v>14064.546983</v>
      </c>
      <c r="I86">
        <v>35898.199628000002</v>
      </c>
      <c r="J86">
        <v>0</v>
      </c>
      <c r="K86">
        <v>30998.399952</v>
      </c>
      <c r="L86">
        <v>40999.999913</v>
      </c>
      <c r="N86">
        <v>40118.399928999999</v>
      </c>
      <c r="O86">
        <v>3362.16327</v>
      </c>
      <c r="P86">
        <v>9766.2837839999993</v>
      </c>
      <c r="R86">
        <v>2881.8542309999998</v>
      </c>
      <c r="S86">
        <v>2643.4837870000001</v>
      </c>
      <c r="T86">
        <v>1480.350921</v>
      </c>
      <c r="U86">
        <v>18251.260029000001</v>
      </c>
      <c r="W86">
        <v>3093.9334239999998</v>
      </c>
      <c r="Y86">
        <v>57928.330527999999</v>
      </c>
      <c r="Z86">
        <v>26665.736983999999</v>
      </c>
      <c r="AB86">
        <v>3200.0000500000001</v>
      </c>
      <c r="AC86">
        <v>8025.5203119999996</v>
      </c>
      <c r="AD86">
        <v>177233.70056299999</v>
      </c>
      <c r="AE86">
        <v>15395.982226</v>
      </c>
      <c r="AF86">
        <v>29157.865895999999</v>
      </c>
      <c r="AG86">
        <v>94539.911556000006</v>
      </c>
      <c r="AH86">
        <v>44569.952698000001</v>
      </c>
      <c r="AI86">
        <v>85197.936451000001</v>
      </c>
      <c r="AJ86">
        <v>3285.2940480000002</v>
      </c>
      <c r="AK86">
        <v>34329.613343999998</v>
      </c>
      <c r="AM86">
        <v>56146.447508999998</v>
      </c>
      <c r="AN86">
        <v>13725.137714</v>
      </c>
      <c r="AO86">
        <v>74487.728082999995</v>
      </c>
      <c r="AP86">
        <v>21416.045237999999</v>
      </c>
      <c r="AQ86">
        <v>10451.484902</v>
      </c>
      <c r="AR86">
        <v>9332.3392719999993</v>
      </c>
    </row>
    <row r="87" spans="1:44" x14ac:dyDescent="0.25">
      <c r="A87" s="1">
        <v>39082</v>
      </c>
      <c r="B87">
        <v>27500.000394999999</v>
      </c>
      <c r="C87">
        <v>19193.548708999999</v>
      </c>
      <c r="E87">
        <v>31999.999680000001</v>
      </c>
      <c r="F87">
        <v>12001.000180999999</v>
      </c>
      <c r="G87">
        <v>12118.999976999999</v>
      </c>
      <c r="H87">
        <v>13794.970798</v>
      </c>
      <c r="I87">
        <v>36947.599696999998</v>
      </c>
      <c r="J87">
        <v>0</v>
      </c>
      <c r="K87">
        <v>30998.399952</v>
      </c>
      <c r="L87">
        <v>40999.999913</v>
      </c>
      <c r="N87">
        <v>43939.200016000003</v>
      </c>
      <c r="O87">
        <v>3465.000004</v>
      </c>
      <c r="P87">
        <v>10065.000013000001</v>
      </c>
      <c r="R87">
        <v>2970.000004</v>
      </c>
      <c r="S87">
        <v>2718.8466680000001</v>
      </c>
      <c r="T87">
        <v>1522.554134</v>
      </c>
      <c r="U87">
        <v>19918.605157999998</v>
      </c>
      <c r="W87">
        <v>3182.13814</v>
      </c>
      <c r="Y87">
        <v>78012.552590000007</v>
      </c>
      <c r="Z87">
        <v>33567.996476</v>
      </c>
      <c r="AB87">
        <v>3199.9999389999998</v>
      </c>
      <c r="AC87">
        <v>8250.0000359999995</v>
      </c>
      <c r="AD87">
        <v>225959.79790999999</v>
      </c>
      <c r="AE87">
        <v>17699.528146000001</v>
      </c>
      <c r="AF87">
        <v>39964.746679999997</v>
      </c>
      <c r="AG87">
        <v>142783.475064</v>
      </c>
      <c r="AH87">
        <v>52928.040729</v>
      </c>
      <c r="AI87">
        <v>81526.713485999993</v>
      </c>
      <c r="AJ87">
        <v>2342.2237289999998</v>
      </c>
      <c r="AK87">
        <v>34930.462951000001</v>
      </c>
      <c r="AM87">
        <v>64279.183635000001</v>
      </c>
      <c r="AN87">
        <v>22555.815976000002</v>
      </c>
      <c r="AO87">
        <v>100229.785286</v>
      </c>
      <c r="AP87">
        <v>30862.000223999999</v>
      </c>
      <c r="AQ87">
        <v>12328.581209</v>
      </c>
      <c r="AR87">
        <v>12549.999943999999</v>
      </c>
    </row>
    <row r="88" spans="1:44" x14ac:dyDescent="0.25">
      <c r="A88" s="1">
        <v>39447</v>
      </c>
      <c r="B88">
        <v>22525.681466999999</v>
      </c>
      <c r="C88">
        <v>19113.487725999999</v>
      </c>
      <c r="E88">
        <v>27274.999473</v>
      </c>
      <c r="F88">
        <v>12001.000180999999</v>
      </c>
      <c r="G88">
        <v>12118.999976999999</v>
      </c>
      <c r="H88">
        <v>13152.48969</v>
      </c>
      <c r="I88">
        <v>33382.479984999998</v>
      </c>
      <c r="J88">
        <v>0</v>
      </c>
      <c r="K88">
        <v>29143.399947999998</v>
      </c>
      <c r="L88">
        <v>40999.999913</v>
      </c>
      <c r="N88">
        <v>41078.399817999998</v>
      </c>
      <c r="O88">
        <v>3154.5476669999998</v>
      </c>
      <c r="P88">
        <v>9163.2098889999997</v>
      </c>
      <c r="R88">
        <v>2703.8980000000001</v>
      </c>
      <c r="S88">
        <v>1754.6108630000001</v>
      </c>
      <c r="T88">
        <v>982.58208300000001</v>
      </c>
      <c r="U88">
        <v>15793.446502999999</v>
      </c>
      <c r="W88">
        <v>2053.5965540000002</v>
      </c>
      <c r="Y88">
        <v>48791.724996999998</v>
      </c>
      <c r="Z88">
        <v>34847.550730000003</v>
      </c>
      <c r="AB88">
        <v>3200.0000500000001</v>
      </c>
      <c r="AC88">
        <v>7555.1721369999996</v>
      </c>
      <c r="AD88">
        <v>194008.512869</v>
      </c>
      <c r="AE88">
        <v>22488.256518999999</v>
      </c>
      <c r="AF88">
        <v>36065.959138999999</v>
      </c>
      <c r="AG88">
        <v>111460.159546</v>
      </c>
      <c r="AH88">
        <v>82500.000222999995</v>
      </c>
      <c r="AI88">
        <v>124453.683139</v>
      </c>
      <c r="AJ88">
        <v>5643.4414489999999</v>
      </c>
      <c r="AK88">
        <v>50152.481003000001</v>
      </c>
      <c r="AM88">
        <v>76698.367559000006</v>
      </c>
      <c r="AN88">
        <v>20951.893915000001</v>
      </c>
      <c r="AO88">
        <v>62089.603260000004</v>
      </c>
      <c r="AP88">
        <v>15341.962568999999</v>
      </c>
      <c r="AQ88">
        <v>14832.936899</v>
      </c>
      <c r="AR88">
        <v>6685.4734040000003</v>
      </c>
    </row>
    <row r="89" spans="1:44" x14ac:dyDescent="0.25">
      <c r="A89" s="1">
        <v>39813</v>
      </c>
      <c r="B89">
        <v>4391.0059449999999</v>
      </c>
      <c r="C89">
        <v>18976.876311</v>
      </c>
      <c r="E89">
        <v>25804.999496</v>
      </c>
      <c r="F89">
        <v>12001.000161</v>
      </c>
      <c r="G89">
        <v>12118.999959000001</v>
      </c>
      <c r="H89">
        <v>10220.093434</v>
      </c>
      <c r="I89">
        <v>16586.820103999999</v>
      </c>
      <c r="J89">
        <v>0</v>
      </c>
      <c r="K89">
        <v>28548.399958000002</v>
      </c>
      <c r="L89">
        <v>40999.999882999997</v>
      </c>
      <c r="N89">
        <v>15173.899646</v>
      </c>
      <c r="O89">
        <v>2289.2155010000001</v>
      </c>
      <c r="P89">
        <v>6649.6259799999998</v>
      </c>
      <c r="R89">
        <v>1962.1847150000001</v>
      </c>
      <c r="S89">
        <v>1928.697426</v>
      </c>
      <c r="T89">
        <v>1080.070559</v>
      </c>
      <c r="U89">
        <v>8222.2763689999992</v>
      </c>
      <c r="W89">
        <v>2257.3474679999999</v>
      </c>
      <c r="Y89">
        <v>9015.8188050000008</v>
      </c>
      <c r="Z89">
        <v>4142.7999250000003</v>
      </c>
      <c r="AB89">
        <v>3200.0000500000001</v>
      </c>
      <c r="AC89">
        <v>5500.0870349999996</v>
      </c>
      <c r="AD89">
        <v>91059.704547999994</v>
      </c>
      <c r="AE89">
        <v>2619.981565</v>
      </c>
      <c r="AF89">
        <v>5389.1870179999996</v>
      </c>
      <c r="AG89">
        <v>15798.17065</v>
      </c>
      <c r="AH89">
        <v>10090.965276999999</v>
      </c>
      <c r="AI89">
        <v>12691.376453999999</v>
      </c>
      <c r="AJ89">
        <v>709.42545099999995</v>
      </c>
      <c r="AK89">
        <v>5455.2370689999998</v>
      </c>
      <c r="AM89">
        <v>9635.9545259999995</v>
      </c>
      <c r="AN89">
        <v>2657.8991120000001</v>
      </c>
      <c r="AO89">
        <v>11662.709525</v>
      </c>
      <c r="AP89">
        <v>3522.6642569999999</v>
      </c>
      <c r="AQ89">
        <v>2038.9865589999999</v>
      </c>
      <c r="AR89">
        <v>1535.0499110000001</v>
      </c>
    </row>
    <row r="90" spans="1:44" x14ac:dyDescent="0.25">
      <c r="A90" s="1">
        <v>40178</v>
      </c>
      <c r="B90">
        <v>16807.804426999999</v>
      </c>
      <c r="C90">
        <v>19023.957645999999</v>
      </c>
      <c r="E90">
        <v>25804.999503999999</v>
      </c>
      <c r="F90">
        <v>12001.000180999999</v>
      </c>
      <c r="G90">
        <v>12118.999976999999</v>
      </c>
      <c r="H90">
        <v>12392.134991999999</v>
      </c>
      <c r="I90">
        <v>23591.480254999999</v>
      </c>
      <c r="J90">
        <v>0</v>
      </c>
      <c r="K90">
        <v>28182.694495</v>
      </c>
      <c r="L90">
        <v>40999.999913</v>
      </c>
      <c r="N90">
        <v>19690.899850999998</v>
      </c>
      <c r="O90">
        <v>2181.3695939999998</v>
      </c>
      <c r="P90">
        <v>6336.3592959999996</v>
      </c>
      <c r="R90">
        <v>1869.7453660000001</v>
      </c>
      <c r="S90">
        <v>2647.0609720000002</v>
      </c>
      <c r="T90">
        <v>1482.3541439999999</v>
      </c>
      <c r="U90">
        <v>7640.8194389999999</v>
      </c>
      <c r="W90">
        <v>3098.1201609999998</v>
      </c>
      <c r="Y90">
        <v>28223.498574000001</v>
      </c>
      <c r="Z90">
        <v>13976.870080999999</v>
      </c>
      <c r="AB90">
        <v>3200.0000500000001</v>
      </c>
      <c r="AC90">
        <v>5177.3037210000002</v>
      </c>
      <c r="AD90">
        <v>109916.712272</v>
      </c>
      <c r="AE90">
        <v>7658.9765379999999</v>
      </c>
      <c r="AF90">
        <v>14324.905858</v>
      </c>
      <c r="AG90">
        <v>48556.946897000002</v>
      </c>
      <c r="AH90">
        <v>29709.313004</v>
      </c>
      <c r="AI90">
        <v>43152.593387000001</v>
      </c>
      <c r="AJ90">
        <v>1977.531872</v>
      </c>
      <c r="AK90">
        <v>17243.442244999998</v>
      </c>
      <c r="AM90">
        <v>28771.768925</v>
      </c>
      <c r="AN90">
        <v>8297.6370160000006</v>
      </c>
      <c r="AO90">
        <v>36010.668447999997</v>
      </c>
      <c r="AP90">
        <v>10803.255055</v>
      </c>
      <c r="AQ90">
        <v>6308.8559789999999</v>
      </c>
      <c r="AR90">
        <v>4707.6685399999997</v>
      </c>
    </row>
    <row r="91" spans="1:44" x14ac:dyDescent="0.25">
      <c r="A91" s="1">
        <v>40543</v>
      </c>
      <c r="B91">
        <v>16759.736239000002</v>
      </c>
      <c r="C91">
        <v>19166.186702999999</v>
      </c>
      <c r="E91">
        <v>27274.999473</v>
      </c>
      <c r="F91">
        <v>12001.000180999999</v>
      </c>
      <c r="G91">
        <v>12118.999976999999</v>
      </c>
      <c r="H91">
        <v>13804.0389</v>
      </c>
      <c r="I91">
        <v>29024.519801999999</v>
      </c>
      <c r="J91">
        <v>0</v>
      </c>
      <c r="K91">
        <v>29143.399947999998</v>
      </c>
      <c r="L91">
        <v>40999.999913</v>
      </c>
      <c r="N91">
        <v>25785.599807999999</v>
      </c>
      <c r="O91">
        <v>3250.3899780000002</v>
      </c>
      <c r="P91">
        <v>9441.6089830000001</v>
      </c>
      <c r="R91">
        <v>2786.0485520000002</v>
      </c>
      <c r="S91">
        <v>2692.0600180000001</v>
      </c>
      <c r="T91">
        <v>1507.5536099999999</v>
      </c>
      <c r="U91">
        <v>16775.470331</v>
      </c>
      <c r="W91">
        <v>3150.787045</v>
      </c>
      <c r="Y91">
        <v>29858.129061</v>
      </c>
      <c r="Z91">
        <v>15588.358215</v>
      </c>
      <c r="AB91">
        <v>3200.0000500000001</v>
      </c>
      <c r="AC91">
        <v>7703.4921750000003</v>
      </c>
      <c r="AD91">
        <v>148500.248761</v>
      </c>
      <c r="AE91">
        <v>9472.4271420000005</v>
      </c>
      <c r="AF91">
        <v>16780.535970000001</v>
      </c>
      <c r="AG91">
        <v>53626.778839999999</v>
      </c>
      <c r="AH91">
        <v>30494.793121999999</v>
      </c>
      <c r="AI91">
        <v>51366.396029000003</v>
      </c>
      <c r="AJ91">
        <v>2141.161141</v>
      </c>
      <c r="AK91">
        <v>20663.747450999999</v>
      </c>
      <c r="AM91">
        <v>33230.389937</v>
      </c>
      <c r="AN91">
        <v>8739.5582329999997</v>
      </c>
      <c r="AO91">
        <v>37983.388631000002</v>
      </c>
      <c r="AP91">
        <v>10656.010238000001</v>
      </c>
      <c r="AQ91">
        <v>6403.7058440000001</v>
      </c>
      <c r="AR91">
        <v>4643.504645</v>
      </c>
    </row>
    <row r="92" spans="1:44" x14ac:dyDescent="0.25">
      <c r="A92" s="1">
        <v>40908</v>
      </c>
      <c r="B92">
        <v>27500.000394999999</v>
      </c>
      <c r="C92">
        <v>19193.548708999999</v>
      </c>
      <c r="E92">
        <v>31999.999680000001</v>
      </c>
      <c r="F92">
        <v>12001.000180999999</v>
      </c>
      <c r="G92">
        <v>12118.999976999999</v>
      </c>
      <c r="H92">
        <v>14070.979616000001</v>
      </c>
      <c r="I92">
        <v>36947.599821000003</v>
      </c>
      <c r="J92">
        <v>0</v>
      </c>
      <c r="K92">
        <v>30998.399952</v>
      </c>
      <c r="L92">
        <v>40999.999913</v>
      </c>
      <c r="N92">
        <v>43939.200003999998</v>
      </c>
      <c r="O92">
        <v>3465.000004</v>
      </c>
      <c r="P92">
        <v>10065.000013000001</v>
      </c>
      <c r="R92">
        <v>2970.000004</v>
      </c>
      <c r="S92">
        <v>2587.592013</v>
      </c>
      <c r="T92">
        <v>1449.051528</v>
      </c>
      <c r="U92">
        <v>19833.719811999999</v>
      </c>
      <c r="W92">
        <v>3028.5176929999998</v>
      </c>
      <c r="Y92">
        <v>73188.574454999994</v>
      </c>
      <c r="Z92">
        <v>28666.778480000001</v>
      </c>
      <c r="AB92">
        <v>3200.0000500000001</v>
      </c>
      <c r="AC92">
        <v>8250.0000359999995</v>
      </c>
      <c r="AD92">
        <v>196720.801477</v>
      </c>
      <c r="AE92">
        <v>14188.911624</v>
      </c>
      <c r="AF92">
        <v>36503.230485</v>
      </c>
      <c r="AG92">
        <v>130323.37513299999</v>
      </c>
      <c r="AH92">
        <v>41250.486691999999</v>
      </c>
      <c r="AI92">
        <v>74929.240483000001</v>
      </c>
      <c r="AJ92">
        <v>2334.5234460000001</v>
      </c>
      <c r="AK92">
        <v>30118.510545000001</v>
      </c>
      <c r="AM92">
        <v>54165.619940999997</v>
      </c>
      <c r="AN92">
        <v>18612.525322000001</v>
      </c>
      <c r="AO92">
        <v>91683.612246999997</v>
      </c>
      <c r="AP92">
        <v>30862.000715999999</v>
      </c>
      <c r="AQ92">
        <v>10869.915427</v>
      </c>
      <c r="AR92">
        <v>12550.000203</v>
      </c>
    </row>
    <row r="93" spans="1:44" x14ac:dyDescent="0.25">
      <c r="A93" s="1">
        <v>41274</v>
      </c>
      <c r="B93">
        <v>26439.961126999999</v>
      </c>
      <c r="C93">
        <v>19161.91488</v>
      </c>
      <c r="E93">
        <v>31999.999672000002</v>
      </c>
      <c r="F93">
        <v>12001.000161</v>
      </c>
      <c r="G93">
        <v>12118.999959000001</v>
      </c>
      <c r="H93">
        <v>12983.841574</v>
      </c>
      <c r="I93">
        <v>34056.600589000001</v>
      </c>
      <c r="J93">
        <v>0</v>
      </c>
      <c r="K93">
        <v>30863.242568000001</v>
      </c>
      <c r="L93">
        <v>40999.999882999997</v>
      </c>
      <c r="N93">
        <v>43939.200296000003</v>
      </c>
      <c r="O93">
        <v>3348.9576200000001</v>
      </c>
      <c r="P93">
        <v>9727.9245159999991</v>
      </c>
      <c r="R93">
        <v>2870.5351030000002</v>
      </c>
      <c r="S93">
        <v>2453.1606019999999</v>
      </c>
      <c r="T93">
        <v>1373.769937</v>
      </c>
      <c r="U93">
        <v>17202.453656999998</v>
      </c>
      <c r="W93">
        <v>2871.179169</v>
      </c>
      <c r="Y93">
        <v>58508.170719000002</v>
      </c>
      <c r="Z93">
        <v>30799.149771</v>
      </c>
      <c r="AB93">
        <v>3200.0000850000001</v>
      </c>
      <c r="AC93">
        <v>7859.2104049999998</v>
      </c>
      <c r="AD93">
        <v>186952.13110299999</v>
      </c>
      <c r="AE93">
        <v>18180.635074999998</v>
      </c>
      <c r="AF93">
        <v>30463.084104000001</v>
      </c>
      <c r="AG93">
        <v>107208.66424300001</v>
      </c>
      <c r="AH93">
        <v>66266.201918000006</v>
      </c>
      <c r="AI93">
        <v>126123.891317</v>
      </c>
      <c r="AJ93">
        <v>3534.5317329999998</v>
      </c>
      <c r="AK93">
        <v>50825.835607000001</v>
      </c>
      <c r="AM93">
        <v>66225.112813999993</v>
      </c>
      <c r="AN93">
        <v>18578.546045999999</v>
      </c>
      <c r="AO93">
        <v>73755.193618000005</v>
      </c>
      <c r="AP93">
        <v>20518.044485999999</v>
      </c>
      <c r="AQ93">
        <v>11506.441822000001</v>
      </c>
      <c r="AR93">
        <v>8941.0229080000008</v>
      </c>
    </row>
    <row r="94" spans="1:44" x14ac:dyDescent="0.25">
      <c r="A94" s="1">
        <v>41639</v>
      </c>
      <c r="B94">
        <v>17186.563910000001</v>
      </c>
      <c r="C94">
        <v>18990.739270999999</v>
      </c>
      <c r="E94">
        <v>27274.999473</v>
      </c>
      <c r="F94">
        <v>12001.000180999999</v>
      </c>
      <c r="G94">
        <v>12118.999976999999</v>
      </c>
      <c r="H94">
        <v>10461.783767999999</v>
      </c>
      <c r="I94">
        <v>31396.079804000001</v>
      </c>
      <c r="J94">
        <v>0</v>
      </c>
      <c r="K94">
        <v>29143.399947999998</v>
      </c>
      <c r="L94">
        <v>40999.999913</v>
      </c>
      <c r="N94">
        <v>37257.600320999998</v>
      </c>
      <c r="O94">
        <v>2689.3370359999999</v>
      </c>
      <c r="P94">
        <v>7811.8837720000001</v>
      </c>
      <c r="R94">
        <v>2305.1460310000002</v>
      </c>
      <c r="S94">
        <v>1391.0315880000001</v>
      </c>
      <c r="T94">
        <v>778.97768900000005</v>
      </c>
      <c r="U94">
        <v>11935.85139</v>
      </c>
      <c r="W94">
        <v>1628.0633700000001</v>
      </c>
      <c r="Y94">
        <v>26063.711057</v>
      </c>
      <c r="Z94">
        <v>12213.929531</v>
      </c>
      <c r="AB94">
        <v>3199.9999969999999</v>
      </c>
      <c r="AC94">
        <v>6373.2602440000001</v>
      </c>
      <c r="AD94">
        <v>125245.47446899999</v>
      </c>
      <c r="AE94">
        <v>7649.4392470000003</v>
      </c>
      <c r="AF94">
        <v>15450.054099999999</v>
      </c>
      <c r="AG94">
        <v>45841.974954999998</v>
      </c>
      <c r="AH94">
        <v>28801.022134999999</v>
      </c>
      <c r="AI94">
        <v>37881.409946</v>
      </c>
      <c r="AJ94">
        <v>2024.799107</v>
      </c>
      <c r="AK94">
        <v>16104.604916</v>
      </c>
      <c r="AM94">
        <v>28030.722535000001</v>
      </c>
      <c r="AN94">
        <v>7565.3979840000002</v>
      </c>
      <c r="AO94">
        <v>33634.607708000003</v>
      </c>
      <c r="AP94">
        <v>8673.3305560000008</v>
      </c>
      <c r="AQ94">
        <v>5849.7578759999997</v>
      </c>
      <c r="AR94">
        <v>3779.5243190000001</v>
      </c>
    </row>
    <row r="95" spans="1:44" x14ac:dyDescent="0.25">
      <c r="A95" s="1">
        <v>42004</v>
      </c>
      <c r="B95">
        <v>3381.0468310000001</v>
      </c>
      <c r="C95">
        <v>18545.292046999999</v>
      </c>
      <c r="E95">
        <v>26689.999538</v>
      </c>
      <c r="F95">
        <v>12001.000180999999</v>
      </c>
      <c r="G95">
        <v>12118.999976999999</v>
      </c>
      <c r="H95">
        <v>3708.923119</v>
      </c>
      <c r="I95">
        <v>16586.820255999999</v>
      </c>
      <c r="J95">
        <v>0</v>
      </c>
      <c r="K95">
        <v>12141.973684000001</v>
      </c>
      <c r="L95">
        <v>40999.999913</v>
      </c>
      <c r="N95">
        <v>15173.89991</v>
      </c>
      <c r="O95">
        <v>965.25899500000003</v>
      </c>
      <c r="P95">
        <v>2803.8475579999999</v>
      </c>
      <c r="R95">
        <v>827.36485300000004</v>
      </c>
      <c r="S95">
        <v>497.368585</v>
      </c>
      <c r="T95">
        <v>278.526408</v>
      </c>
      <c r="U95">
        <v>2912.889126</v>
      </c>
      <c r="W95">
        <v>582.12019199999997</v>
      </c>
      <c r="Y95">
        <v>5871.1549660000001</v>
      </c>
      <c r="Z95">
        <v>2771.5446189999998</v>
      </c>
      <c r="AB95">
        <v>36449.999303999997</v>
      </c>
      <c r="AC95">
        <v>2342.9999929999999</v>
      </c>
      <c r="AD95">
        <v>41334.770706000003</v>
      </c>
      <c r="AE95">
        <v>1729.5386619999999</v>
      </c>
      <c r="AF95">
        <v>3223.0445960000002</v>
      </c>
      <c r="AG95">
        <v>10341.011801000001</v>
      </c>
      <c r="AH95">
        <v>5228.6008190000002</v>
      </c>
      <c r="AI95">
        <v>8634.6647369999991</v>
      </c>
      <c r="AJ95">
        <v>367.58648099999999</v>
      </c>
      <c r="AK95">
        <v>3656.1818720000001</v>
      </c>
      <c r="AM95">
        <v>6329.0761860000002</v>
      </c>
      <c r="AN95">
        <v>1694.128952</v>
      </c>
      <c r="AO95">
        <v>7569.6985809999996</v>
      </c>
      <c r="AP95">
        <v>1825.2570229999999</v>
      </c>
      <c r="AQ95">
        <v>1246.223328</v>
      </c>
      <c r="AR95">
        <v>795.38107600000001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881D-F78D-4A19-AE88-126EE2C06BE8}">
  <dimension ref="A1:E1207"/>
  <sheetViews>
    <sheetView workbookViewId="0">
      <selection activeCell="E8" sqref="E8"/>
    </sheetView>
  </sheetViews>
  <sheetFormatPr defaultRowHeight="15" x14ac:dyDescent="0.25"/>
  <cols>
    <col min="1" max="1" width="5.7109375" style="2" bestFit="1" customWidth="1"/>
    <col min="2" max="2" width="11.7109375" style="2" bestFit="1" customWidth="1"/>
    <col min="3" max="3" width="23" style="2" bestFit="1" customWidth="1"/>
    <col min="4" max="4" width="10" style="2" bestFit="1" customWidth="1"/>
    <col min="5" max="16384" width="9.140625" style="2"/>
  </cols>
  <sheetData>
    <row r="1" spans="1:5" x14ac:dyDescent="0.25">
      <c r="A1" s="5" t="s">
        <v>56</v>
      </c>
      <c r="B1" s="5" t="s">
        <v>44</v>
      </c>
      <c r="C1" s="5" t="s">
        <v>55</v>
      </c>
    </row>
    <row r="2" spans="1:5" x14ac:dyDescent="0.25">
      <c r="A2" s="5" t="s">
        <v>54</v>
      </c>
      <c r="B2" s="5" t="s">
        <v>44</v>
      </c>
      <c r="C2" s="5" t="s">
        <v>53</v>
      </c>
    </row>
    <row r="3" spans="1:5" x14ac:dyDescent="0.25">
      <c r="A3" s="5" t="s">
        <v>52</v>
      </c>
      <c r="B3" s="5" t="s">
        <v>44</v>
      </c>
      <c r="C3" s="5" t="s">
        <v>51</v>
      </c>
    </row>
    <row r="4" spans="1:5" x14ac:dyDescent="0.25">
      <c r="A4" s="5" t="s">
        <v>50</v>
      </c>
      <c r="B4" s="5" t="s">
        <v>44</v>
      </c>
      <c r="C4" s="5" t="s">
        <v>44</v>
      </c>
    </row>
    <row r="5" spans="1:5" x14ac:dyDescent="0.25">
      <c r="A5" s="5" t="s">
        <v>49</v>
      </c>
      <c r="B5" s="5" t="s">
        <v>44</v>
      </c>
      <c r="C5" s="5" t="s">
        <v>48</v>
      </c>
    </row>
    <row r="6" spans="1:5" x14ac:dyDescent="0.25">
      <c r="A6" s="5" t="s">
        <v>47</v>
      </c>
      <c r="B6" s="5" t="s">
        <v>44</v>
      </c>
      <c r="C6" s="5" t="s">
        <v>46</v>
      </c>
      <c r="D6" s="2" t="s">
        <v>57</v>
      </c>
    </row>
    <row r="7" spans="1:5" x14ac:dyDescent="0.25">
      <c r="A7" s="5" t="s">
        <v>45</v>
      </c>
      <c r="B7" s="5" t="s">
        <v>44</v>
      </c>
      <c r="C7" s="5" t="s">
        <v>43</v>
      </c>
      <c r="D7" t="s">
        <v>70</v>
      </c>
      <c r="E7" t="s">
        <v>68</v>
      </c>
    </row>
    <row r="8" spans="1:5" x14ac:dyDescent="0.25">
      <c r="A8" s="2">
        <v>1</v>
      </c>
      <c r="B8" s="4">
        <v>7975</v>
      </c>
      <c r="C8" s="3">
        <v>31.45882240960638</v>
      </c>
      <c r="D8" s="3">
        <f>DAY(EOMONTH(B8,0))</f>
        <v>31</v>
      </c>
      <c r="E8" s="2">
        <f>C8*D8*86400/43560</f>
        <v>1934.3275927890204</v>
      </c>
    </row>
    <row r="9" spans="1:5" x14ac:dyDescent="0.25">
      <c r="A9" s="2">
        <v>2</v>
      </c>
      <c r="B9" s="4">
        <v>8005</v>
      </c>
      <c r="C9" s="3">
        <v>20.646624347264428</v>
      </c>
      <c r="D9" s="3">
        <f t="shared" ref="D9:D72" si="0">DAY(EOMONTH(B9,0))</f>
        <v>30</v>
      </c>
      <c r="E9" s="2">
        <f t="shared" ref="E9:E72" si="1">C9*D9*86400/43560</f>
        <v>1228.5594652917675</v>
      </c>
    </row>
    <row r="10" spans="1:5" x14ac:dyDescent="0.25">
      <c r="A10" s="2">
        <v>3</v>
      </c>
      <c r="B10" s="4">
        <v>8036</v>
      </c>
      <c r="C10" s="3">
        <v>16.437943635789765</v>
      </c>
      <c r="D10" s="3">
        <f t="shared" si="0"/>
        <v>31</v>
      </c>
      <c r="E10" s="2">
        <f t="shared" si="1"/>
        <v>1010.7297574402963</v>
      </c>
    </row>
    <row r="11" spans="1:5" x14ac:dyDescent="0.25">
      <c r="A11" s="2">
        <v>4</v>
      </c>
      <c r="B11" s="4">
        <v>8067</v>
      </c>
      <c r="C11" s="3">
        <v>16.532430847536528</v>
      </c>
      <c r="D11" s="3">
        <f t="shared" si="0"/>
        <v>31</v>
      </c>
      <c r="E11" s="2">
        <f t="shared" si="1"/>
        <v>1016.5395496336511</v>
      </c>
    </row>
    <row r="12" spans="1:5" x14ac:dyDescent="0.25">
      <c r="A12" s="2">
        <v>5</v>
      </c>
      <c r="B12" s="4">
        <v>8095</v>
      </c>
      <c r="C12" s="3">
        <v>14.418212655096168</v>
      </c>
      <c r="D12" s="3">
        <f t="shared" si="0"/>
        <v>28</v>
      </c>
      <c r="E12" s="2">
        <f t="shared" si="1"/>
        <v>800.74701687806805</v>
      </c>
    </row>
    <row r="13" spans="1:5" x14ac:dyDescent="0.25">
      <c r="A13" s="2">
        <v>6</v>
      </c>
      <c r="B13" s="4">
        <v>8126</v>
      </c>
      <c r="C13" s="3">
        <v>21.374017729940761</v>
      </c>
      <c r="D13" s="3">
        <f t="shared" si="0"/>
        <v>31</v>
      </c>
      <c r="E13" s="2">
        <f t="shared" si="1"/>
        <v>1314.2371232294154</v>
      </c>
    </row>
    <row r="14" spans="1:5" x14ac:dyDescent="0.25">
      <c r="A14" s="2">
        <v>7</v>
      </c>
      <c r="B14" s="4">
        <v>8156</v>
      </c>
      <c r="C14" s="3">
        <v>26.245029168479071</v>
      </c>
      <c r="D14" s="3">
        <f t="shared" si="0"/>
        <v>30</v>
      </c>
      <c r="E14" s="2">
        <f t="shared" si="1"/>
        <v>1561.687686058259</v>
      </c>
    </row>
    <row r="15" spans="1:5" x14ac:dyDescent="0.25">
      <c r="A15" s="2">
        <v>8</v>
      </c>
      <c r="B15" s="4">
        <v>8187</v>
      </c>
      <c r="C15" s="3">
        <v>37.471605442263396</v>
      </c>
      <c r="D15" s="3">
        <f t="shared" si="0"/>
        <v>31</v>
      </c>
      <c r="E15" s="2">
        <f t="shared" si="1"/>
        <v>2304.039210664791</v>
      </c>
    </row>
    <row r="16" spans="1:5" x14ac:dyDescent="0.25">
      <c r="A16" s="2">
        <v>9</v>
      </c>
      <c r="B16" s="4">
        <v>8217</v>
      </c>
      <c r="C16" s="3">
        <v>50.919052650413327</v>
      </c>
      <c r="D16" s="3">
        <f t="shared" si="0"/>
        <v>30</v>
      </c>
      <c r="E16" s="2">
        <f t="shared" si="1"/>
        <v>3029.8940420080662</v>
      </c>
    </row>
    <row r="17" spans="1:5" x14ac:dyDescent="0.25">
      <c r="A17" s="2">
        <v>10</v>
      </c>
      <c r="B17" s="4">
        <v>8248</v>
      </c>
      <c r="C17" s="3">
        <v>63.227743649777473</v>
      </c>
      <c r="D17" s="3">
        <f t="shared" si="0"/>
        <v>31</v>
      </c>
      <c r="E17" s="2">
        <f t="shared" si="1"/>
        <v>3887.7224194573914</v>
      </c>
    </row>
    <row r="18" spans="1:5" x14ac:dyDescent="0.25">
      <c r="A18" s="2">
        <v>11</v>
      </c>
      <c r="B18" s="4">
        <v>8279</v>
      </c>
      <c r="C18" s="3">
        <v>69.130193543730172</v>
      </c>
      <c r="D18" s="3">
        <f t="shared" si="0"/>
        <v>31</v>
      </c>
      <c r="E18" s="2">
        <f t="shared" si="1"/>
        <v>4250.6499170690286</v>
      </c>
    </row>
    <row r="19" spans="1:5" x14ac:dyDescent="0.25">
      <c r="A19" s="2">
        <v>12</v>
      </c>
      <c r="B19" s="4">
        <v>8309</v>
      </c>
      <c r="C19" s="3">
        <v>60.252670377326517</v>
      </c>
      <c r="D19" s="3">
        <f t="shared" si="0"/>
        <v>30</v>
      </c>
      <c r="E19" s="2">
        <f t="shared" si="1"/>
        <v>3585.2828654276937</v>
      </c>
    </row>
    <row r="20" spans="1:5" x14ac:dyDescent="0.25">
      <c r="A20" s="2">
        <v>13</v>
      </c>
      <c r="B20" s="4">
        <v>8340</v>
      </c>
      <c r="C20" s="3">
        <v>39.707380625001754</v>
      </c>
      <c r="D20" s="3">
        <f t="shared" si="0"/>
        <v>31</v>
      </c>
      <c r="E20" s="2">
        <f t="shared" si="1"/>
        <v>2441.5116681819259</v>
      </c>
    </row>
    <row r="21" spans="1:5" x14ac:dyDescent="0.25">
      <c r="A21" s="2">
        <v>14</v>
      </c>
      <c r="B21" s="4">
        <v>8370</v>
      </c>
      <c r="C21" s="3">
        <v>26.060205334574519</v>
      </c>
      <c r="D21" s="3">
        <f t="shared" si="0"/>
        <v>30</v>
      </c>
      <c r="E21" s="2">
        <f t="shared" si="1"/>
        <v>1550.689904206087</v>
      </c>
    </row>
    <row r="22" spans="1:5" x14ac:dyDescent="0.25">
      <c r="A22" s="2">
        <v>15</v>
      </c>
      <c r="B22" s="4">
        <v>8401</v>
      </c>
      <c r="C22" s="3">
        <v>20.748001185172022</v>
      </c>
      <c r="D22" s="3">
        <f t="shared" si="0"/>
        <v>31</v>
      </c>
      <c r="E22" s="2">
        <f t="shared" si="1"/>
        <v>1275.7448662618169</v>
      </c>
    </row>
    <row r="23" spans="1:5" x14ac:dyDescent="0.25">
      <c r="A23" s="2">
        <v>16</v>
      </c>
      <c r="B23" s="4">
        <v>8432</v>
      </c>
      <c r="C23" s="3">
        <v>16.736129259001022</v>
      </c>
      <c r="D23" s="3">
        <f t="shared" si="0"/>
        <v>31</v>
      </c>
      <c r="E23" s="2">
        <f t="shared" si="1"/>
        <v>1029.0644767517983</v>
      </c>
    </row>
    <row r="24" spans="1:5" x14ac:dyDescent="0.25">
      <c r="A24" s="2">
        <v>17</v>
      </c>
      <c r="B24" s="4">
        <v>8460</v>
      </c>
      <c r="C24" s="3">
        <v>12.625939496203374</v>
      </c>
      <c r="D24" s="3">
        <f t="shared" si="0"/>
        <v>28</v>
      </c>
      <c r="E24" s="2">
        <f t="shared" si="1"/>
        <v>701.20920177261712</v>
      </c>
    </row>
    <row r="25" spans="1:5" x14ac:dyDescent="0.25">
      <c r="A25" s="2">
        <v>18</v>
      </c>
      <c r="B25" s="4">
        <v>8491</v>
      </c>
      <c r="C25" s="3">
        <v>12.867437894003309</v>
      </c>
      <c r="D25" s="3">
        <f t="shared" si="0"/>
        <v>31</v>
      </c>
      <c r="E25" s="2">
        <f t="shared" si="1"/>
        <v>791.18791678830269</v>
      </c>
    </row>
    <row r="26" spans="1:5" x14ac:dyDescent="0.25">
      <c r="A26" s="2">
        <v>19</v>
      </c>
      <c r="B26" s="4">
        <v>8521</v>
      </c>
      <c r="C26" s="3">
        <v>18.240919540772961</v>
      </c>
      <c r="D26" s="3">
        <f t="shared" si="0"/>
        <v>30</v>
      </c>
      <c r="E26" s="2">
        <f t="shared" si="1"/>
        <v>1085.410088376573</v>
      </c>
    </row>
    <row r="27" spans="1:5" x14ac:dyDescent="0.25">
      <c r="A27" s="2">
        <v>20</v>
      </c>
      <c r="B27" s="4">
        <v>8552</v>
      </c>
      <c r="C27" s="3">
        <v>26.636917360564244</v>
      </c>
      <c r="D27" s="3">
        <f t="shared" si="0"/>
        <v>31</v>
      </c>
      <c r="E27" s="2">
        <f t="shared" si="1"/>
        <v>1637.840207955355</v>
      </c>
    </row>
    <row r="28" spans="1:5" x14ac:dyDescent="0.25">
      <c r="A28" s="2">
        <v>21</v>
      </c>
      <c r="B28" s="4">
        <v>8582</v>
      </c>
      <c r="C28" s="3">
        <v>36.196116539952392</v>
      </c>
      <c r="D28" s="3">
        <f t="shared" si="0"/>
        <v>30</v>
      </c>
      <c r="E28" s="2">
        <f t="shared" si="1"/>
        <v>2153.8185048566711</v>
      </c>
    </row>
    <row r="29" spans="1:5" x14ac:dyDescent="0.25">
      <c r="A29" s="2">
        <v>22</v>
      </c>
      <c r="B29" s="4">
        <v>8613</v>
      </c>
      <c r="C29" s="3">
        <v>44.945823981016318</v>
      </c>
      <c r="D29" s="3">
        <f t="shared" si="0"/>
        <v>31</v>
      </c>
      <c r="E29" s="2">
        <f t="shared" si="1"/>
        <v>2763.6109951963754</v>
      </c>
    </row>
    <row r="30" spans="1:5" x14ac:dyDescent="0.25">
      <c r="A30" s="2">
        <v>23</v>
      </c>
      <c r="B30" s="4">
        <v>8644</v>
      </c>
      <c r="C30" s="3">
        <v>49.14161618672631</v>
      </c>
      <c r="D30" s="3">
        <f t="shared" si="0"/>
        <v>31</v>
      </c>
      <c r="E30" s="2">
        <f t="shared" si="1"/>
        <v>3021.600201894576</v>
      </c>
    </row>
    <row r="31" spans="1:5" x14ac:dyDescent="0.25">
      <c r="A31" s="2">
        <v>24</v>
      </c>
      <c r="B31" s="4">
        <v>8674</v>
      </c>
      <c r="C31" s="3">
        <v>42.830975151760683</v>
      </c>
      <c r="D31" s="3">
        <f t="shared" si="0"/>
        <v>30</v>
      </c>
      <c r="E31" s="2">
        <f t="shared" si="1"/>
        <v>2548.6200090303882</v>
      </c>
    </row>
    <row r="32" spans="1:5" x14ac:dyDescent="0.25">
      <c r="A32" s="2">
        <v>25</v>
      </c>
      <c r="B32" s="4">
        <v>8705</v>
      </c>
      <c r="C32" s="3">
        <v>28.226231671400569</v>
      </c>
      <c r="D32" s="3">
        <f t="shared" si="0"/>
        <v>31</v>
      </c>
      <c r="E32" s="2">
        <f t="shared" si="1"/>
        <v>1735.5633358282666</v>
      </c>
    </row>
    <row r="33" spans="1:5" x14ac:dyDescent="0.25">
      <c r="A33" s="2">
        <v>26</v>
      </c>
      <c r="B33" s="4">
        <v>8735</v>
      </c>
      <c r="C33" s="3">
        <v>18.525054576750684</v>
      </c>
      <c r="D33" s="3">
        <f t="shared" si="0"/>
        <v>30</v>
      </c>
      <c r="E33" s="2">
        <f t="shared" si="1"/>
        <v>1102.3172971289664</v>
      </c>
    </row>
    <row r="34" spans="1:5" x14ac:dyDescent="0.25">
      <c r="A34" s="2">
        <v>27</v>
      </c>
      <c r="B34" s="4">
        <v>8766</v>
      </c>
      <c r="C34" s="3">
        <v>14.748842128418129</v>
      </c>
      <c r="D34" s="3">
        <f t="shared" si="0"/>
        <v>31</v>
      </c>
      <c r="E34" s="2">
        <f t="shared" si="1"/>
        <v>906.87095401182557</v>
      </c>
    </row>
    <row r="35" spans="1:5" x14ac:dyDescent="0.25">
      <c r="A35" s="2">
        <v>28</v>
      </c>
      <c r="B35" s="4">
        <v>8797</v>
      </c>
      <c r="C35" s="3">
        <v>2.1740685001168245</v>
      </c>
      <c r="D35" s="3">
        <f t="shared" si="0"/>
        <v>31</v>
      </c>
      <c r="E35" s="2">
        <f t="shared" si="1"/>
        <v>133.67826149478657</v>
      </c>
    </row>
    <row r="36" spans="1:5" x14ac:dyDescent="0.25">
      <c r="A36" s="2">
        <v>29</v>
      </c>
      <c r="B36" s="4">
        <v>8826</v>
      </c>
      <c r="C36" s="3">
        <v>2.3755191877026682</v>
      </c>
      <c r="D36" s="3">
        <f t="shared" si="0"/>
        <v>29</v>
      </c>
      <c r="E36" s="2">
        <f t="shared" si="1"/>
        <v>136.64143426785594</v>
      </c>
    </row>
    <row r="37" spans="1:5" x14ac:dyDescent="0.25">
      <c r="A37" s="2">
        <v>30</v>
      </c>
      <c r="B37" s="4">
        <v>8857</v>
      </c>
      <c r="C37" s="3">
        <v>12.744228621411045</v>
      </c>
      <c r="D37" s="3">
        <f t="shared" si="0"/>
        <v>31</v>
      </c>
      <c r="E37" s="2">
        <f t="shared" si="1"/>
        <v>783.61207391155529</v>
      </c>
    </row>
    <row r="38" spans="1:5" x14ac:dyDescent="0.25">
      <c r="A38" s="2">
        <v>31</v>
      </c>
      <c r="B38" s="4">
        <v>8887</v>
      </c>
      <c r="C38" s="3">
        <v>15.092694700086467</v>
      </c>
      <c r="D38" s="3">
        <f t="shared" si="0"/>
        <v>30</v>
      </c>
      <c r="E38" s="2">
        <f t="shared" si="1"/>
        <v>898.07770116216989</v>
      </c>
    </row>
    <row r="39" spans="1:5" x14ac:dyDescent="0.25">
      <c r="A39" s="2">
        <v>32</v>
      </c>
      <c r="B39" s="4">
        <v>8918</v>
      </c>
      <c r="C39" s="3">
        <v>22.787427416393314</v>
      </c>
      <c r="D39" s="3">
        <f t="shared" si="0"/>
        <v>31</v>
      </c>
      <c r="E39" s="2">
        <f t="shared" si="1"/>
        <v>1401.144297338564</v>
      </c>
    </row>
    <row r="40" spans="1:5" x14ac:dyDescent="0.25">
      <c r="A40" s="2">
        <v>33</v>
      </c>
      <c r="B40" s="4">
        <v>8948</v>
      </c>
      <c r="C40" s="3">
        <v>30.965158889992757</v>
      </c>
      <c r="D40" s="3">
        <f t="shared" si="0"/>
        <v>30</v>
      </c>
      <c r="E40" s="2">
        <f t="shared" si="1"/>
        <v>1842.5549091565936</v>
      </c>
    </row>
    <row r="41" spans="1:5" x14ac:dyDescent="0.25">
      <c r="A41" s="2">
        <v>34</v>
      </c>
      <c r="B41" s="4">
        <v>8979</v>
      </c>
      <c r="C41" s="3">
        <v>38.450384020551816</v>
      </c>
      <c r="D41" s="3">
        <f t="shared" si="0"/>
        <v>31</v>
      </c>
      <c r="E41" s="2">
        <f t="shared" si="1"/>
        <v>2364.2219596107893</v>
      </c>
    </row>
    <row r="42" spans="1:5" x14ac:dyDescent="0.25">
      <c r="A42" s="2">
        <v>35</v>
      </c>
      <c r="B42" s="4">
        <v>9010</v>
      </c>
      <c r="C42" s="3">
        <v>42.039812521142409</v>
      </c>
      <c r="D42" s="3">
        <f t="shared" si="0"/>
        <v>31</v>
      </c>
      <c r="E42" s="2">
        <f t="shared" si="1"/>
        <v>2584.9273153495828</v>
      </c>
    </row>
    <row r="43" spans="1:5" x14ac:dyDescent="0.25">
      <c r="A43" s="2">
        <v>36</v>
      </c>
      <c r="B43" s="4">
        <v>9040</v>
      </c>
      <c r="C43" s="3">
        <v>36.641167002645133</v>
      </c>
      <c r="D43" s="3">
        <f t="shared" si="0"/>
        <v>30</v>
      </c>
      <c r="E43" s="2">
        <f t="shared" si="1"/>
        <v>2180.3008464383879</v>
      </c>
    </row>
    <row r="44" spans="1:5" x14ac:dyDescent="0.25">
      <c r="A44" s="2">
        <v>37</v>
      </c>
      <c r="B44" s="4">
        <v>9071</v>
      </c>
      <c r="C44" s="3">
        <v>24.147058638346799</v>
      </c>
      <c r="D44" s="3">
        <f t="shared" si="0"/>
        <v>31</v>
      </c>
      <c r="E44" s="2">
        <f t="shared" si="1"/>
        <v>1484.7447625561997</v>
      </c>
    </row>
    <row r="45" spans="1:5" x14ac:dyDescent="0.25">
      <c r="A45" s="2">
        <v>38</v>
      </c>
      <c r="B45" s="4">
        <v>9101</v>
      </c>
      <c r="C45" s="3">
        <v>15.847867485499783</v>
      </c>
      <c r="D45" s="3">
        <f t="shared" si="0"/>
        <v>30</v>
      </c>
      <c r="E45" s="2">
        <f t="shared" si="1"/>
        <v>943.01360244296222</v>
      </c>
    </row>
    <row r="46" spans="1:5" x14ac:dyDescent="0.25">
      <c r="A46" s="2">
        <v>39</v>
      </c>
      <c r="B46" s="4">
        <v>9132</v>
      </c>
      <c r="C46" s="3">
        <v>12.617382294196993</v>
      </c>
      <c r="D46" s="3">
        <f t="shared" si="0"/>
        <v>31</v>
      </c>
      <c r="E46" s="2">
        <f t="shared" si="1"/>
        <v>775.81259726302164</v>
      </c>
    </row>
    <row r="47" spans="1:5" x14ac:dyDescent="0.25">
      <c r="A47" s="2">
        <v>40</v>
      </c>
      <c r="B47" s="4">
        <v>9163</v>
      </c>
      <c r="C47" s="3">
        <v>2.1740685001168245</v>
      </c>
      <c r="D47" s="3">
        <f t="shared" si="0"/>
        <v>31</v>
      </c>
      <c r="E47" s="2">
        <f t="shared" si="1"/>
        <v>133.67826149478657</v>
      </c>
    </row>
    <row r="48" spans="1:5" x14ac:dyDescent="0.25">
      <c r="A48" s="2">
        <v>41</v>
      </c>
      <c r="B48" s="4">
        <v>9191</v>
      </c>
      <c r="C48" s="3">
        <v>2.1456103783032208</v>
      </c>
      <c r="D48" s="3">
        <f t="shared" si="0"/>
        <v>28</v>
      </c>
      <c r="E48" s="2">
        <f t="shared" si="1"/>
        <v>119.16117142312102</v>
      </c>
    </row>
    <row r="49" spans="1:5" x14ac:dyDescent="0.25">
      <c r="A49" s="2">
        <v>42</v>
      </c>
      <c r="B49" s="4">
        <v>9222</v>
      </c>
      <c r="C49" s="3">
        <v>3.7601596438044438</v>
      </c>
      <c r="D49" s="3">
        <f t="shared" si="0"/>
        <v>31</v>
      </c>
      <c r="E49" s="2">
        <f t="shared" si="1"/>
        <v>231.20320454466994</v>
      </c>
    </row>
    <row r="50" spans="1:5" x14ac:dyDescent="0.25">
      <c r="A50" s="2">
        <v>43</v>
      </c>
      <c r="B50" s="4">
        <v>9252</v>
      </c>
      <c r="C50" s="3">
        <v>5.5705762099594942</v>
      </c>
      <c r="D50" s="3">
        <f t="shared" si="0"/>
        <v>30</v>
      </c>
      <c r="E50" s="2">
        <f t="shared" si="1"/>
        <v>331.47230340254845</v>
      </c>
    </row>
    <row r="51" spans="1:5" x14ac:dyDescent="0.25">
      <c r="A51" s="2">
        <v>44</v>
      </c>
      <c r="B51" s="4">
        <v>9283</v>
      </c>
      <c r="C51" s="3">
        <v>10.614001969209573</v>
      </c>
      <c r="D51" s="3">
        <f t="shared" si="0"/>
        <v>31</v>
      </c>
      <c r="E51" s="2">
        <f t="shared" si="1"/>
        <v>652.62954256958028</v>
      </c>
    </row>
    <row r="52" spans="1:5" x14ac:dyDescent="0.25">
      <c r="A52" s="2">
        <v>45</v>
      </c>
      <c r="B52" s="4">
        <v>9313</v>
      </c>
      <c r="C52" s="3">
        <v>14.423052301148697</v>
      </c>
      <c r="D52" s="3">
        <f t="shared" si="0"/>
        <v>30</v>
      </c>
      <c r="E52" s="2">
        <f t="shared" si="1"/>
        <v>858.23121130802167</v>
      </c>
    </row>
    <row r="53" spans="1:5" x14ac:dyDescent="0.25">
      <c r="A53" s="2">
        <v>46</v>
      </c>
      <c r="B53" s="4">
        <v>9344</v>
      </c>
      <c r="C53" s="3">
        <v>17.909544778951435</v>
      </c>
      <c r="D53" s="3">
        <f t="shared" si="0"/>
        <v>31</v>
      </c>
      <c r="E53" s="2">
        <f t="shared" si="1"/>
        <v>1101.214984755361</v>
      </c>
    </row>
    <row r="54" spans="1:5" x14ac:dyDescent="0.25">
      <c r="A54" s="2">
        <v>47</v>
      </c>
      <c r="B54" s="4">
        <v>9375</v>
      </c>
      <c r="C54" s="3">
        <v>19.581440446568468</v>
      </c>
      <c r="D54" s="3">
        <f t="shared" si="0"/>
        <v>31</v>
      </c>
      <c r="E54" s="2">
        <f t="shared" si="1"/>
        <v>1204.0158423344581</v>
      </c>
    </row>
    <row r="55" spans="1:5" x14ac:dyDescent="0.25">
      <c r="A55" s="2">
        <v>48</v>
      </c>
      <c r="B55" s="4">
        <v>9405</v>
      </c>
      <c r="C55" s="3">
        <v>17.066841798931218</v>
      </c>
      <c r="D55" s="3">
        <f t="shared" si="0"/>
        <v>30</v>
      </c>
      <c r="E55" s="2">
        <f t="shared" si="1"/>
        <v>1015.5476111760726</v>
      </c>
    </row>
    <row r="56" spans="1:5" x14ac:dyDescent="0.25">
      <c r="A56" s="2">
        <v>49</v>
      </c>
      <c r="B56" s="4">
        <v>9436</v>
      </c>
      <c r="C56" s="3">
        <v>11.247295416666995</v>
      </c>
      <c r="D56" s="3">
        <f t="shared" si="0"/>
        <v>31</v>
      </c>
      <c r="E56" s="2">
        <f t="shared" si="1"/>
        <v>691.56923884299545</v>
      </c>
    </row>
    <row r="57" spans="1:5" x14ac:dyDescent="0.25">
      <c r="A57" s="2">
        <v>50</v>
      </c>
      <c r="B57" s="4">
        <v>9466</v>
      </c>
      <c r="C57" s="3">
        <v>7.3816712007542042</v>
      </c>
      <c r="D57" s="3">
        <f t="shared" si="0"/>
        <v>30</v>
      </c>
      <c r="E57" s="2">
        <f t="shared" si="1"/>
        <v>439.23993921843197</v>
      </c>
    </row>
    <row r="58" spans="1:5" x14ac:dyDescent="0.25">
      <c r="A58" s="2">
        <v>51</v>
      </c>
      <c r="B58" s="4">
        <v>9497</v>
      </c>
      <c r="C58" s="3">
        <v>5.8769653137999258</v>
      </c>
      <c r="D58" s="3">
        <f t="shared" si="0"/>
        <v>31</v>
      </c>
      <c r="E58" s="2">
        <f t="shared" si="1"/>
        <v>361.36051185678883</v>
      </c>
    </row>
    <row r="59" spans="1:5" x14ac:dyDescent="0.25">
      <c r="A59" s="2">
        <v>52</v>
      </c>
      <c r="B59" s="4">
        <v>9528</v>
      </c>
      <c r="C59" s="3">
        <v>2.1740685001168254</v>
      </c>
      <c r="D59" s="3">
        <f t="shared" si="0"/>
        <v>31</v>
      </c>
      <c r="E59" s="2">
        <f t="shared" si="1"/>
        <v>133.6782614947866</v>
      </c>
    </row>
    <row r="60" spans="1:5" x14ac:dyDescent="0.25">
      <c r="A60" s="2">
        <v>53</v>
      </c>
      <c r="B60" s="4">
        <v>9556</v>
      </c>
      <c r="C60" s="3">
        <v>2.159949061798967</v>
      </c>
      <c r="D60" s="3">
        <f t="shared" si="0"/>
        <v>28</v>
      </c>
      <c r="E60" s="2">
        <f t="shared" si="1"/>
        <v>119.95750161395915</v>
      </c>
    </row>
    <row r="61" spans="1:5" x14ac:dyDescent="0.25">
      <c r="A61" s="2">
        <v>54</v>
      </c>
      <c r="B61" s="4">
        <v>9587</v>
      </c>
      <c r="C61" s="3">
        <v>10.30178716178551</v>
      </c>
      <c r="D61" s="3">
        <f t="shared" si="0"/>
        <v>31</v>
      </c>
      <c r="E61" s="2">
        <f t="shared" si="1"/>
        <v>633.43220234449745</v>
      </c>
    </row>
    <row r="62" spans="1:5" x14ac:dyDescent="0.25">
      <c r="A62" s="2">
        <v>55</v>
      </c>
      <c r="B62" s="4">
        <v>9617</v>
      </c>
      <c r="C62" s="3">
        <v>5.2776434349216919</v>
      </c>
      <c r="D62" s="3">
        <f t="shared" si="0"/>
        <v>30</v>
      </c>
      <c r="E62" s="2">
        <f t="shared" si="1"/>
        <v>314.04159282178665</v>
      </c>
    </row>
    <row r="63" spans="1:5" x14ac:dyDescent="0.25">
      <c r="A63" s="2">
        <v>56</v>
      </c>
      <c r="B63" s="4">
        <v>9648</v>
      </c>
      <c r="C63" s="3">
        <v>23.726329109957518</v>
      </c>
      <c r="D63" s="3">
        <f t="shared" si="0"/>
        <v>31</v>
      </c>
      <c r="E63" s="2">
        <f t="shared" si="1"/>
        <v>1458.8751122155695</v>
      </c>
    </row>
    <row r="64" spans="1:5" x14ac:dyDescent="0.25">
      <c r="A64" s="2">
        <v>57</v>
      </c>
      <c r="B64" s="4">
        <v>9678</v>
      </c>
      <c r="C64" s="3">
        <v>32.241004539088891</v>
      </c>
      <c r="D64" s="3">
        <f t="shared" si="0"/>
        <v>30</v>
      </c>
      <c r="E64" s="2">
        <f t="shared" si="1"/>
        <v>1918.4729973672729</v>
      </c>
    </row>
    <row r="65" spans="1:5" x14ac:dyDescent="0.25">
      <c r="A65" s="2">
        <v>58</v>
      </c>
      <c r="B65" s="4">
        <v>9709</v>
      </c>
      <c r="C65" s="3">
        <v>40.034640550058946</v>
      </c>
      <c r="D65" s="3">
        <f t="shared" si="0"/>
        <v>31</v>
      </c>
      <c r="E65" s="2">
        <f t="shared" si="1"/>
        <v>2461.6340966317239</v>
      </c>
    </row>
    <row r="66" spans="1:5" x14ac:dyDescent="0.25">
      <c r="A66" s="2">
        <v>59</v>
      </c>
      <c r="B66" s="4">
        <v>9740</v>
      </c>
      <c r="C66" s="3">
        <v>43.771962906175659</v>
      </c>
      <c r="D66" s="3">
        <f t="shared" si="0"/>
        <v>31</v>
      </c>
      <c r="E66" s="2">
        <f t="shared" si="1"/>
        <v>2691.43309109047</v>
      </c>
    </row>
    <row r="67" spans="1:5" x14ac:dyDescent="0.25">
      <c r="A67" s="2">
        <v>60</v>
      </c>
      <c r="B67" s="4">
        <v>9770</v>
      </c>
      <c r="C67" s="3">
        <v>38.150879052378471</v>
      </c>
      <c r="D67" s="3">
        <f t="shared" si="0"/>
        <v>30</v>
      </c>
      <c r="E67" s="2">
        <f t="shared" si="1"/>
        <v>2270.1349518770658</v>
      </c>
    </row>
    <row r="68" spans="1:5" x14ac:dyDescent="0.25">
      <c r="A68" s="2">
        <v>61</v>
      </c>
      <c r="B68" s="4">
        <v>9801</v>
      </c>
      <c r="C68" s="3">
        <v>25.141980699352601</v>
      </c>
      <c r="D68" s="3">
        <f t="shared" si="0"/>
        <v>31</v>
      </c>
      <c r="E68" s="2">
        <f t="shared" si="1"/>
        <v>1545.9201355634987</v>
      </c>
    </row>
    <row r="69" spans="1:5" x14ac:dyDescent="0.25">
      <c r="A69" s="2">
        <v>62</v>
      </c>
      <c r="B69" s="4">
        <v>9831</v>
      </c>
      <c r="C69" s="3">
        <v>16.500841134065862</v>
      </c>
      <c r="D69" s="3">
        <f t="shared" si="0"/>
        <v>30</v>
      </c>
      <c r="E69" s="2">
        <f t="shared" si="1"/>
        <v>981.86823277086125</v>
      </c>
    </row>
    <row r="70" spans="1:5" x14ac:dyDescent="0.25">
      <c r="A70" s="2">
        <v>63</v>
      </c>
      <c r="B70" s="4">
        <v>9862</v>
      </c>
      <c r="C70" s="3">
        <v>13.137251491710991</v>
      </c>
      <c r="D70" s="3">
        <f t="shared" si="0"/>
        <v>31</v>
      </c>
      <c r="E70" s="2">
        <f t="shared" si="1"/>
        <v>807.77810825065933</v>
      </c>
    </row>
    <row r="71" spans="1:5" x14ac:dyDescent="0.25">
      <c r="A71" s="2">
        <v>64</v>
      </c>
      <c r="B71" s="4">
        <v>9893</v>
      </c>
      <c r="C71" s="3">
        <v>14.066720631768359</v>
      </c>
      <c r="D71" s="3">
        <f t="shared" si="0"/>
        <v>31</v>
      </c>
      <c r="E71" s="2">
        <f t="shared" si="1"/>
        <v>864.92893801947594</v>
      </c>
    </row>
    <row r="72" spans="1:5" x14ac:dyDescent="0.25">
      <c r="A72" s="2">
        <v>65</v>
      </c>
      <c r="B72" s="4">
        <v>9921</v>
      </c>
      <c r="C72" s="3">
        <v>16.047093755066118</v>
      </c>
      <c r="D72" s="3">
        <f t="shared" si="0"/>
        <v>28</v>
      </c>
      <c r="E72" s="2">
        <f t="shared" si="1"/>
        <v>891.21049614912658</v>
      </c>
    </row>
    <row r="73" spans="1:5" x14ac:dyDescent="0.25">
      <c r="A73" s="2">
        <v>66</v>
      </c>
      <c r="B73" s="4">
        <v>9952</v>
      </c>
      <c r="C73" s="3">
        <v>21.374017729940757</v>
      </c>
      <c r="D73" s="3">
        <f t="shared" ref="D73:D136" si="2">DAY(EOMONTH(B73,0))</f>
        <v>31</v>
      </c>
      <c r="E73" s="2">
        <f t="shared" ref="E73:E136" si="3">C73*D73*86400/43560</f>
        <v>1314.2371232294151</v>
      </c>
    </row>
    <row r="74" spans="1:5" x14ac:dyDescent="0.25">
      <c r="A74" s="2">
        <v>67</v>
      </c>
      <c r="B74" s="4">
        <v>9982</v>
      </c>
      <c r="C74" s="3">
        <v>26.245029168479086</v>
      </c>
      <c r="D74" s="3">
        <f t="shared" si="2"/>
        <v>30</v>
      </c>
      <c r="E74" s="2">
        <f t="shared" si="3"/>
        <v>1561.6876860582595</v>
      </c>
    </row>
    <row r="75" spans="1:5" x14ac:dyDescent="0.25">
      <c r="A75" s="2">
        <v>68</v>
      </c>
      <c r="B75" s="4">
        <v>10013</v>
      </c>
      <c r="C75" s="3">
        <v>37.471605442263382</v>
      </c>
      <c r="D75" s="3">
        <f t="shared" si="2"/>
        <v>31</v>
      </c>
      <c r="E75" s="2">
        <f t="shared" si="3"/>
        <v>2304.0392106647896</v>
      </c>
    </row>
    <row r="76" spans="1:5" x14ac:dyDescent="0.25">
      <c r="A76" s="2">
        <v>69</v>
      </c>
      <c r="B76" s="4">
        <v>10043</v>
      </c>
      <c r="C76" s="3">
        <v>50.919052650413327</v>
      </c>
      <c r="D76" s="3">
        <f t="shared" si="2"/>
        <v>30</v>
      </c>
      <c r="E76" s="2">
        <f t="shared" si="3"/>
        <v>3029.8940420080662</v>
      </c>
    </row>
    <row r="77" spans="1:5" x14ac:dyDescent="0.25">
      <c r="A77" s="2">
        <v>70</v>
      </c>
      <c r="B77" s="4">
        <v>10074</v>
      </c>
      <c r="C77" s="3">
        <v>63.227743649777473</v>
      </c>
      <c r="D77" s="3">
        <f t="shared" si="2"/>
        <v>31</v>
      </c>
      <c r="E77" s="2">
        <f t="shared" si="3"/>
        <v>3887.7224194573914</v>
      </c>
    </row>
    <row r="78" spans="1:5" x14ac:dyDescent="0.25">
      <c r="A78" s="2">
        <v>71</v>
      </c>
      <c r="B78" s="4">
        <v>10105</v>
      </c>
      <c r="C78" s="3">
        <v>69.13019354373013</v>
      </c>
      <c r="D78" s="3">
        <f t="shared" si="2"/>
        <v>31</v>
      </c>
      <c r="E78" s="2">
        <f t="shared" si="3"/>
        <v>4250.6499170690258</v>
      </c>
    </row>
    <row r="79" spans="1:5" x14ac:dyDescent="0.25">
      <c r="A79" s="2">
        <v>72</v>
      </c>
      <c r="B79" s="4">
        <v>10135</v>
      </c>
      <c r="C79" s="3">
        <v>60.252670377326524</v>
      </c>
      <c r="D79" s="3">
        <f t="shared" si="2"/>
        <v>30</v>
      </c>
      <c r="E79" s="2">
        <f t="shared" si="3"/>
        <v>3585.2828654276946</v>
      </c>
    </row>
    <row r="80" spans="1:5" x14ac:dyDescent="0.25">
      <c r="A80" s="2">
        <v>73</v>
      </c>
      <c r="B80" s="4">
        <v>10166</v>
      </c>
      <c r="C80" s="3">
        <v>39.707380625001754</v>
      </c>
      <c r="D80" s="3">
        <f t="shared" si="2"/>
        <v>31</v>
      </c>
      <c r="E80" s="2">
        <f t="shared" si="3"/>
        <v>2441.5116681819259</v>
      </c>
    </row>
    <row r="81" spans="1:5" x14ac:dyDescent="0.25">
      <c r="A81" s="2">
        <v>74</v>
      </c>
      <c r="B81" s="4">
        <v>10196</v>
      </c>
      <c r="C81" s="3">
        <v>26.06020533457453</v>
      </c>
      <c r="D81" s="3">
        <f t="shared" si="2"/>
        <v>30</v>
      </c>
      <c r="E81" s="2">
        <f t="shared" si="3"/>
        <v>1550.6899042060877</v>
      </c>
    </row>
    <row r="82" spans="1:5" x14ac:dyDescent="0.25">
      <c r="A82" s="2">
        <v>75</v>
      </c>
      <c r="B82" s="4">
        <v>10227</v>
      </c>
      <c r="C82" s="3">
        <v>20.748001185172026</v>
      </c>
      <c r="D82" s="3">
        <f t="shared" si="2"/>
        <v>31</v>
      </c>
      <c r="E82" s="2">
        <f t="shared" si="3"/>
        <v>1275.7448662618172</v>
      </c>
    </row>
    <row r="83" spans="1:5" x14ac:dyDescent="0.25">
      <c r="A83" s="2">
        <v>76</v>
      </c>
      <c r="B83" s="4">
        <v>10258</v>
      </c>
      <c r="C83" s="3">
        <v>14.946953685685505</v>
      </c>
      <c r="D83" s="3">
        <f t="shared" si="2"/>
        <v>31</v>
      </c>
      <c r="E83" s="2">
        <f t="shared" si="3"/>
        <v>919.05235885537309</v>
      </c>
    </row>
    <row r="84" spans="1:5" x14ac:dyDescent="0.25">
      <c r="A84" s="2">
        <v>77</v>
      </c>
      <c r="B84" s="4">
        <v>10287</v>
      </c>
      <c r="C84" s="3">
        <v>12.267853058209205</v>
      </c>
      <c r="D84" s="3">
        <f t="shared" si="2"/>
        <v>29</v>
      </c>
      <c r="E84" s="2">
        <f t="shared" si="3"/>
        <v>705.65501888542212</v>
      </c>
    </row>
    <row r="85" spans="1:5" x14ac:dyDescent="0.25">
      <c r="A85" s="2">
        <v>78</v>
      </c>
      <c r="B85" s="4">
        <v>10318</v>
      </c>
      <c r="C85" s="3">
        <v>14.363412601730017</v>
      </c>
      <c r="D85" s="3">
        <f t="shared" si="2"/>
        <v>31</v>
      </c>
      <c r="E85" s="2">
        <f t="shared" si="3"/>
        <v>883.17181617249025</v>
      </c>
    </row>
    <row r="86" spans="1:5" x14ac:dyDescent="0.25">
      <c r="A86" s="2">
        <v>79</v>
      </c>
      <c r="B86" s="4">
        <v>10348</v>
      </c>
      <c r="C86" s="3">
        <v>26.245029168479068</v>
      </c>
      <c r="D86" s="3">
        <f t="shared" si="2"/>
        <v>30</v>
      </c>
      <c r="E86" s="2">
        <f t="shared" si="3"/>
        <v>1561.6876860582588</v>
      </c>
    </row>
    <row r="87" spans="1:5" x14ac:dyDescent="0.25">
      <c r="A87" s="2">
        <v>80</v>
      </c>
      <c r="B87" s="4">
        <v>10379</v>
      </c>
      <c r="C87" s="3">
        <v>37.471605442263396</v>
      </c>
      <c r="D87" s="3">
        <f t="shared" si="2"/>
        <v>31</v>
      </c>
      <c r="E87" s="2">
        <f t="shared" si="3"/>
        <v>2304.039210664791</v>
      </c>
    </row>
    <row r="88" spans="1:5" x14ac:dyDescent="0.25">
      <c r="A88" s="2">
        <v>81</v>
      </c>
      <c r="B88" s="4">
        <v>10409</v>
      </c>
      <c r="C88" s="3">
        <v>50.919052650413327</v>
      </c>
      <c r="D88" s="3">
        <f t="shared" si="2"/>
        <v>30</v>
      </c>
      <c r="E88" s="2">
        <f t="shared" si="3"/>
        <v>3029.8940420080662</v>
      </c>
    </row>
    <row r="89" spans="1:5" x14ac:dyDescent="0.25">
      <c r="A89" s="2">
        <v>82</v>
      </c>
      <c r="B89" s="4">
        <v>10440</v>
      </c>
      <c r="C89" s="3">
        <v>63.227743649777466</v>
      </c>
      <c r="D89" s="3">
        <f t="shared" si="2"/>
        <v>31</v>
      </c>
      <c r="E89" s="2">
        <f t="shared" si="3"/>
        <v>3887.7224194573914</v>
      </c>
    </row>
    <row r="90" spans="1:5" x14ac:dyDescent="0.25">
      <c r="A90" s="2">
        <v>83</v>
      </c>
      <c r="B90" s="4">
        <v>10471</v>
      </c>
      <c r="C90" s="3">
        <v>69.130193543730186</v>
      </c>
      <c r="D90" s="3">
        <f t="shared" si="2"/>
        <v>31</v>
      </c>
      <c r="E90" s="2">
        <f t="shared" si="3"/>
        <v>4250.6499170690304</v>
      </c>
    </row>
    <row r="91" spans="1:5" x14ac:dyDescent="0.25">
      <c r="A91" s="2">
        <v>84</v>
      </c>
      <c r="B91" s="4">
        <v>10501</v>
      </c>
      <c r="C91" s="3">
        <v>60.25267037732656</v>
      </c>
      <c r="D91" s="3">
        <f t="shared" si="2"/>
        <v>30</v>
      </c>
      <c r="E91" s="2">
        <f t="shared" si="3"/>
        <v>3585.2828654276959</v>
      </c>
    </row>
    <row r="92" spans="1:5" x14ac:dyDescent="0.25">
      <c r="A92" s="2">
        <v>85</v>
      </c>
      <c r="B92" s="4">
        <v>10532</v>
      </c>
      <c r="C92" s="3">
        <v>39.707380625001775</v>
      </c>
      <c r="D92" s="3">
        <f t="shared" si="2"/>
        <v>31</v>
      </c>
      <c r="E92" s="2">
        <f t="shared" si="3"/>
        <v>2441.5116681819272</v>
      </c>
    </row>
    <row r="93" spans="1:5" x14ac:dyDescent="0.25">
      <c r="A93" s="2">
        <v>86</v>
      </c>
      <c r="B93" s="4">
        <v>10562</v>
      </c>
      <c r="C93" s="3">
        <v>26.060205334574547</v>
      </c>
      <c r="D93" s="3">
        <f t="shared" si="2"/>
        <v>30</v>
      </c>
      <c r="E93" s="2">
        <f t="shared" si="3"/>
        <v>1550.6899042060888</v>
      </c>
    </row>
    <row r="94" spans="1:5" x14ac:dyDescent="0.25">
      <c r="A94" s="2">
        <v>87</v>
      </c>
      <c r="B94" s="4">
        <v>10593</v>
      </c>
      <c r="C94" s="3">
        <v>20.748001185172033</v>
      </c>
      <c r="D94" s="3">
        <f t="shared" si="2"/>
        <v>31</v>
      </c>
      <c r="E94" s="2">
        <f t="shared" si="3"/>
        <v>1275.7448662618176</v>
      </c>
    </row>
    <row r="95" spans="1:5" x14ac:dyDescent="0.25">
      <c r="A95" s="2">
        <v>88</v>
      </c>
      <c r="B95" s="4">
        <v>10624</v>
      </c>
      <c r="C95" s="3">
        <v>2.1740685001168245</v>
      </c>
      <c r="D95" s="3">
        <f t="shared" si="2"/>
        <v>31</v>
      </c>
      <c r="E95" s="2">
        <f t="shared" si="3"/>
        <v>133.67826149478657</v>
      </c>
    </row>
    <row r="96" spans="1:5" x14ac:dyDescent="0.25">
      <c r="A96" s="2">
        <v>89</v>
      </c>
      <c r="B96" s="4">
        <v>10652</v>
      </c>
      <c r="C96" s="3">
        <v>2.1456103783032212</v>
      </c>
      <c r="D96" s="3">
        <f t="shared" si="2"/>
        <v>28</v>
      </c>
      <c r="E96" s="2">
        <f t="shared" si="3"/>
        <v>119.16117142312103</v>
      </c>
    </row>
    <row r="97" spans="1:5" x14ac:dyDescent="0.25">
      <c r="A97" s="2">
        <v>90</v>
      </c>
      <c r="B97" s="4">
        <v>10683</v>
      </c>
      <c r="C97" s="3">
        <v>2.5713686639159401</v>
      </c>
      <c r="D97" s="3">
        <f t="shared" si="2"/>
        <v>31</v>
      </c>
      <c r="E97" s="2">
        <f t="shared" si="3"/>
        <v>158.10729635979007</v>
      </c>
    </row>
    <row r="98" spans="1:5" x14ac:dyDescent="0.25">
      <c r="A98" s="2">
        <v>91</v>
      </c>
      <c r="B98" s="4">
        <v>10713</v>
      </c>
      <c r="C98" s="3">
        <v>3.0746747963417951</v>
      </c>
      <c r="D98" s="3">
        <f t="shared" si="2"/>
        <v>30</v>
      </c>
      <c r="E98" s="2">
        <f t="shared" si="3"/>
        <v>182.95585565009029</v>
      </c>
    </row>
    <row r="99" spans="1:5" x14ac:dyDescent="0.25">
      <c r="A99" s="2">
        <v>92</v>
      </c>
      <c r="B99" s="4">
        <v>10744</v>
      </c>
      <c r="C99" s="3">
        <v>4.4919528295759852</v>
      </c>
      <c r="D99" s="3">
        <f t="shared" si="2"/>
        <v>31</v>
      </c>
      <c r="E99" s="2">
        <f t="shared" si="3"/>
        <v>276.19941365326719</v>
      </c>
    </row>
    <row r="100" spans="1:5" x14ac:dyDescent="0.25">
      <c r="A100" s="2">
        <v>93</v>
      </c>
      <c r="B100" s="4">
        <v>10774</v>
      </c>
      <c r="C100" s="3">
        <v>6.1039813995900456</v>
      </c>
      <c r="D100" s="3">
        <f t="shared" si="2"/>
        <v>30</v>
      </c>
      <c r="E100" s="2">
        <f t="shared" si="3"/>
        <v>363.21211633924241</v>
      </c>
    </row>
    <row r="101" spans="1:5" x14ac:dyDescent="0.25">
      <c r="A101" s="2">
        <v>94</v>
      </c>
      <c r="B101" s="4">
        <v>10805</v>
      </c>
      <c r="C101" s="3">
        <v>7.5795002280576869</v>
      </c>
      <c r="D101" s="3">
        <f t="shared" si="2"/>
        <v>31</v>
      </c>
      <c r="E101" s="2">
        <f t="shared" si="3"/>
        <v>466.04530327891894</v>
      </c>
    </row>
    <row r="102" spans="1:5" x14ac:dyDescent="0.25">
      <c r="A102" s="2">
        <v>95</v>
      </c>
      <c r="B102" s="4">
        <v>10836</v>
      </c>
      <c r="C102" s="3">
        <v>8.287063359918255</v>
      </c>
      <c r="D102" s="3">
        <f t="shared" si="2"/>
        <v>31</v>
      </c>
      <c r="E102" s="2">
        <f t="shared" si="3"/>
        <v>509.55166444456046</v>
      </c>
    </row>
    <row r="103" spans="1:5" x14ac:dyDescent="0.25">
      <c r="A103" s="2">
        <v>96</v>
      </c>
      <c r="B103" s="4">
        <v>10866</v>
      </c>
      <c r="C103" s="3">
        <v>7.2228598160269541</v>
      </c>
      <c r="D103" s="3">
        <f t="shared" si="2"/>
        <v>30</v>
      </c>
      <c r="E103" s="2">
        <f t="shared" si="3"/>
        <v>429.79000558176921</v>
      </c>
    </row>
    <row r="104" spans="1:5" x14ac:dyDescent="0.25">
      <c r="A104" s="2">
        <v>97</v>
      </c>
      <c r="B104" s="4">
        <v>10897</v>
      </c>
      <c r="C104" s="3">
        <v>4.7599690124927205</v>
      </c>
      <c r="D104" s="3">
        <f t="shared" si="2"/>
        <v>31</v>
      </c>
      <c r="E104" s="2">
        <f t="shared" si="3"/>
        <v>292.67908638798218</v>
      </c>
    </row>
    <row r="105" spans="1:5" x14ac:dyDescent="0.25">
      <c r="A105" s="2">
        <v>98</v>
      </c>
      <c r="B105" s="4">
        <v>10927</v>
      </c>
      <c r="C105" s="3">
        <v>3.1239978034125708</v>
      </c>
      <c r="D105" s="3">
        <f t="shared" si="2"/>
        <v>30</v>
      </c>
      <c r="E105" s="2">
        <f t="shared" si="3"/>
        <v>185.89077838488024</v>
      </c>
    </row>
    <row r="106" spans="1:5" x14ac:dyDescent="0.25">
      <c r="A106" s="2">
        <v>99</v>
      </c>
      <c r="B106" s="4">
        <v>10958</v>
      </c>
      <c r="C106" s="3">
        <v>2.4871910752631452</v>
      </c>
      <c r="D106" s="3">
        <f t="shared" si="2"/>
        <v>31</v>
      </c>
      <c r="E106" s="2">
        <f t="shared" si="3"/>
        <v>152.93141818146944</v>
      </c>
    </row>
    <row r="107" spans="1:5" x14ac:dyDescent="0.25">
      <c r="A107" s="2">
        <v>100</v>
      </c>
      <c r="B107" s="4">
        <v>10989</v>
      </c>
      <c r="C107" s="3">
        <v>2.1740685001168254</v>
      </c>
      <c r="D107" s="3">
        <f t="shared" si="2"/>
        <v>31</v>
      </c>
      <c r="E107" s="2">
        <f t="shared" si="3"/>
        <v>133.6782614947866</v>
      </c>
    </row>
    <row r="108" spans="1:5" x14ac:dyDescent="0.25">
      <c r="A108" s="2">
        <v>101</v>
      </c>
      <c r="B108" s="4">
        <v>11017</v>
      </c>
      <c r="C108" s="3">
        <v>3.6767669364022826</v>
      </c>
      <c r="D108" s="3">
        <f t="shared" si="2"/>
        <v>28</v>
      </c>
      <c r="E108" s="2">
        <f t="shared" si="3"/>
        <v>204.19730423655656</v>
      </c>
    </row>
    <row r="109" spans="1:5" x14ac:dyDescent="0.25">
      <c r="A109" s="2">
        <v>102</v>
      </c>
      <c r="B109" s="4">
        <v>11048</v>
      </c>
      <c r="C109" s="3">
        <v>4.4961678127477347</v>
      </c>
      <c r="D109" s="3">
        <f t="shared" si="2"/>
        <v>31</v>
      </c>
      <c r="E109" s="2">
        <f t="shared" si="3"/>
        <v>276.45858286647228</v>
      </c>
    </row>
    <row r="110" spans="1:5" x14ac:dyDescent="0.25">
      <c r="A110" s="2">
        <v>103</v>
      </c>
      <c r="B110" s="4">
        <v>11078</v>
      </c>
      <c r="C110" s="3">
        <v>18.228787779134116</v>
      </c>
      <c r="D110" s="3">
        <f t="shared" si="2"/>
        <v>30</v>
      </c>
      <c r="E110" s="2">
        <f t="shared" si="3"/>
        <v>1084.6881984278152</v>
      </c>
    </row>
    <row r="111" spans="1:5" x14ac:dyDescent="0.25">
      <c r="A111" s="2">
        <v>104</v>
      </c>
      <c r="B111" s="4">
        <v>11109</v>
      </c>
      <c r="C111" s="3">
        <v>26.026335843087594</v>
      </c>
      <c r="D111" s="3">
        <f t="shared" si="2"/>
        <v>31</v>
      </c>
      <c r="E111" s="2">
        <f t="shared" si="3"/>
        <v>1600.2970138229068</v>
      </c>
    </row>
    <row r="112" spans="1:5" x14ac:dyDescent="0.25">
      <c r="A112" s="2">
        <v>105</v>
      </c>
      <c r="B112" s="4">
        <v>11139</v>
      </c>
      <c r="C112" s="3">
        <v>35.366415435107349</v>
      </c>
      <c r="D112" s="3">
        <f t="shared" si="2"/>
        <v>30</v>
      </c>
      <c r="E112" s="2">
        <f t="shared" si="3"/>
        <v>2104.4478606014291</v>
      </c>
    </row>
    <row r="113" spans="1:5" x14ac:dyDescent="0.25">
      <c r="A113" s="2">
        <v>106</v>
      </c>
      <c r="B113" s="4">
        <v>11170</v>
      </c>
      <c r="C113" s="3">
        <v>43.915558765297426</v>
      </c>
      <c r="D113" s="3">
        <f t="shared" si="2"/>
        <v>31</v>
      </c>
      <c r="E113" s="2">
        <f t="shared" si="3"/>
        <v>2700.2624563125028</v>
      </c>
    </row>
    <row r="114" spans="1:5" x14ac:dyDescent="0.25">
      <c r="A114" s="2">
        <v>107</v>
      </c>
      <c r="B114" s="4">
        <v>11201</v>
      </c>
      <c r="C114" s="3">
        <v>48.015173431493352</v>
      </c>
      <c r="D114" s="3">
        <f t="shared" si="2"/>
        <v>31</v>
      </c>
      <c r="E114" s="2">
        <f t="shared" si="3"/>
        <v>2952.3379366141367</v>
      </c>
    </row>
    <row r="115" spans="1:5" x14ac:dyDescent="0.25">
      <c r="A115" s="2">
        <v>108</v>
      </c>
      <c r="B115" s="4">
        <v>11231</v>
      </c>
      <c r="C115" s="3">
        <v>41.849187302619981</v>
      </c>
      <c r="D115" s="3">
        <f t="shared" si="2"/>
        <v>30</v>
      </c>
      <c r="E115" s="2">
        <f t="shared" si="3"/>
        <v>2490.1995750319329</v>
      </c>
    </row>
    <row r="116" spans="1:5" x14ac:dyDescent="0.25">
      <c r="A116" s="2">
        <v>109</v>
      </c>
      <c r="B116" s="4">
        <v>11262</v>
      </c>
      <c r="C116" s="3">
        <v>27.579219288800839</v>
      </c>
      <c r="D116" s="3">
        <f t="shared" si="2"/>
        <v>31</v>
      </c>
      <c r="E116" s="2">
        <f t="shared" si="3"/>
        <v>1695.7800951130434</v>
      </c>
    </row>
    <row r="117" spans="1:5" x14ac:dyDescent="0.25">
      <c r="A117" s="2">
        <v>110</v>
      </c>
      <c r="B117" s="4">
        <v>11292</v>
      </c>
      <c r="C117" s="3">
        <v>18.100416253115075</v>
      </c>
      <c r="D117" s="3">
        <f t="shared" si="2"/>
        <v>30</v>
      </c>
      <c r="E117" s="2">
        <f t="shared" si="3"/>
        <v>1077.0495621688308</v>
      </c>
    </row>
    <row r="118" spans="1:5" x14ac:dyDescent="0.25">
      <c r="A118" s="2">
        <v>111</v>
      </c>
      <c r="B118" s="4">
        <v>11323</v>
      </c>
      <c r="C118" s="3">
        <v>14.41076357804031</v>
      </c>
      <c r="D118" s="3">
        <f t="shared" si="2"/>
        <v>31</v>
      </c>
      <c r="E118" s="2">
        <f t="shared" si="3"/>
        <v>886.08331421999924</v>
      </c>
    </row>
    <row r="119" spans="1:5" x14ac:dyDescent="0.25">
      <c r="A119" s="2">
        <v>112</v>
      </c>
      <c r="B119" s="4">
        <v>11354</v>
      </c>
      <c r="C119" s="3">
        <v>2.1740685001168245</v>
      </c>
      <c r="D119" s="3">
        <f t="shared" si="2"/>
        <v>31</v>
      </c>
      <c r="E119" s="2">
        <f t="shared" si="3"/>
        <v>133.67826149478657</v>
      </c>
    </row>
    <row r="120" spans="1:5" x14ac:dyDescent="0.25">
      <c r="A120" s="2">
        <v>113</v>
      </c>
      <c r="B120" s="4">
        <v>11382</v>
      </c>
      <c r="C120" s="3">
        <v>2.1456103783032208</v>
      </c>
      <c r="D120" s="3">
        <f t="shared" si="2"/>
        <v>28</v>
      </c>
      <c r="E120" s="2">
        <f t="shared" si="3"/>
        <v>119.16117142312102</v>
      </c>
    </row>
    <row r="121" spans="1:5" x14ac:dyDescent="0.25">
      <c r="A121" s="2">
        <v>114</v>
      </c>
      <c r="B121" s="4">
        <v>11413</v>
      </c>
      <c r="C121" s="3">
        <v>2.3511419502934836</v>
      </c>
      <c r="D121" s="3">
        <f t="shared" si="2"/>
        <v>31</v>
      </c>
      <c r="E121" s="2">
        <f t="shared" si="3"/>
        <v>144.56608355523568</v>
      </c>
    </row>
    <row r="122" spans="1:5" x14ac:dyDescent="0.25">
      <c r="A122" s="2">
        <v>115</v>
      </c>
      <c r="B122" s="4">
        <v>11443</v>
      </c>
      <c r="C122" s="3">
        <v>2.8869532085326983</v>
      </c>
      <c r="D122" s="3">
        <f t="shared" si="2"/>
        <v>30</v>
      </c>
      <c r="E122" s="2">
        <f t="shared" si="3"/>
        <v>171.78564546640851</v>
      </c>
    </row>
    <row r="123" spans="1:5" x14ac:dyDescent="0.25">
      <c r="A123" s="2">
        <v>116</v>
      </c>
      <c r="B123" s="4">
        <v>11474</v>
      </c>
      <c r="C123" s="3">
        <v>4.1218765986489734</v>
      </c>
      <c r="D123" s="3">
        <f t="shared" si="2"/>
        <v>31</v>
      </c>
      <c r="E123" s="2">
        <f t="shared" si="3"/>
        <v>253.44431317312697</v>
      </c>
    </row>
    <row r="124" spans="1:5" x14ac:dyDescent="0.25">
      <c r="A124" s="2">
        <v>117</v>
      </c>
      <c r="B124" s="4">
        <v>11504</v>
      </c>
      <c r="C124" s="3">
        <v>5.6010957915454673</v>
      </c>
      <c r="D124" s="3">
        <f t="shared" si="2"/>
        <v>30</v>
      </c>
      <c r="E124" s="2">
        <f t="shared" si="3"/>
        <v>333.28834462088736</v>
      </c>
    </row>
    <row r="125" spans="1:5" x14ac:dyDescent="0.25">
      <c r="A125" s="2">
        <v>118</v>
      </c>
      <c r="B125" s="4">
        <v>11535</v>
      </c>
      <c r="C125" s="3">
        <v>6.9550518014755234</v>
      </c>
      <c r="D125" s="3">
        <f t="shared" si="2"/>
        <v>31</v>
      </c>
      <c r="E125" s="2">
        <f t="shared" si="3"/>
        <v>427.64946614031317</v>
      </c>
    </row>
    <row r="126" spans="1:5" x14ac:dyDescent="0.25">
      <c r="A126" s="2">
        <v>119</v>
      </c>
      <c r="B126" s="4">
        <v>11566</v>
      </c>
      <c r="C126" s="3">
        <v>7.6043212898103159</v>
      </c>
      <c r="D126" s="3">
        <f t="shared" si="2"/>
        <v>31</v>
      </c>
      <c r="E126" s="2">
        <f t="shared" si="3"/>
        <v>467.57149087759296</v>
      </c>
    </row>
    <row r="127" spans="1:5" x14ac:dyDescent="0.25">
      <c r="A127" s="2">
        <v>120</v>
      </c>
      <c r="B127" s="4">
        <v>11596</v>
      </c>
      <c r="C127" s="3">
        <v>6.6277937415059194</v>
      </c>
      <c r="D127" s="3">
        <f t="shared" si="2"/>
        <v>30</v>
      </c>
      <c r="E127" s="2">
        <f t="shared" si="3"/>
        <v>394.38111519704643</v>
      </c>
    </row>
    <row r="128" spans="1:5" x14ac:dyDescent="0.25">
      <c r="A128" s="2">
        <v>121</v>
      </c>
      <c r="B128" s="4">
        <v>11627</v>
      </c>
      <c r="C128" s="3">
        <v>4.3678118687501932</v>
      </c>
      <c r="D128" s="3">
        <f t="shared" si="2"/>
        <v>31</v>
      </c>
      <c r="E128" s="2">
        <f t="shared" si="3"/>
        <v>268.56628350001193</v>
      </c>
    </row>
    <row r="129" spans="1:5" x14ac:dyDescent="0.25">
      <c r="A129" s="2">
        <v>122</v>
      </c>
      <c r="B129" s="4">
        <v>11657</v>
      </c>
      <c r="C129" s="3">
        <v>2.8666225868031967</v>
      </c>
      <c r="D129" s="3">
        <f t="shared" si="2"/>
        <v>30</v>
      </c>
      <c r="E129" s="2">
        <f t="shared" si="3"/>
        <v>170.57588946266955</v>
      </c>
    </row>
    <row r="130" spans="1:5" x14ac:dyDescent="0.25">
      <c r="A130" s="2">
        <v>123</v>
      </c>
      <c r="B130" s="4">
        <v>11688</v>
      </c>
      <c r="C130" s="3">
        <v>2.2822801303689224</v>
      </c>
      <c r="D130" s="3">
        <f t="shared" si="2"/>
        <v>31</v>
      </c>
      <c r="E130" s="2">
        <f t="shared" si="3"/>
        <v>140.33193528879985</v>
      </c>
    </row>
    <row r="131" spans="1:5" x14ac:dyDescent="0.25">
      <c r="A131" s="2">
        <v>124</v>
      </c>
      <c r="B131" s="4">
        <v>11719</v>
      </c>
      <c r="C131" s="3">
        <v>2.174068500116825</v>
      </c>
      <c r="D131" s="3">
        <f t="shared" si="2"/>
        <v>31</v>
      </c>
      <c r="E131" s="2">
        <f t="shared" si="3"/>
        <v>133.67826149478657</v>
      </c>
    </row>
    <row r="132" spans="1:5" x14ac:dyDescent="0.25">
      <c r="A132" s="2">
        <v>125</v>
      </c>
      <c r="B132" s="4">
        <v>11748</v>
      </c>
      <c r="C132" s="3">
        <v>2.0716238135341456</v>
      </c>
      <c r="D132" s="3">
        <f t="shared" si="2"/>
        <v>29</v>
      </c>
      <c r="E132" s="2">
        <f t="shared" si="3"/>
        <v>119.1611714231211</v>
      </c>
    </row>
    <row r="133" spans="1:5" x14ac:dyDescent="0.25">
      <c r="A133" s="2">
        <v>126</v>
      </c>
      <c r="B133" s="4">
        <v>11779</v>
      </c>
      <c r="C133" s="3">
        <v>6.077271416244443</v>
      </c>
      <c r="D133" s="3">
        <f t="shared" si="2"/>
        <v>31</v>
      </c>
      <c r="E133" s="2">
        <f t="shared" si="3"/>
        <v>373.67685402362525</v>
      </c>
    </row>
    <row r="134" spans="1:5" x14ac:dyDescent="0.25">
      <c r="A134" s="2">
        <v>127</v>
      </c>
      <c r="B134" s="4">
        <v>11809</v>
      </c>
      <c r="C134" s="3">
        <v>4.2076625455062775</v>
      </c>
      <c r="D134" s="3">
        <f t="shared" si="2"/>
        <v>30</v>
      </c>
      <c r="E134" s="2">
        <f t="shared" si="3"/>
        <v>250.37330849293554</v>
      </c>
    </row>
    <row r="135" spans="1:5" x14ac:dyDescent="0.25">
      <c r="A135" s="2">
        <v>128</v>
      </c>
      <c r="B135" s="4">
        <v>11840</v>
      </c>
      <c r="C135" s="3">
        <v>6.0075326922769783</v>
      </c>
      <c r="D135" s="3">
        <f t="shared" si="2"/>
        <v>31</v>
      </c>
      <c r="E135" s="2">
        <f t="shared" si="3"/>
        <v>369.38878702926212</v>
      </c>
    </row>
    <row r="136" spans="1:5" x14ac:dyDescent="0.25">
      <c r="A136" s="2">
        <v>129</v>
      </c>
      <c r="B136" s="4">
        <v>11870</v>
      </c>
      <c r="C136" s="3">
        <v>8.163457899567744</v>
      </c>
      <c r="D136" s="3">
        <f t="shared" si="2"/>
        <v>30</v>
      </c>
      <c r="E136" s="2">
        <f t="shared" si="3"/>
        <v>485.75947832138644</v>
      </c>
    </row>
    <row r="137" spans="1:5" x14ac:dyDescent="0.25">
      <c r="A137" s="2">
        <v>130</v>
      </c>
      <c r="B137" s="4">
        <v>11901</v>
      </c>
      <c r="C137" s="3">
        <v>10.136815131132067</v>
      </c>
      <c r="D137" s="3">
        <f t="shared" ref="D137:D200" si="4">DAY(EOMONTH(B137,0))</f>
        <v>31</v>
      </c>
      <c r="E137" s="2">
        <f t="shared" ref="E137:E200" si="5">C137*D137*86400/43560</f>
        <v>623.28846756712881</v>
      </c>
    </row>
    <row r="138" spans="1:5" x14ac:dyDescent="0.25">
      <c r="A138" s="2">
        <v>131</v>
      </c>
      <c r="B138" s="4">
        <v>11932</v>
      </c>
      <c r="C138" s="3">
        <v>11.083109272627645</v>
      </c>
      <c r="D138" s="3">
        <f t="shared" si="4"/>
        <v>31</v>
      </c>
      <c r="E138" s="2">
        <f t="shared" si="5"/>
        <v>681.47382634999735</v>
      </c>
    </row>
    <row r="139" spans="1:5" x14ac:dyDescent="0.25">
      <c r="A139" s="2">
        <v>132</v>
      </c>
      <c r="B139" s="4">
        <v>11962</v>
      </c>
      <c r="C139" s="3">
        <v>9.659844642805723</v>
      </c>
      <c r="D139" s="3">
        <f t="shared" si="4"/>
        <v>30</v>
      </c>
      <c r="E139" s="2">
        <f t="shared" si="5"/>
        <v>574.80067296034053</v>
      </c>
    </row>
    <row r="140" spans="1:5" x14ac:dyDescent="0.25">
      <c r="A140" s="2">
        <v>133</v>
      </c>
      <c r="B140" s="4">
        <v>11993</v>
      </c>
      <c r="C140" s="3">
        <v>6.3659772356680424</v>
      </c>
      <c r="D140" s="3">
        <f t="shared" si="4"/>
        <v>31</v>
      </c>
      <c r="E140" s="2">
        <f t="shared" si="5"/>
        <v>391.42868292041516</v>
      </c>
    </row>
    <row r="141" spans="1:5" x14ac:dyDescent="0.25">
      <c r="A141" s="2">
        <v>134</v>
      </c>
      <c r="B141" s="4">
        <v>12023</v>
      </c>
      <c r="C141" s="3">
        <v>4.178031169658122</v>
      </c>
      <c r="D141" s="3">
        <f t="shared" si="4"/>
        <v>30</v>
      </c>
      <c r="E141" s="2">
        <f t="shared" si="5"/>
        <v>248.61011918626843</v>
      </c>
    </row>
    <row r="142" spans="1:5" x14ac:dyDescent="0.25">
      <c r="A142" s="2">
        <v>135</v>
      </c>
      <c r="B142" s="4">
        <v>12054</v>
      </c>
      <c r="C142" s="3">
        <v>3.3263665633802533</v>
      </c>
      <c r="D142" s="3">
        <f t="shared" si="4"/>
        <v>31</v>
      </c>
      <c r="E142" s="2">
        <f t="shared" si="5"/>
        <v>204.53030769875278</v>
      </c>
    </row>
    <row r="143" spans="1:5" x14ac:dyDescent="0.25">
      <c r="A143" s="2">
        <v>136</v>
      </c>
      <c r="B143" s="4">
        <v>12085</v>
      </c>
      <c r="C143" s="3">
        <v>2.1740685001168254</v>
      </c>
      <c r="D143" s="3">
        <f t="shared" si="4"/>
        <v>31</v>
      </c>
      <c r="E143" s="2">
        <f t="shared" si="5"/>
        <v>133.6782614947866</v>
      </c>
    </row>
    <row r="144" spans="1:5" x14ac:dyDescent="0.25">
      <c r="A144" s="2">
        <v>137</v>
      </c>
      <c r="B144" s="4">
        <v>12113</v>
      </c>
      <c r="C144" s="3">
        <v>2.1456103783032217</v>
      </c>
      <c r="D144" s="3">
        <f t="shared" si="4"/>
        <v>28</v>
      </c>
      <c r="E144" s="2">
        <f t="shared" si="5"/>
        <v>119.16117142312108</v>
      </c>
    </row>
    <row r="145" spans="1:5" x14ac:dyDescent="0.25">
      <c r="A145" s="2">
        <v>138</v>
      </c>
      <c r="B145" s="4">
        <v>12144</v>
      </c>
      <c r="C145" s="3">
        <v>12.429257113772021</v>
      </c>
      <c r="D145" s="3">
        <f t="shared" si="4"/>
        <v>31</v>
      </c>
      <c r="E145" s="2">
        <f t="shared" si="5"/>
        <v>764.24523079722178</v>
      </c>
    </row>
    <row r="146" spans="1:5" x14ac:dyDescent="0.25">
      <c r="A146" s="2">
        <v>139</v>
      </c>
      <c r="B146" s="4">
        <v>12174</v>
      </c>
      <c r="C146" s="3">
        <v>5.5681825264057458</v>
      </c>
      <c r="D146" s="3">
        <f t="shared" si="4"/>
        <v>30</v>
      </c>
      <c r="E146" s="2">
        <f t="shared" si="5"/>
        <v>331.32986933984603</v>
      </c>
    </row>
    <row r="147" spans="1:5" x14ac:dyDescent="0.25">
      <c r="A147" s="2">
        <v>140</v>
      </c>
      <c r="B147" s="4">
        <v>12205</v>
      </c>
      <c r="C147" s="3">
        <v>7.9500288348154511</v>
      </c>
      <c r="D147" s="3">
        <f t="shared" si="4"/>
        <v>31</v>
      </c>
      <c r="E147" s="2">
        <f t="shared" si="5"/>
        <v>488.82821926468557</v>
      </c>
    </row>
    <row r="148" spans="1:5" x14ac:dyDescent="0.25">
      <c r="A148" s="2">
        <v>141</v>
      </c>
      <c r="B148" s="4">
        <v>12235</v>
      </c>
      <c r="C148" s="3">
        <v>10.803058263302974</v>
      </c>
      <c r="D148" s="3">
        <f t="shared" si="4"/>
        <v>30</v>
      </c>
      <c r="E148" s="2">
        <f t="shared" si="5"/>
        <v>642.82660740315225</v>
      </c>
    </row>
    <row r="149" spans="1:5" x14ac:dyDescent="0.25">
      <c r="A149" s="2">
        <v>142</v>
      </c>
      <c r="B149" s="4">
        <v>12266</v>
      </c>
      <c r="C149" s="3">
        <v>13.414487563137854</v>
      </c>
      <c r="D149" s="3">
        <f t="shared" si="4"/>
        <v>31</v>
      </c>
      <c r="E149" s="2">
        <f t="shared" si="5"/>
        <v>824.82468983260856</v>
      </c>
    </row>
    <row r="150" spans="1:5" x14ac:dyDescent="0.25">
      <c r="A150" s="2">
        <v>143</v>
      </c>
      <c r="B150" s="4">
        <v>12297</v>
      </c>
      <c r="C150" s="3">
        <v>14.666759684898933</v>
      </c>
      <c r="D150" s="3">
        <f t="shared" si="4"/>
        <v>31</v>
      </c>
      <c r="E150" s="2">
        <f t="shared" si="5"/>
        <v>901.82390128634768</v>
      </c>
    </row>
    <row r="151" spans="1:5" x14ac:dyDescent="0.25">
      <c r="A151" s="2">
        <v>144</v>
      </c>
      <c r="B151" s="4">
        <v>12327</v>
      </c>
      <c r="C151" s="3">
        <v>12.783291807778054</v>
      </c>
      <c r="D151" s="3">
        <f t="shared" si="4"/>
        <v>30</v>
      </c>
      <c r="E151" s="2">
        <f t="shared" si="5"/>
        <v>760.65868608266112</v>
      </c>
    </row>
    <row r="152" spans="1:5" x14ac:dyDescent="0.25">
      <c r="A152" s="2">
        <v>145</v>
      </c>
      <c r="B152" s="4">
        <v>12358</v>
      </c>
      <c r="C152" s="3">
        <v>8.4243740613182787</v>
      </c>
      <c r="D152" s="3">
        <f t="shared" si="4"/>
        <v>31</v>
      </c>
      <c r="E152" s="2">
        <f t="shared" si="5"/>
        <v>517.99457038188416</v>
      </c>
    </row>
    <row r="153" spans="1:5" x14ac:dyDescent="0.25">
      <c r="A153" s="2">
        <v>146</v>
      </c>
      <c r="B153" s="4">
        <v>12388</v>
      </c>
      <c r="C153" s="3">
        <v>5.5289700402696429</v>
      </c>
      <c r="D153" s="3">
        <f t="shared" si="4"/>
        <v>30</v>
      </c>
      <c r="E153" s="2">
        <f t="shared" si="5"/>
        <v>328.99656437968122</v>
      </c>
    </row>
    <row r="154" spans="1:5" x14ac:dyDescent="0.25">
      <c r="A154" s="2">
        <v>147</v>
      </c>
      <c r="B154" s="4">
        <v>12419</v>
      </c>
      <c r="C154" s="3">
        <v>4.4019252908994035</v>
      </c>
      <c r="D154" s="3">
        <f t="shared" si="4"/>
        <v>31</v>
      </c>
      <c r="E154" s="2">
        <f t="shared" si="5"/>
        <v>270.66383606852526</v>
      </c>
    </row>
    <row r="155" spans="1:5" x14ac:dyDescent="0.25">
      <c r="A155" s="2">
        <v>148</v>
      </c>
      <c r="B155" s="4">
        <v>12450</v>
      </c>
      <c r="C155" s="3">
        <v>2.1740685001168241</v>
      </c>
      <c r="D155" s="3">
        <f t="shared" si="4"/>
        <v>31</v>
      </c>
      <c r="E155" s="2">
        <f t="shared" si="5"/>
        <v>133.67826149478657</v>
      </c>
    </row>
    <row r="156" spans="1:5" x14ac:dyDescent="0.25">
      <c r="A156" s="2">
        <v>149</v>
      </c>
      <c r="B156" s="4">
        <v>12478</v>
      </c>
      <c r="C156" s="3">
        <v>2.1456103783032199</v>
      </c>
      <c r="D156" s="3">
        <f t="shared" si="4"/>
        <v>28</v>
      </c>
      <c r="E156" s="2">
        <f t="shared" si="5"/>
        <v>119.16117142312098</v>
      </c>
    </row>
    <row r="157" spans="1:5" x14ac:dyDescent="0.25">
      <c r="A157" s="2">
        <v>150</v>
      </c>
      <c r="B157" s="4">
        <v>12509</v>
      </c>
      <c r="C157" s="3">
        <v>13.241292387613969</v>
      </c>
      <c r="D157" s="3">
        <f t="shared" si="4"/>
        <v>31</v>
      </c>
      <c r="E157" s="2">
        <f t="shared" si="5"/>
        <v>814.17533358552021</v>
      </c>
    </row>
    <row r="158" spans="1:5" x14ac:dyDescent="0.25">
      <c r="A158" s="2">
        <v>151</v>
      </c>
      <c r="B158" s="4">
        <v>12539</v>
      </c>
      <c r="C158" s="3">
        <v>4.7260559547956564</v>
      </c>
      <c r="D158" s="3">
        <f t="shared" si="4"/>
        <v>30</v>
      </c>
      <c r="E158" s="2">
        <f t="shared" si="5"/>
        <v>281.21985846717956</v>
      </c>
    </row>
    <row r="159" spans="1:5" x14ac:dyDescent="0.25">
      <c r="A159" s="2">
        <v>152</v>
      </c>
      <c r="B159" s="4">
        <v>12570</v>
      </c>
      <c r="C159" s="3">
        <v>6.7476741176136743</v>
      </c>
      <c r="D159" s="3">
        <f t="shared" si="4"/>
        <v>31</v>
      </c>
      <c r="E159" s="2">
        <f t="shared" si="5"/>
        <v>414.89830938054325</v>
      </c>
    </row>
    <row r="160" spans="1:5" x14ac:dyDescent="0.25">
      <c r="A160" s="2">
        <v>153</v>
      </c>
      <c r="B160" s="4">
        <v>12600</v>
      </c>
      <c r="C160" s="3">
        <v>9.1692141184610119</v>
      </c>
      <c r="D160" s="3">
        <f t="shared" si="4"/>
        <v>30</v>
      </c>
      <c r="E160" s="2">
        <f t="shared" si="5"/>
        <v>545.60612936296923</v>
      </c>
    </row>
    <row r="161" spans="1:5" x14ac:dyDescent="0.25">
      <c r="A161" s="2">
        <v>154</v>
      </c>
      <c r="B161" s="4">
        <v>12631</v>
      </c>
      <c r="C161" s="3">
        <v>11.385693361819989</v>
      </c>
      <c r="D161" s="3">
        <f t="shared" si="4"/>
        <v>31</v>
      </c>
      <c r="E161" s="2">
        <f t="shared" si="5"/>
        <v>700.07899679289835</v>
      </c>
    </row>
    <row r="162" spans="1:5" x14ac:dyDescent="0.25">
      <c r="A162" s="2">
        <v>155</v>
      </c>
      <c r="B162" s="4">
        <v>12662</v>
      </c>
      <c r="C162" s="3">
        <v>12.448573051917691</v>
      </c>
      <c r="D162" s="3">
        <f t="shared" si="4"/>
        <v>31</v>
      </c>
      <c r="E162" s="2">
        <f t="shared" si="5"/>
        <v>765.43292153940172</v>
      </c>
    </row>
    <row r="163" spans="1:5" x14ac:dyDescent="0.25">
      <c r="A163" s="2">
        <v>156</v>
      </c>
      <c r="B163" s="4">
        <v>12692</v>
      </c>
      <c r="C163" s="3">
        <v>10.849959045620134</v>
      </c>
      <c r="D163" s="3">
        <f t="shared" si="4"/>
        <v>30</v>
      </c>
      <c r="E163" s="2">
        <f t="shared" si="5"/>
        <v>645.61739775590877</v>
      </c>
    </row>
    <row r="164" spans="1:5" x14ac:dyDescent="0.25">
      <c r="A164" s="2">
        <v>157</v>
      </c>
      <c r="B164" s="4">
        <v>12723</v>
      </c>
      <c r="C164" s="3">
        <v>7.1502798281325815</v>
      </c>
      <c r="D164" s="3">
        <f t="shared" si="4"/>
        <v>31</v>
      </c>
      <c r="E164" s="2">
        <f t="shared" si="5"/>
        <v>439.65356959757361</v>
      </c>
    </row>
    <row r="165" spans="1:5" x14ac:dyDescent="0.25">
      <c r="A165" s="2">
        <v>158</v>
      </c>
      <c r="B165" s="4">
        <v>12753</v>
      </c>
      <c r="C165" s="3">
        <v>4.6927739273608449</v>
      </c>
      <c r="D165" s="3">
        <f t="shared" si="4"/>
        <v>30</v>
      </c>
      <c r="E165" s="2">
        <f t="shared" si="5"/>
        <v>279.23944030576928</v>
      </c>
    </row>
    <row r="166" spans="1:5" x14ac:dyDescent="0.25">
      <c r="A166" s="2">
        <v>159</v>
      </c>
      <c r="B166" s="4">
        <v>12784</v>
      </c>
      <c r="C166" s="3">
        <v>3.7361823422569294</v>
      </c>
      <c r="D166" s="3">
        <f t="shared" si="4"/>
        <v>31</v>
      </c>
      <c r="E166" s="2">
        <f t="shared" si="5"/>
        <v>229.72889773877318</v>
      </c>
    </row>
    <row r="167" spans="1:5" x14ac:dyDescent="0.25">
      <c r="A167" s="2">
        <v>160</v>
      </c>
      <c r="B167" s="4">
        <v>12815</v>
      </c>
      <c r="C167" s="3">
        <v>2.1740685001168245</v>
      </c>
      <c r="D167" s="3">
        <f t="shared" si="4"/>
        <v>31</v>
      </c>
      <c r="E167" s="2">
        <f t="shared" si="5"/>
        <v>133.67826149478657</v>
      </c>
    </row>
    <row r="168" spans="1:5" x14ac:dyDescent="0.25">
      <c r="A168" s="2">
        <v>161</v>
      </c>
      <c r="B168" s="4">
        <v>12843</v>
      </c>
      <c r="C168" s="3">
        <v>3.6357835555242235</v>
      </c>
      <c r="D168" s="3">
        <f t="shared" si="4"/>
        <v>28</v>
      </c>
      <c r="E168" s="2">
        <f t="shared" si="5"/>
        <v>201.92120242250235</v>
      </c>
    </row>
    <row r="169" spans="1:5" x14ac:dyDescent="0.25">
      <c r="A169" s="2">
        <v>162</v>
      </c>
      <c r="B169" s="4">
        <v>12874</v>
      </c>
      <c r="C169" s="3">
        <v>13.151232227899735</v>
      </c>
      <c r="D169" s="3">
        <f t="shared" si="4"/>
        <v>31</v>
      </c>
      <c r="E169" s="2">
        <f t="shared" si="5"/>
        <v>808.63775021135552</v>
      </c>
    </row>
    <row r="170" spans="1:5" x14ac:dyDescent="0.25">
      <c r="A170" s="2">
        <v>163</v>
      </c>
      <c r="B170" s="4">
        <v>12904</v>
      </c>
      <c r="C170" s="3">
        <v>26.245029168479071</v>
      </c>
      <c r="D170" s="3">
        <f t="shared" si="4"/>
        <v>30</v>
      </c>
      <c r="E170" s="2">
        <f t="shared" si="5"/>
        <v>1561.687686058259</v>
      </c>
    </row>
    <row r="171" spans="1:5" x14ac:dyDescent="0.25">
      <c r="A171" s="2">
        <v>164</v>
      </c>
      <c r="B171" s="4">
        <v>12935</v>
      </c>
      <c r="C171" s="3">
        <v>37.471605442263389</v>
      </c>
      <c r="D171" s="3">
        <f t="shared" si="4"/>
        <v>31</v>
      </c>
      <c r="E171" s="2">
        <f t="shared" si="5"/>
        <v>2304.0392106647901</v>
      </c>
    </row>
    <row r="172" spans="1:5" x14ac:dyDescent="0.25">
      <c r="A172" s="2">
        <v>165</v>
      </c>
      <c r="B172" s="4">
        <v>12965</v>
      </c>
      <c r="C172" s="3">
        <v>50.919052650413342</v>
      </c>
      <c r="D172" s="3">
        <f t="shared" si="4"/>
        <v>30</v>
      </c>
      <c r="E172" s="2">
        <f t="shared" si="5"/>
        <v>3029.8940420080662</v>
      </c>
    </row>
    <row r="173" spans="1:5" x14ac:dyDescent="0.25">
      <c r="A173" s="2">
        <v>166</v>
      </c>
      <c r="B173" s="4">
        <v>12996</v>
      </c>
      <c r="C173" s="3">
        <v>63.227743649777466</v>
      </c>
      <c r="D173" s="3">
        <f t="shared" si="4"/>
        <v>31</v>
      </c>
      <c r="E173" s="2">
        <f t="shared" si="5"/>
        <v>3887.7224194573914</v>
      </c>
    </row>
    <row r="174" spans="1:5" x14ac:dyDescent="0.25">
      <c r="A174" s="2">
        <v>167</v>
      </c>
      <c r="B174" s="4">
        <v>13027</v>
      </c>
      <c r="C174" s="3">
        <v>69.130193543730172</v>
      </c>
      <c r="D174" s="3">
        <f t="shared" si="4"/>
        <v>31</v>
      </c>
      <c r="E174" s="2">
        <f t="shared" si="5"/>
        <v>4250.6499170690286</v>
      </c>
    </row>
    <row r="175" spans="1:5" x14ac:dyDescent="0.25">
      <c r="A175" s="2">
        <v>168</v>
      </c>
      <c r="B175" s="4">
        <v>13057</v>
      </c>
      <c r="C175" s="3">
        <v>60.252670377326524</v>
      </c>
      <c r="D175" s="3">
        <f t="shared" si="4"/>
        <v>30</v>
      </c>
      <c r="E175" s="2">
        <f t="shared" si="5"/>
        <v>3585.2828654276946</v>
      </c>
    </row>
    <row r="176" spans="1:5" x14ac:dyDescent="0.25">
      <c r="A176" s="2">
        <v>169</v>
      </c>
      <c r="B176" s="4">
        <v>13088</v>
      </c>
      <c r="C176" s="3">
        <v>39.707380625001747</v>
      </c>
      <c r="D176" s="3">
        <f t="shared" si="4"/>
        <v>31</v>
      </c>
      <c r="E176" s="2">
        <f t="shared" si="5"/>
        <v>2441.5116681819254</v>
      </c>
    </row>
    <row r="177" spans="1:5" x14ac:dyDescent="0.25">
      <c r="A177" s="2">
        <v>170</v>
      </c>
      <c r="B177" s="4">
        <v>13118</v>
      </c>
      <c r="C177" s="3">
        <v>26.060205334574533</v>
      </c>
      <c r="D177" s="3">
        <f t="shared" si="4"/>
        <v>30</v>
      </c>
      <c r="E177" s="2">
        <f t="shared" si="5"/>
        <v>1550.6899042060877</v>
      </c>
    </row>
    <row r="178" spans="1:5" x14ac:dyDescent="0.25">
      <c r="A178" s="2">
        <v>171</v>
      </c>
      <c r="B178" s="4">
        <v>13149</v>
      </c>
      <c r="C178" s="3">
        <v>20.748001185172015</v>
      </c>
      <c r="D178" s="3">
        <f t="shared" si="4"/>
        <v>31</v>
      </c>
      <c r="E178" s="2">
        <f t="shared" si="5"/>
        <v>1275.7448662618165</v>
      </c>
    </row>
    <row r="179" spans="1:5" x14ac:dyDescent="0.25">
      <c r="A179" s="2">
        <v>172</v>
      </c>
      <c r="B179" s="4">
        <v>13180</v>
      </c>
      <c r="C179" s="3">
        <v>2.1740685001168254</v>
      </c>
      <c r="D179" s="3">
        <f t="shared" si="4"/>
        <v>31</v>
      </c>
      <c r="E179" s="2">
        <f t="shared" si="5"/>
        <v>133.6782614947866</v>
      </c>
    </row>
    <row r="180" spans="1:5" x14ac:dyDescent="0.25">
      <c r="A180" s="2">
        <v>173</v>
      </c>
      <c r="B180" s="4">
        <v>13209</v>
      </c>
      <c r="C180" s="3">
        <v>3.1410840775871627</v>
      </c>
      <c r="D180" s="3">
        <f t="shared" si="4"/>
        <v>29</v>
      </c>
      <c r="E180" s="2">
        <f t="shared" si="5"/>
        <v>180.67723289261698</v>
      </c>
    </row>
    <row r="181" spans="1:5" x14ac:dyDescent="0.25">
      <c r="A181" s="2">
        <v>174</v>
      </c>
      <c r="B181" s="4">
        <v>13240</v>
      </c>
      <c r="C181" s="3">
        <v>21.374017729940761</v>
      </c>
      <c r="D181" s="3">
        <f t="shared" si="4"/>
        <v>31</v>
      </c>
      <c r="E181" s="2">
        <f t="shared" si="5"/>
        <v>1314.2371232294154</v>
      </c>
    </row>
    <row r="182" spans="1:5" x14ac:dyDescent="0.25">
      <c r="A182" s="2">
        <v>175</v>
      </c>
      <c r="B182" s="4">
        <v>13270</v>
      </c>
      <c r="C182" s="3">
        <v>22.268537500438772</v>
      </c>
      <c r="D182" s="3">
        <f t="shared" si="4"/>
        <v>30</v>
      </c>
      <c r="E182" s="2">
        <f t="shared" si="5"/>
        <v>1325.0700000261088</v>
      </c>
    </row>
    <row r="183" spans="1:5" x14ac:dyDescent="0.25">
      <c r="A183" s="2">
        <v>176</v>
      </c>
      <c r="B183" s="4">
        <v>13301</v>
      </c>
      <c r="C183" s="3">
        <v>37.471605442263403</v>
      </c>
      <c r="D183" s="3">
        <f t="shared" si="4"/>
        <v>31</v>
      </c>
      <c r="E183" s="2">
        <f t="shared" si="5"/>
        <v>2304.039210664791</v>
      </c>
    </row>
    <row r="184" spans="1:5" x14ac:dyDescent="0.25">
      <c r="A184" s="2">
        <v>177</v>
      </c>
      <c r="B184" s="4">
        <v>13331</v>
      </c>
      <c r="C184" s="3">
        <v>50.919052650413342</v>
      </c>
      <c r="D184" s="3">
        <f t="shared" si="4"/>
        <v>30</v>
      </c>
      <c r="E184" s="2">
        <f t="shared" si="5"/>
        <v>3029.8940420080662</v>
      </c>
    </row>
    <row r="185" spans="1:5" x14ac:dyDescent="0.25">
      <c r="A185" s="2">
        <v>178</v>
      </c>
      <c r="B185" s="4">
        <v>13362</v>
      </c>
      <c r="C185" s="3">
        <v>63.227743649777487</v>
      </c>
      <c r="D185" s="3">
        <f t="shared" si="4"/>
        <v>31</v>
      </c>
      <c r="E185" s="2">
        <f t="shared" si="5"/>
        <v>3887.7224194573928</v>
      </c>
    </row>
    <row r="186" spans="1:5" x14ac:dyDescent="0.25">
      <c r="A186" s="2">
        <v>179</v>
      </c>
      <c r="B186" s="4">
        <v>13393</v>
      </c>
      <c r="C186" s="3">
        <v>69.130193543730186</v>
      </c>
      <c r="D186" s="3">
        <f t="shared" si="4"/>
        <v>31</v>
      </c>
      <c r="E186" s="2">
        <f t="shared" si="5"/>
        <v>4250.6499170690304</v>
      </c>
    </row>
    <row r="187" spans="1:5" x14ac:dyDescent="0.25">
      <c r="A187" s="2">
        <v>180</v>
      </c>
      <c r="B187" s="4">
        <v>13423</v>
      </c>
      <c r="C187" s="3">
        <v>60.252670377326517</v>
      </c>
      <c r="D187" s="3">
        <f t="shared" si="4"/>
        <v>30</v>
      </c>
      <c r="E187" s="2">
        <f t="shared" si="5"/>
        <v>3585.2828654276937</v>
      </c>
    </row>
    <row r="188" spans="1:5" x14ac:dyDescent="0.25">
      <c r="A188" s="2">
        <v>181</v>
      </c>
      <c r="B188" s="4">
        <v>13454</v>
      </c>
      <c r="C188" s="3">
        <v>39.707380625001775</v>
      </c>
      <c r="D188" s="3">
        <f t="shared" si="4"/>
        <v>31</v>
      </c>
      <c r="E188" s="2">
        <f t="shared" si="5"/>
        <v>2441.5116681819272</v>
      </c>
    </row>
    <row r="189" spans="1:5" x14ac:dyDescent="0.25">
      <c r="A189" s="2">
        <v>182</v>
      </c>
      <c r="B189" s="4">
        <v>13484</v>
      </c>
      <c r="C189" s="3">
        <v>26.060205334574544</v>
      </c>
      <c r="D189" s="3">
        <f t="shared" si="4"/>
        <v>30</v>
      </c>
      <c r="E189" s="2">
        <f t="shared" si="5"/>
        <v>1550.6899042060884</v>
      </c>
    </row>
    <row r="190" spans="1:5" x14ac:dyDescent="0.25">
      <c r="A190" s="2">
        <v>183</v>
      </c>
      <c r="B190" s="4">
        <v>13515</v>
      </c>
      <c r="C190" s="3">
        <v>20.748001185172043</v>
      </c>
      <c r="D190" s="3">
        <f t="shared" si="4"/>
        <v>31</v>
      </c>
      <c r="E190" s="2">
        <f t="shared" si="5"/>
        <v>1275.7448662618183</v>
      </c>
    </row>
    <row r="191" spans="1:5" x14ac:dyDescent="0.25">
      <c r="A191" s="2">
        <v>184</v>
      </c>
      <c r="B191" s="4">
        <v>13546</v>
      </c>
      <c r="C191" s="3">
        <v>2.1740685001168245</v>
      </c>
      <c r="D191" s="3">
        <f t="shared" si="4"/>
        <v>31</v>
      </c>
      <c r="E191" s="2">
        <f t="shared" si="5"/>
        <v>133.67826149478657</v>
      </c>
    </row>
    <row r="192" spans="1:5" x14ac:dyDescent="0.25">
      <c r="A192" s="2">
        <v>185</v>
      </c>
      <c r="B192" s="4">
        <v>13574</v>
      </c>
      <c r="C192" s="3">
        <v>2.1456103783032208</v>
      </c>
      <c r="D192" s="3">
        <f t="shared" si="4"/>
        <v>28</v>
      </c>
      <c r="E192" s="2">
        <f t="shared" si="5"/>
        <v>119.16117142312102</v>
      </c>
    </row>
    <row r="193" spans="1:5" x14ac:dyDescent="0.25">
      <c r="A193" s="2">
        <v>186</v>
      </c>
      <c r="B193" s="4">
        <v>13605</v>
      </c>
      <c r="C193" s="3">
        <v>10.45760028165904</v>
      </c>
      <c r="D193" s="3">
        <f t="shared" si="4"/>
        <v>31</v>
      </c>
      <c r="E193" s="2">
        <f t="shared" si="5"/>
        <v>643.01277764911788</v>
      </c>
    </row>
    <row r="194" spans="1:5" x14ac:dyDescent="0.25">
      <c r="A194" s="2">
        <v>187</v>
      </c>
      <c r="B194" s="4">
        <v>13635</v>
      </c>
      <c r="C194" s="3">
        <v>26.245029168479075</v>
      </c>
      <c r="D194" s="3">
        <f t="shared" si="4"/>
        <v>30</v>
      </c>
      <c r="E194" s="2">
        <f t="shared" si="5"/>
        <v>1561.687686058259</v>
      </c>
    </row>
    <row r="195" spans="1:5" x14ac:dyDescent="0.25">
      <c r="A195" s="2">
        <v>188</v>
      </c>
      <c r="B195" s="4">
        <v>13666</v>
      </c>
      <c r="C195" s="3">
        <v>37.471605442263396</v>
      </c>
      <c r="D195" s="3">
        <f t="shared" si="4"/>
        <v>31</v>
      </c>
      <c r="E195" s="2">
        <f t="shared" si="5"/>
        <v>2304.039210664791</v>
      </c>
    </row>
    <row r="196" spans="1:5" x14ac:dyDescent="0.25">
      <c r="A196" s="2">
        <v>189</v>
      </c>
      <c r="B196" s="4">
        <v>13696</v>
      </c>
      <c r="C196" s="3">
        <v>50.919052650413335</v>
      </c>
      <c r="D196" s="3">
        <f t="shared" si="4"/>
        <v>30</v>
      </c>
      <c r="E196" s="2">
        <f t="shared" si="5"/>
        <v>3029.8940420080662</v>
      </c>
    </row>
    <row r="197" spans="1:5" x14ac:dyDescent="0.25">
      <c r="A197" s="2">
        <v>190</v>
      </c>
      <c r="B197" s="4">
        <v>13727</v>
      </c>
      <c r="C197" s="3">
        <v>63.227743649777459</v>
      </c>
      <c r="D197" s="3">
        <f t="shared" si="4"/>
        <v>31</v>
      </c>
      <c r="E197" s="2">
        <f t="shared" si="5"/>
        <v>3887.7224194573905</v>
      </c>
    </row>
    <row r="198" spans="1:5" x14ac:dyDescent="0.25">
      <c r="A198" s="2">
        <v>191</v>
      </c>
      <c r="B198" s="4">
        <v>13758</v>
      </c>
      <c r="C198" s="3">
        <v>69.130193543730186</v>
      </c>
      <c r="D198" s="3">
        <f t="shared" si="4"/>
        <v>31</v>
      </c>
      <c r="E198" s="2">
        <f t="shared" si="5"/>
        <v>4250.6499170690304</v>
      </c>
    </row>
    <row r="199" spans="1:5" x14ac:dyDescent="0.25">
      <c r="A199" s="2">
        <v>192</v>
      </c>
      <c r="B199" s="4">
        <v>13788</v>
      </c>
      <c r="C199" s="3">
        <v>60.25267037732656</v>
      </c>
      <c r="D199" s="3">
        <f t="shared" si="4"/>
        <v>30</v>
      </c>
      <c r="E199" s="2">
        <f t="shared" si="5"/>
        <v>3585.2828654276959</v>
      </c>
    </row>
    <row r="200" spans="1:5" x14ac:dyDescent="0.25">
      <c r="A200" s="2">
        <v>193</v>
      </c>
      <c r="B200" s="4">
        <v>13819</v>
      </c>
      <c r="C200" s="3">
        <v>39.707380625001761</v>
      </c>
      <c r="D200" s="3">
        <f t="shared" si="4"/>
        <v>31</v>
      </c>
      <c r="E200" s="2">
        <f t="shared" si="5"/>
        <v>2441.5116681819263</v>
      </c>
    </row>
    <row r="201" spans="1:5" x14ac:dyDescent="0.25">
      <c r="A201" s="2">
        <v>194</v>
      </c>
      <c r="B201" s="4">
        <v>13849</v>
      </c>
      <c r="C201" s="3">
        <v>26.060205334574547</v>
      </c>
      <c r="D201" s="3">
        <f t="shared" ref="D201:D264" si="6">DAY(EOMONTH(B201,0))</f>
        <v>30</v>
      </c>
      <c r="E201" s="2">
        <f t="shared" ref="E201:E264" si="7">C201*D201*86400/43560</f>
        <v>1550.6899042060888</v>
      </c>
    </row>
    <row r="202" spans="1:5" x14ac:dyDescent="0.25">
      <c r="A202" s="2">
        <v>195</v>
      </c>
      <c r="B202" s="4">
        <v>13880</v>
      </c>
      <c r="C202" s="3">
        <v>20.748001185172029</v>
      </c>
      <c r="D202" s="3">
        <f t="shared" si="6"/>
        <v>31</v>
      </c>
      <c r="E202" s="2">
        <f t="shared" si="7"/>
        <v>1275.7448662618174</v>
      </c>
    </row>
    <row r="203" spans="1:5" x14ac:dyDescent="0.25">
      <c r="A203" s="2">
        <v>196</v>
      </c>
      <c r="B203" s="4">
        <v>13911</v>
      </c>
      <c r="C203" s="3">
        <v>19.76425909197112</v>
      </c>
      <c r="D203" s="3">
        <f t="shared" si="6"/>
        <v>31</v>
      </c>
      <c r="E203" s="2">
        <f t="shared" si="7"/>
        <v>1215.2569226798771</v>
      </c>
    </row>
    <row r="204" spans="1:5" x14ac:dyDescent="0.25">
      <c r="A204" s="2">
        <v>197</v>
      </c>
      <c r="B204" s="4">
        <v>13939</v>
      </c>
      <c r="C204" s="3">
        <v>19.50554889366564</v>
      </c>
      <c r="D204" s="3">
        <f t="shared" si="6"/>
        <v>28</v>
      </c>
      <c r="E204" s="2">
        <f t="shared" si="7"/>
        <v>1083.2833765738274</v>
      </c>
    </row>
    <row r="205" spans="1:5" x14ac:dyDescent="0.25">
      <c r="A205" s="2">
        <v>198</v>
      </c>
      <c r="B205" s="4">
        <v>13970</v>
      </c>
      <c r="C205" s="3">
        <v>21.374017729940761</v>
      </c>
      <c r="D205" s="3">
        <f t="shared" si="6"/>
        <v>31</v>
      </c>
      <c r="E205" s="2">
        <f t="shared" si="7"/>
        <v>1314.2371232294154</v>
      </c>
    </row>
    <row r="206" spans="1:5" x14ac:dyDescent="0.25">
      <c r="A206" s="2">
        <v>199</v>
      </c>
      <c r="B206" s="4">
        <v>14000</v>
      </c>
      <c r="C206" s="3">
        <v>26.245029168479064</v>
      </c>
      <c r="D206" s="3">
        <f t="shared" si="6"/>
        <v>30</v>
      </c>
      <c r="E206" s="2">
        <f t="shared" si="7"/>
        <v>1561.6876860582584</v>
      </c>
    </row>
    <row r="207" spans="1:5" x14ac:dyDescent="0.25">
      <c r="A207" s="2">
        <v>200</v>
      </c>
      <c r="B207" s="4">
        <v>14031</v>
      </c>
      <c r="C207" s="3">
        <v>37.471605442263403</v>
      </c>
      <c r="D207" s="3">
        <f t="shared" si="6"/>
        <v>31</v>
      </c>
      <c r="E207" s="2">
        <f t="shared" si="7"/>
        <v>2304.039210664791</v>
      </c>
    </row>
    <row r="208" spans="1:5" x14ac:dyDescent="0.25">
      <c r="A208" s="2">
        <v>201</v>
      </c>
      <c r="B208" s="4">
        <v>14061</v>
      </c>
      <c r="C208" s="3">
        <v>50.919052650413335</v>
      </c>
      <c r="D208" s="3">
        <f t="shared" si="6"/>
        <v>30</v>
      </c>
      <c r="E208" s="2">
        <f t="shared" si="7"/>
        <v>3029.8940420080662</v>
      </c>
    </row>
    <row r="209" spans="1:5" x14ac:dyDescent="0.25">
      <c r="A209" s="2">
        <v>202</v>
      </c>
      <c r="B209" s="4">
        <v>14092</v>
      </c>
      <c r="C209" s="3">
        <v>63.227743649777459</v>
      </c>
      <c r="D209" s="3">
        <f t="shared" si="6"/>
        <v>31</v>
      </c>
      <c r="E209" s="2">
        <f t="shared" si="7"/>
        <v>3887.7224194573905</v>
      </c>
    </row>
    <row r="210" spans="1:5" x14ac:dyDescent="0.25">
      <c r="A210" s="2">
        <v>203</v>
      </c>
      <c r="B210" s="4">
        <v>14123</v>
      </c>
      <c r="C210" s="3">
        <v>69.130193543730158</v>
      </c>
      <c r="D210" s="3">
        <f t="shared" si="6"/>
        <v>31</v>
      </c>
      <c r="E210" s="2">
        <f t="shared" si="7"/>
        <v>4250.6499170690286</v>
      </c>
    </row>
    <row r="211" spans="1:5" x14ac:dyDescent="0.25">
      <c r="A211" s="2">
        <v>204</v>
      </c>
      <c r="B211" s="4">
        <v>14153</v>
      </c>
      <c r="C211" s="3">
        <v>60.252670377326517</v>
      </c>
      <c r="D211" s="3">
        <f t="shared" si="6"/>
        <v>30</v>
      </c>
      <c r="E211" s="2">
        <f t="shared" si="7"/>
        <v>3585.2828654276937</v>
      </c>
    </row>
    <row r="212" spans="1:5" x14ac:dyDescent="0.25">
      <c r="A212" s="2">
        <v>205</v>
      </c>
      <c r="B212" s="4">
        <v>14184</v>
      </c>
      <c r="C212" s="3">
        <v>39.707380625001768</v>
      </c>
      <c r="D212" s="3">
        <f t="shared" si="6"/>
        <v>31</v>
      </c>
      <c r="E212" s="2">
        <f t="shared" si="7"/>
        <v>2441.5116681819268</v>
      </c>
    </row>
    <row r="213" spans="1:5" x14ac:dyDescent="0.25">
      <c r="A213" s="2">
        <v>206</v>
      </c>
      <c r="B213" s="4">
        <v>14214</v>
      </c>
      <c r="C213" s="3">
        <v>26.060205334574523</v>
      </c>
      <c r="D213" s="3">
        <f t="shared" si="6"/>
        <v>30</v>
      </c>
      <c r="E213" s="2">
        <f t="shared" si="7"/>
        <v>1550.6899042060875</v>
      </c>
    </row>
    <row r="214" spans="1:5" x14ac:dyDescent="0.25">
      <c r="A214" s="2">
        <v>207</v>
      </c>
      <c r="B214" s="4">
        <v>14245</v>
      </c>
      <c r="C214" s="3">
        <v>20.748001185172033</v>
      </c>
      <c r="D214" s="3">
        <f t="shared" si="6"/>
        <v>31</v>
      </c>
      <c r="E214" s="2">
        <f t="shared" si="7"/>
        <v>1275.7448662618176</v>
      </c>
    </row>
    <row r="215" spans="1:5" x14ac:dyDescent="0.25">
      <c r="A215" s="2">
        <v>208</v>
      </c>
      <c r="B215" s="4">
        <v>14276</v>
      </c>
      <c r="C215" s="3">
        <v>11.090809821397736</v>
      </c>
      <c r="D215" s="3">
        <f t="shared" si="6"/>
        <v>31</v>
      </c>
      <c r="E215" s="2">
        <f t="shared" si="7"/>
        <v>681.94731463800952</v>
      </c>
    </row>
    <row r="216" spans="1:5" x14ac:dyDescent="0.25">
      <c r="A216" s="2">
        <v>209</v>
      </c>
      <c r="B216" s="4">
        <v>14304</v>
      </c>
      <c r="C216" s="3">
        <v>8.3270571786361121</v>
      </c>
      <c r="D216" s="3">
        <f t="shared" si="6"/>
        <v>28</v>
      </c>
      <c r="E216" s="2">
        <f t="shared" si="7"/>
        <v>462.46135735896428</v>
      </c>
    </row>
    <row r="217" spans="1:5" x14ac:dyDescent="0.25">
      <c r="A217" s="2">
        <v>210</v>
      </c>
      <c r="B217" s="4">
        <v>14335</v>
      </c>
      <c r="C217" s="3">
        <v>12.049398454875179</v>
      </c>
      <c r="D217" s="3">
        <f t="shared" si="6"/>
        <v>31</v>
      </c>
      <c r="E217" s="2">
        <f t="shared" si="7"/>
        <v>740.88863226670526</v>
      </c>
    </row>
    <row r="218" spans="1:5" x14ac:dyDescent="0.25">
      <c r="A218" s="2">
        <v>211</v>
      </c>
      <c r="B218" s="4">
        <v>14365</v>
      </c>
      <c r="C218" s="3">
        <v>20.421012917274247</v>
      </c>
      <c r="D218" s="3">
        <f t="shared" si="6"/>
        <v>30</v>
      </c>
      <c r="E218" s="2">
        <f t="shared" si="7"/>
        <v>1215.1346529287155</v>
      </c>
    </row>
    <row r="219" spans="1:5" x14ac:dyDescent="0.25">
      <c r="A219" s="2">
        <v>212</v>
      </c>
      <c r="B219" s="4">
        <v>14396</v>
      </c>
      <c r="C219" s="3">
        <v>29.156307423216671</v>
      </c>
      <c r="D219" s="3">
        <f t="shared" si="6"/>
        <v>31</v>
      </c>
      <c r="E219" s="2">
        <f t="shared" si="7"/>
        <v>1792.7514647002647</v>
      </c>
    </row>
    <row r="220" spans="1:5" x14ac:dyDescent="0.25">
      <c r="A220" s="2">
        <v>213</v>
      </c>
      <c r="B220" s="4">
        <v>14426</v>
      </c>
      <c r="C220" s="3">
        <v>39.619640932169581</v>
      </c>
      <c r="D220" s="3">
        <f t="shared" si="6"/>
        <v>30</v>
      </c>
      <c r="E220" s="2">
        <f t="shared" si="7"/>
        <v>2357.5323529886032</v>
      </c>
    </row>
    <row r="221" spans="1:5" x14ac:dyDescent="0.25">
      <c r="A221" s="2">
        <v>214</v>
      </c>
      <c r="B221" s="4">
        <v>14457</v>
      </c>
      <c r="C221" s="3">
        <v>49.196918834174639</v>
      </c>
      <c r="D221" s="3">
        <f t="shared" si="6"/>
        <v>31</v>
      </c>
      <c r="E221" s="2">
        <f t="shared" si="7"/>
        <v>3025.0006291426389</v>
      </c>
    </row>
    <row r="222" spans="1:5" x14ac:dyDescent="0.25">
      <c r="A222" s="2">
        <v>215</v>
      </c>
      <c r="B222" s="4">
        <v>14488</v>
      </c>
      <c r="C222" s="3">
        <v>53.789560158907328</v>
      </c>
      <c r="D222" s="3">
        <f t="shared" si="6"/>
        <v>31</v>
      </c>
      <c r="E222" s="2">
        <f t="shared" si="7"/>
        <v>3307.3911370435576</v>
      </c>
    </row>
    <row r="223" spans="1:5" x14ac:dyDescent="0.25">
      <c r="A223" s="2">
        <v>216</v>
      </c>
      <c r="B223" s="4">
        <v>14518</v>
      </c>
      <c r="C223" s="3">
        <v>46.88204201172762</v>
      </c>
      <c r="D223" s="3">
        <f t="shared" si="6"/>
        <v>30</v>
      </c>
      <c r="E223" s="2">
        <f t="shared" si="7"/>
        <v>2789.6752271441228</v>
      </c>
    </row>
    <row r="224" spans="1:5" x14ac:dyDescent="0.25">
      <c r="A224" s="2">
        <v>217</v>
      </c>
      <c r="B224" s="4">
        <v>14549</v>
      </c>
      <c r="C224" s="3">
        <v>30.895943283162936</v>
      </c>
      <c r="D224" s="3">
        <f t="shared" si="6"/>
        <v>31</v>
      </c>
      <c r="E224" s="2">
        <f t="shared" si="7"/>
        <v>1899.717504353159</v>
      </c>
    </row>
    <row r="225" spans="1:5" x14ac:dyDescent="0.25">
      <c r="A225" s="2">
        <v>218</v>
      </c>
      <c r="B225" s="4">
        <v>14579</v>
      </c>
      <c r="C225" s="3">
        <v>20.277203212382872</v>
      </c>
      <c r="D225" s="3">
        <f t="shared" si="6"/>
        <v>30</v>
      </c>
      <c r="E225" s="2">
        <f t="shared" si="7"/>
        <v>1206.5773812327</v>
      </c>
    </row>
    <row r="226" spans="1:5" x14ac:dyDescent="0.25">
      <c r="A226" s="2">
        <v>219</v>
      </c>
      <c r="B226" s="4">
        <v>14610</v>
      </c>
      <c r="C226" s="3">
        <v>16.143826607702454</v>
      </c>
      <c r="D226" s="3">
        <f t="shared" si="6"/>
        <v>31</v>
      </c>
      <c r="E226" s="2">
        <f t="shared" si="7"/>
        <v>992.6452062917873</v>
      </c>
    </row>
    <row r="227" spans="1:5" x14ac:dyDescent="0.25">
      <c r="A227" s="2">
        <v>220</v>
      </c>
      <c r="B227" s="4">
        <v>14641</v>
      </c>
      <c r="C227" s="3">
        <v>2.1740685001168245</v>
      </c>
      <c r="D227" s="3">
        <f t="shared" si="6"/>
        <v>31</v>
      </c>
      <c r="E227" s="2">
        <f t="shared" si="7"/>
        <v>133.67826149478657</v>
      </c>
    </row>
    <row r="228" spans="1:5" x14ac:dyDescent="0.25">
      <c r="A228" s="2">
        <v>221</v>
      </c>
      <c r="B228" s="4">
        <v>14670</v>
      </c>
      <c r="C228" s="3">
        <v>2.379672394902475</v>
      </c>
      <c r="D228" s="3">
        <f t="shared" si="6"/>
        <v>29</v>
      </c>
      <c r="E228" s="2">
        <f t="shared" si="7"/>
        <v>136.88032949191094</v>
      </c>
    </row>
    <row r="229" spans="1:5" x14ac:dyDescent="0.25">
      <c r="A229" s="2">
        <v>222</v>
      </c>
      <c r="B229" s="4">
        <v>14701</v>
      </c>
      <c r="C229" s="3">
        <v>17.287229641728537</v>
      </c>
      <c r="D229" s="3">
        <f t="shared" si="6"/>
        <v>31</v>
      </c>
      <c r="E229" s="2">
        <f t="shared" si="7"/>
        <v>1062.9503184666141</v>
      </c>
    </row>
    <row r="230" spans="1:5" x14ac:dyDescent="0.25">
      <c r="A230" s="2">
        <v>223</v>
      </c>
      <c r="B230" s="4">
        <v>14731</v>
      </c>
      <c r="C230" s="3">
        <v>20.400206958550331</v>
      </c>
      <c r="D230" s="3">
        <f t="shared" si="6"/>
        <v>30</v>
      </c>
      <c r="E230" s="2">
        <f t="shared" si="7"/>
        <v>1213.8966124096066</v>
      </c>
    </row>
    <row r="231" spans="1:5" x14ac:dyDescent="0.25">
      <c r="A231" s="2">
        <v>224</v>
      </c>
      <c r="B231" s="4">
        <v>14762</v>
      </c>
      <c r="C231" s="3">
        <v>30.715352442371561</v>
      </c>
      <c r="D231" s="3">
        <f t="shared" si="6"/>
        <v>31</v>
      </c>
      <c r="E231" s="2">
        <f t="shared" si="7"/>
        <v>1888.6134063739207</v>
      </c>
    </row>
    <row r="232" spans="1:5" x14ac:dyDescent="0.25">
      <c r="A232" s="2">
        <v>225</v>
      </c>
      <c r="B232" s="4">
        <v>14792</v>
      </c>
      <c r="C232" s="3">
        <v>41.738180943406356</v>
      </c>
      <c r="D232" s="3">
        <f t="shared" si="6"/>
        <v>30</v>
      </c>
      <c r="E232" s="2">
        <f t="shared" si="7"/>
        <v>2483.5942379547582</v>
      </c>
    </row>
    <row r="233" spans="1:5" x14ac:dyDescent="0.25">
      <c r="A233" s="2">
        <v>226</v>
      </c>
      <c r="B233" s="4">
        <v>14823</v>
      </c>
      <c r="C233" s="3">
        <v>51.827574704029793</v>
      </c>
      <c r="D233" s="3">
        <f t="shared" si="6"/>
        <v>31</v>
      </c>
      <c r="E233" s="2">
        <f t="shared" si="7"/>
        <v>3186.7533537023278</v>
      </c>
    </row>
    <row r="234" spans="1:5" x14ac:dyDescent="0.25">
      <c r="A234" s="2">
        <v>227</v>
      </c>
      <c r="B234" s="4">
        <v>14854</v>
      </c>
      <c r="C234" s="3">
        <v>56.665793580067493</v>
      </c>
      <c r="D234" s="3">
        <f t="shared" si="6"/>
        <v>31</v>
      </c>
      <c r="E234" s="2">
        <f t="shared" si="7"/>
        <v>3484.2438366586957</v>
      </c>
    </row>
    <row r="235" spans="1:5" x14ac:dyDescent="0.25">
      <c r="A235" s="2">
        <v>228</v>
      </c>
      <c r="B235" s="4">
        <v>14884</v>
      </c>
      <c r="C235" s="3">
        <v>49.38891687160762</v>
      </c>
      <c r="D235" s="3">
        <f t="shared" si="6"/>
        <v>30</v>
      </c>
      <c r="E235" s="2">
        <f t="shared" si="7"/>
        <v>2938.8446402940071</v>
      </c>
    </row>
    <row r="236" spans="1:5" x14ac:dyDescent="0.25">
      <c r="A236" s="2">
        <v>229</v>
      </c>
      <c r="B236" s="4">
        <v>14915</v>
      </c>
      <c r="C236" s="3">
        <v>32.548010048289406</v>
      </c>
      <c r="D236" s="3">
        <f t="shared" si="6"/>
        <v>31</v>
      </c>
      <c r="E236" s="2">
        <f t="shared" si="7"/>
        <v>2001.2991302419273</v>
      </c>
    </row>
    <row r="237" spans="1:5" x14ac:dyDescent="0.25">
      <c r="A237" s="2">
        <v>230</v>
      </c>
      <c r="B237" s="4">
        <v>14945</v>
      </c>
      <c r="C237" s="3">
        <v>21.361465091357427</v>
      </c>
      <c r="D237" s="3">
        <f t="shared" si="6"/>
        <v>30</v>
      </c>
      <c r="E237" s="2">
        <f t="shared" si="7"/>
        <v>1271.0954434526734</v>
      </c>
    </row>
    <row r="238" spans="1:5" x14ac:dyDescent="0.25">
      <c r="A238" s="2">
        <v>231</v>
      </c>
      <c r="B238" s="4">
        <v>14976</v>
      </c>
      <c r="C238" s="3">
        <v>17.00706872192151</v>
      </c>
      <c r="D238" s="3">
        <f t="shared" si="6"/>
        <v>31</v>
      </c>
      <c r="E238" s="2">
        <f t="shared" si="7"/>
        <v>1045.7238949677358</v>
      </c>
    </row>
    <row r="239" spans="1:5" x14ac:dyDescent="0.25">
      <c r="A239" s="2">
        <v>232</v>
      </c>
      <c r="B239" s="4">
        <v>15007</v>
      </c>
      <c r="C239" s="3">
        <v>19.764259091971134</v>
      </c>
      <c r="D239" s="3">
        <f t="shared" si="6"/>
        <v>31</v>
      </c>
      <c r="E239" s="2">
        <f t="shared" si="7"/>
        <v>1215.256922679878</v>
      </c>
    </row>
    <row r="240" spans="1:5" x14ac:dyDescent="0.25">
      <c r="A240" s="2">
        <v>233</v>
      </c>
      <c r="B240" s="4">
        <v>15035</v>
      </c>
      <c r="C240" s="3">
        <v>0</v>
      </c>
      <c r="D240" s="3">
        <f t="shared" si="6"/>
        <v>28</v>
      </c>
      <c r="E240" s="2">
        <f t="shared" si="7"/>
        <v>0</v>
      </c>
    </row>
    <row r="241" spans="1:5" x14ac:dyDescent="0.25">
      <c r="A241" s="2">
        <v>234</v>
      </c>
      <c r="B241" s="4">
        <v>15066</v>
      </c>
      <c r="C241" s="3">
        <v>21.374017729940757</v>
      </c>
      <c r="D241" s="3">
        <f t="shared" si="6"/>
        <v>31</v>
      </c>
      <c r="E241" s="2">
        <f t="shared" si="7"/>
        <v>1314.2371232294151</v>
      </c>
    </row>
    <row r="242" spans="1:5" x14ac:dyDescent="0.25">
      <c r="A242" s="2">
        <v>235</v>
      </c>
      <c r="B242" s="4">
        <v>15096</v>
      </c>
      <c r="C242" s="3">
        <v>26.245029168479075</v>
      </c>
      <c r="D242" s="3">
        <f t="shared" si="6"/>
        <v>30</v>
      </c>
      <c r="E242" s="2">
        <f t="shared" si="7"/>
        <v>1561.687686058259</v>
      </c>
    </row>
    <row r="243" spans="1:5" x14ac:dyDescent="0.25">
      <c r="A243" s="2">
        <v>236</v>
      </c>
      <c r="B243" s="4">
        <v>15127</v>
      </c>
      <c r="C243" s="3">
        <v>37.471605442263396</v>
      </c>
      <c r="D243" s="3">
        <f t="shared" si="6"/>
        <v>31</v>
      </c>
      <c r="E243" s="2">
        <f t="shared" si="7"/>
        <v>2304.039210664791</v>
      </c>
    </row>
    <row r="244" spans="1:5" x14ac:dyDescent="0.25">
      <c r="A244" s="2">
        <v>237</v>
      </c>
      <c r="B244" s="4">
        <v>15157</v>
      </c>
      <c r="C244" s="3">
        <v>50.919052650413342</v>
      </c>
      <c r="D244" s="3">
        <f t="shared" si="6"/>
        <v>30</v>
      </c>
      <c r="E244" s="2">
        <f t="shared" si="7"/>
        <v>3029.8940420080662</v>
      </c>
    </row>
    <row r="245" spans="1:5" x14ac:dyDescent="0.25">
      <c r="A245" s="2">
        <v>238</v>
      </c>
      <c r="B245" s="4">
        <v>15188</v>
      </c>
      <c r="C245" s="3">
        <v>63.227743649777452</v>
      </c>
      <c r="D245" s="3">
        <f t="shared" si="6"/>
        <v>31</v>
      </c>
      <c r="E245" s="2">
        <f t="shared" si="7"/>
        <v>3887.7224194573901</v>
      </c>
    </row>
    <row r="246" spans="1:5" x14ac:dyDescent="0.25">
      <c r="A246" s="2">
        <v>239</v>
      </c>
      <c r="B246" s="4">
        <v>15219</v>
      </c>
      <c r="C246" s="3">
        <v>69.130193543730186</v>
      </c>
      <c r="D246" s="3">
        <f t="shared" si="6"/>
        <v>31</v>
      </c>
      <c r="E246" s="2">
        <f t="shared" si="7"/>
        <v>4250.6499170690304</v>
      </c>
    </row>
    <row r="247" spans="1:5" x14ac:dyDescent="0.25">
      <c r="A247" s="2">
        <v>240</v>
      </c>
      <c r="B247" s="4">
        <v>15249</v>
      </c>
      <c r="C247" s="3">
        <v>60.252670377326524</v>
      </c>
      <c r="D247" s="3">
        <f t="shared" si="6"/>
        <v>30</v>
      </c>
      <c r="E247" s="2">
        <f t="shared" si="7"/>
        <v>3585.2828654276946</v>
      </c>
    </row>
    <row r="248" spans="1:5" x14ac:dyDescent="0.25">
      <c r="A248" s="2">
        <v>241</v>
      </c>
      <c r="B248" s="4">
        <v>15280</v>
      </c>
      <c r="C248" s="3">
        <v>39.707380625001761</v>
      </c>
      <c r="D248" s="3">
        <f t="shared" si="6"/>
        <v>31</v>
      </c>
      <c r="E248" s="2">
        <f t="shared" si="7"/>
        <v>2441.5116681819263</v>
      </c>
    </row>
    <row r="249" spans="1:5" x14ac:dyDescent="0.25">
      <c r="A249" s="2">
        <v>242</v>
      </c>
      <c r="B249" s="4">
        <v>15310</v>
      </c>
      <c r="C249" s="3">
        <v>26.060205334574526</v>
      </c>
      <c r="D249" s="3">
        <f t="shared" si="6"/>
        <v>30</v>
      </c>
      <c r="E249" s="2">
        <f t="shared" si="7"/>
        <v>1550.6899042060877</v>
      </c>
    </row>
    <row r="250" spans="1:5" x14ac:dyDescent="0.25">
      <c r="A250" s="2">
        <v>243</v>
      </c>
      <c r="B250" s="4">
        <v>15341</v>
      </c>
      <c r="C250" s="3">
        <v>20.74800118517204</v>
      </c>
      <c r="D250" s="3">
        <f t="shared" si="6"/>
        <v>31</v>
      </c>
      <c r="E250" s="2">
        <f t="shared" si="7"/>
        <v>1275.7448662618181</v>
      </c>
    </row>
    <row r="251" spans="1:5" x14ac:dyDescent="0.25">
      <c r="A251" s="2">
        <v>244</v>
      </c>
      <c r="B251" s="4">
        <v>15372</v>
      </c>
      <c r="C251" s="3">
        <v>19.76425909197113</v>
      </c>
      <c r="D251" s="3">
        <f t="shared" si="6"/>
        <v>31</v>
      </c>
      <c r="E251" s="2">
        <f t="shared" si="7"/>
        <v>1215.2569226798778</v>
      </c>
    </row>
    <row r="252" spans="1:5" x14ac:dyDescent="0.25">
      <c r="A252" s="2">
        <v>245</v>
      </c>
      <c r="B252" s="4">
        <v>15400</v>
      </c>
      <c r="C252" s="3">
        <v>19.505548893665644</v>
      </c>
      <c r="D252" s="3">
        <f t="shared" si="6"/>
        <v>28</v>
      </c>
      <c r="E252" s="2">
        <f t="shared" si="7"/>
        <v>1083.2833765738276</v>
      </c>
    </row>
    <row r="253" spans="1:5" x14ac:dyDescent="0.25">
      <c r="A253" s="2">
        <v>246</v>
      </c>
      <c r="B253" s="4">
        <v>15431</v>
      </c>
      <c r="C253" s="3">
        <v>21.374017729940764</v>
      </c>
      <c r="D253" s="3">
        <f t="shared" si="6"/>
        <v>31</v>
      </c>
      <c r="E253" s="2">
        <f t="shared" si="7"/>
        <v>1314.2371232294156</v>
      </c>
    </row>
    <row r="254" spans="1:5" x14ac:dyDescent="0.25">
      <c r="A254" s="2">
        <v>247</v>
      </c>
      <c r="B254" s="4">
        <v>15461</v>
      </c>
      <c r="C254" s="3">
        <v>22.822421610572043</v>
      </c>
      <c r="D254" s="3">
        <f t="shared" si="6"/>
        <v>30</v>
      </c>
      <c r="E254" s="2">
        <f t="shared" si="7"/>
        <v>1358.0283933563528</v>
      </c>
    </row>
    <row r="255" spans="1:5" x14ac:dyDescent="0.25">
      <c r="A255" s="2">
        <v>248</v>
      </c>
      <c r="B255" s="4">
        <v>15492</v>
      </c>
      <c r="C255" s="3">
        <v>37.471605442263382</v>
      </c>
      <c r="D255" s="3">
        <f t="shared" si="6"/>
        <v>31</v>
      </c>
      <c r="E255" s="2">
        <f t="shared" si="7"/>
        <v>2304.0392106647896</v>
      </c>
    </row>
    <row r="256" spans="1:5" x14ac:dyDescent="0.25">
      <c r="A256" s="2">
        <v>249</v>
      </c>
      <c r="B256" s="4">
        <v>15522</v>
      </c>
      <c r="C256" s="3">
        <v>50.919052650413327</v>
      </c>
      <c r="D256" s="3">
        <f t="shared" si="6"/>
        <v>30</v>
      </c>
      <c r="E256" s="2">
        <f t="shared" si="7"/>
        <v>3029.8940420080662</v>
      </c>
    </row>
    <row r="257" spans="1:5" x14ac:dyDescent="0.25">
      <c r="A257" s="2">
        <v>250</v>
      </c>
      <c r="B257" s="4">
        <v>15553</v>
      </c>
      <c r="C257" s="3">
        <v>63.227743649777473</v>
      </c>
      <c r="D257" s="3">
        <f t="shared" si="6"/>
        <v>31</v>
      </c>
      <c r="E257" s="2">
        <f t="shared" si="7"/>
        <v>3887.7224194573914</v>
      </c>
    </row>
    <row r="258" spans="1:5" x14ac:dyDescent="0.25">
      <c r="A258" s="2">
        <v>251</v>
      </c>
      <c r="B258" s="4">
        <v>15584</v>
      </c>
      <c r="C258" s="3">
        <v>69.130193543730172</v>
      </c>
      <c r="D258" s="3">
        <f t="shared" si="6"/>
        <v>31</v>
      </c>
      <c r="E258" s="2">
        <f t="shared" si="7"/>
        <v>4250.6499170690286</v>
      </c>
    </row>
    <row r="259" spans="1:5" x14ac:dyDescent="0.25">
      <c r="A259" s="2">
        <v>252</v>
      </c>
      <c r="B259" s="4">
        <v>15614</v>
      </c>
      <c r="C259" s="3">
        <v>60.252670377326524</v>
      </c>
      <c r="D259" s="3">
        <f t="shared" si="6"/>
        <v>30</v>
      </c>
      <c r="E259" s="2">
        <f t="shared" si="7"/>
        <v>3585.2828654276946</v>
      </c>
    </row>
    <row r="260" spans="1:5" x14ac:dyDescent="0.25">
      <c r="A260" s="2">
        <v>253</v>
      </c>
      <c r="B260" s="4">
        <v>15645</v>
      </c>
      <c r="C260" s="3">
        <v>39.707380625001768</v>
      </c>
      <c r="D260" s="3">
        <f t="shared" si="6"/>
        <v>31</v>
      </c>
      <c r="E260" s="2">
        <f t="shared" si="7"/>
        <v>2441.5116681819268</v>
      </c>
    </row>
    <row r="261" spans="1:5" x14ac:dyDescent="0.25">
      <c r="A261" s="2">
        <v>254</v>
      </c>
      <c r="B261" s="4">
        <v>15675</v>
      </c>
      <c r="C261" s="3">
        <v>26.060205334574544</v>
      </c>
      <c r="D261" s="3">
        <f t="shared" si="6"/>
        <v>30</v>
      </c>
      <c r="E261" s="2">
        <f t="shared" si="7"/>
        <v>1550.6899042060884</v>
      </c>
    </row>
    <row r="262" spans="1:5" x14ac:dyDescent="0.25">
      <c r="A262" s="2">
        <v>255</v>
      </c>
      <c r="B262" s="4">
        <v>15706</v>
      </c>
      <c r="C262" s="3">
        <v>20.748001185172033</v>
      </c>
      <c r="D262" s="3">
        <f t="shared" si="6"/>
        <v>31</v>
      </c>
      <c r="E262" s="2">
        <f t="shared" si="7"/>
        <v>1275.7448662618176</v>
      </c>
    </row>
    <row r="263" spans="1:5" x14ac:dyDescent="0.25">
      <c r="A263" s="2">
        <v>256</v>
      </c>
      <c r="B263" s="4">
        <v>15737</v>
      </c>
      <c r="C263" s="3">
        <v>17.514941885249531</v>
      </c>
      <c r="D263" s="3">
        <f t="shared" si="6"/>
        <v>31</v>
      </c>
      <c r="E263" s="2">
        <f t="shared" si="7"/>
        <v>1076.9517985641035</v>
      </c>
    </row>
    <row r="264" spans="1:5" x14ac:dyDescent="0.25">
      <c r="A264" s="2">
        <v>257</v>
      </c>
      <c r="B264" s="4">
        <v>15765</v>
      </c>
      <c r="C264" s="3">
        <v>19.505548893665647</v>
      </c>
      <c r="D264" s="3">
        <f t="shared" si="6"/>
        <v>28</v>
      </c>
      <c r="E264" s="2">
        <f t="shared" si="7"/>
        <v>1083.2833765738276</v>
      </c>
    </row>
    <row r="265" spans="1:5" x14ac:dyDescent="0.25">
      <c r="A265" s="2">
        <v>258</v>
      </c>
      <c r="B265" s="4">
        <v>15796</v>
      </c>
      <c r="C265" s="3">
        <v>21.37401772994075</v>
      </c>
      <c r="D265" s="3">
        <f t="shared" ref="D265:D328" si="8">DAY(EOMONTH(B265,0))</f>
        <v>31</v>
      </c>
      <c r="E265" s="2">
        <f t="shared" ref="E265:E328" si="9">C265*D265*86400/43560</f>
        <v>1314.2371232294147</v>
      </c>
    </row>
    <row r="266" spans="1:5" x14ac:dyDescent="0.25">
      <c r="A266" s="2">
        <v>259</v>
      </c>
      <c r="B266" s="4">
        <v>15826</v>
      </c>
      <c r="C266" s="3">
        <v>26.245029168479064</v>
      </c>
      <c r="D266" s="3">
        <f t="shared" si="8"/>
        <v>30</v>
      </c>
      <c r="E266" s="2">
        <f t="shared" si="9"/>
        <v>1561.6876860582584</v>
      </c>
    </row>
    <row r="267" spans="1:5" x14ac:dyDescent="0.25">
      <c r="A267" s="2">
        <v>260</v>
      </c>
      <c r="B267" s="4">
        <v>15857</v>
      </c>
      <c r="C267" s="3">
        <v>37.471605442263382</v>
      </c>
      <c r="D267" s="3">
        <f t="shared" si="8"/>
        <v>31</v>
      </c>
      <c r="E267" s="2">
        <f t="shared" si="9"/>
        <v>2304.0392106647896</v>
      </c>
    </row>
    <row r="268" spans="1:5" x14ac:dyDescent="0.25">
      <c r="A268" s="2">
        <v>261</v>
      </c>
      <c r="B268" s="4">
        <v>15887</v>
      </c>
      <c r="C268" s="3">
        <v>50.91905265041332</v>
      </c>
      <c r="D268" s="3">
        <f t="shared" si="8"/>
        <v>30</v>
      </c>
      <c r="E268" s="2">
        <f t="shared" si="9"/>
        <v>3029.8940420080653</v>
      </c>
    </row>
    <row r="269" spans="1:5" x14ac:dyDescent="0.25">
      <c r="A269" s="2">
        <v>262</v>
      </c>
      <c r="B269" s="4">
        <v>15918</v>
      </c>
      <c r="C269" s="3">
        <v>63.227743649777452</v>
      </c>
      <c r="D269" s="3">
        <f t="shared" si="8"/>
        <v>31</v>
      </c>
      <c r="E269" s="2">
        <f t="shared" si="9"/>
        <v>3887.7224194573901</v>
      </c>
    </row>
    <row r="270" spans="1:5" x14ac:dyDescent="0.25">
      <c r="A270" s="2">
        <v>263</v>
      </c>
      <c r="B270" s="4">
        <v>15949</v>
      </c>
      <c r="C270" s="3">
        <v>69.130193543730158</v>
      </c>
      <c r="D270" s="3">
        <f t="shared" si="8"/>
        <v>31</v>
      </c>
      <c r="E270" s="2">
        <f t="shared" si="9"/>
        <v>4250.6499170690286</v>
      </c>
    </row>
    <row r="271" spans="1:5" x14ac:dyDescent="0.25">
      <c r="A271" s="2">
        <v>264</v>
      </c>
      <c r="B271" s="4">
        <v>15979</v>
      </c>
      <c r="C271" s="3">
        <v>60.252670377326503</v>
      </c>
      <c r="D271" s="3">
        <f t="shared" si="8"/>
        <v>30</v>
      </c>
      <c r="E271" s="2">
        <f t="shared" si="9"/>
        <v>3585.2828654276932</v>
      </c>
    </row>
    <row r="272" spans="1:5" x14ac:dyDescent="0.25">
      <c r="A272" s="2">
        <v>265</v>
      </c>
      <c r="B272" s="4">
        <v>16010</v>
      </c>
      <c r="C272" s="3">
        <v>39.70738062500174</v>
      </c>
      <c r="D272" s="3">
        <f t="shared" si="8"/>
        <v>31</v>
      </c>
      <c r="E272" s="2">
        <f t="shared" si="9"/>
        <v>2441.5116681819254</v>
      </c>
    </row>
    <row r="273" spans="1:5" x14ac:dyDescent="0.25">
      <c r="A273" s="2">
        <v>266</v>
      </c>
      <c r="B273" s="4">
        <v>16040</v>
      </c>
      <c r="C273" s="3">
        <v>26.06020533457453</v>
      </c>
      <c r="D273" s="3">
        <f t="shared" si="8"/>
        <v>30</v>
      </c>
      <c r="E273" s="2">
        <f t="shared" si="9"/>
        <v>1550.6899042060877</v>
      </c>
    </row>
    <row r="274" spans="1:5" x14ac:dyDescent="0.25">
      <c r="A274" s="2">
        <v>267</v>
      </c>
      <c r="B274" s="4">
        <v>16071</v>
      </c>
      <c r="C274" s="3">
        <v>20.748001185172015</v>
      </c>
      <c r="D274" s="3">
        <f t="shared" si="8"/>
        <v>31</v>
      </c>
      <c r="E274" s="2">
        <f t="shared" si="9"/>
        <v>1275.7448662618165</v>
      </c>
    </row>
    <row r="275" spans="1:5" x14ac:dyDescent="0.25">
      <c r="A275" s="2">
        <v>268</v>
      </c>
      <c r="B275" s="4">
        <v>16102</v>
      </c>
      <c r="C275" s="3">
        <v>2.1740685001168241</v>
      </c>
      <c r="D275" s="3">
        <f t="shared" si="8"/>
        <v>31</v>
      </c>
      <c r="E275" s="2">
        <f t="shared" si="9"/>
        <v>133.67826149478657</v>
      </c>
    </row>
    <row r="276" spans="1:5" x14ac:dyDescent="0.25">
      <c r="A276" s="2">
        <v>269</v>
      </c>
      <c r="B276" s="4">
        <v>16131</v>
      </c>
      <c r="C276" s="3">
        <v>2.0716238135341456</v>
      </c>
      <c r="D276" s="3">
        <f t="shared" si="8"/>
        <v>29</v>
      </c>
      <c r="E276" s="2">
        <f t="shared" si="9"/>
        <v>119.1611714231211</v>
      </c>
    </row>
    <row r="277" spans="1:5" x14ac:dyDescent="0.25">
      <c r="A277" s="2">
        <v>270</v>
      </c>
      <c r="B277" s="4">
        <v>16162</v>
      </c>
      <c r="C277" s="3">
        <v>3.6255122093030656</v>
      </c>
      <c r="D277" s="3">
        <f t="shared" si="8"/>
        <v>31</v>
      </c>
      <c r="E277" s="2">
        <f t="shared" si="9"/>
        <v>222.92405650590749</v>
      </c>
    </row>
    <row r="278" spans="1:5" x14ac:dyDescent="0.25">
      <c r="A278" s="2">
        <v>271</v>
      </c>
      <c r="B278" s="4">
        <v>16192</v>
      </c>
      <c r="C278" s="3">
        <v>13.807477942756192</v>
      </c>
      <c r="D278" s="3">
        <f t="shared" si="8"/>
        <v>30</v>
      </c>
      <c r="E278" s="2">
        <f t="shared" si="9"/>
        <v>821.60199328797182</v>
      </c>
    </row>
    <row r="279" spans="1:5" x14ac:dyDescent="0.25">
      <c r="A279" s="2">
        <v>272</v>
      </c>
      <c r="B279" s="4">
        <v>16223</v>
      </c>
      <c r="C279" s="3">
        <v>19.713766073657517</v>
      </c>
      <c r="D279" s="3">
        <f t="shared" si="8"/>
        <v>31</v>
      </c>
      <c r="E279" s="2">
        <f t="shared" si="9"/>
        <v>1212.1522280000984</v>
      </c>
    </row>
    <row r="280" spans="1:5" x14ac:dyDescent="0.25">
      <c r="A280" s="2">
        <v>273</v>
      </c>
      <c r="B280" s="4">
        <v>16253</v>
      </c>
      <c r="C280" s="3">
        <v>26.788451703495152</v>
      </c>
      <c r="D280" s="3">
        <f t="shared" si="8"/>
        <v>30</v>
      </c>
      <c r="E280" s="2">
        <f t="shared" si="9"/>
        <v>1594.0235724393813</v>
      </c>
    </row>
    <row r="281" spans="1:5" x14ac:dyDescent="0.25">
      <c r="A281" s="2">
        <v>274</v>
      </c>
      <c r="B281" s="4">
        <v>16284</v>
      </c>
      <c r="C281" s="3">
        <v>33.264039076133258</v>
      </c>
      <c r="D281" s="3">
        <f t="shared" si="8"/>
        <v>31</v>
      </c>
      <c r="E281" s="2">
        <f t="shared" si="9"/>
        <v>2045.3260390614169</v>
      </c>
    </row>
    <row r="282" spans="1:5" x14ac:dyDescent="0.25">
      <c r="A282" s="2">
        <v>275</v>
      </c>
      <c r="B282" s="4">
        <v>16315</v>
      </c>
      <c r="C282" s="3">
        <v>36.3693107904759</v>
      </c>
      <c r="D282" s="3">
        <f t="shared" si="8"/>
        <v>31</v>
      </c>
      <c r="E282" s="2">
        <f t="shared" si="9"/>
        <v>2236.2617543895922</v>
      </c>
    </row>
    <row r="283" spans="1:5" x14ac:dyDescent="0.25">
      <c r="A283" s="2">
        <v>276</v>
      </c>
      <c r="B283" s="4">
        <v>16345</v>
      </c>
      <c r="C283" s="3">
        <v>31.698856643919168</v>
      </c>
      <c r="D283" s="3">
        <f t="shared" si="8"/>
        <v>30</v>
      </c>
      <c r="E283" s="2">
        <f t="shared" si="9"/>
        <v>1886.2129573241157</v>
      </c>
    </row>
    <row r="284" spans="1:5" x14ac:dyDescent="0.25">
      <c r="A284" s="2">
        <v>277</v>
      </c>
      <c r="B284" s="4">
        <v>16376</v>
      </c>
      <c r="C284" s="3">
        <v>20.890004679545509</v>
      </c>
      <c r="D284" s="3">
        <f t="shared" si="8"/>
        <v>31</v>
      </c>
      <c r="E284" s="2">
        <f t="shared" si="9"/>
        <v>1284.4763207918891</v>
      </c>
    </row>
    <row r="285" spans="1:5" x14ac:dyDescent="0.25">
      <c r="A285" s="2">
        <v>278</v>
      </c>
      <c r="B285" s="4">
        <v>16406</v>
      </c>
      <c r="C285" s="3">
        <v>13.710242348406094</v>
      </c>
      <c r="D285" s="3">
        <f t="shared" si="8"/>
        <v>30</v>
      </c>
      <c r="E285" s="2">
        <f t="shared" si="9"/>
        <v>815.81607362416423</v>
      </c>
    </row>
    <row r="286" spans="1:5" x14ac:dyDescent="0.25">
      <c r="A286" s="2">
        <v>279</v>
      </c>
      <c r="B286" s="4">
        <v>16437</v>
      </c>
      <c r="C286" s="3">
        <v>10.915498202783812</v>
      </c>
      <c r="D286" s="3">
        <f t="shared" si="8"/>
        <v>31</v>
      </c>
      <c r="E286" s="2">
        <f t="shared" si="9"/>
        <v>671.16782337778147</v>
      </c>
    </row>
    <row r="287" spans="1:5" x14ac:dyDescent="0.25">
      <c r="A287" s="2">
        <v>280</v>
      </c>
      <c r="B287" s="4">
        <v>16468</v>
      </c>
      <c r="C287" s="3">
        <v>9.19585319586254</v>
      </c>
      <c r="D287" s="3">
        <f t="shared" si="8"/>
        <v>31</v>
      </c>
      <c r="E287" s="2">
        <f t="shared" si="9"/>
        <v>565.43097336543224</v>
      </c>
    </row>
    <row r="288" spans="1:5" x14ac:dyDescent="0.25">
      <c r="A288" s="2">
        <v>281</v>
      </c>
      <c r="B288" s="4">
        <v>16496</v>
      </c>
      <c r="C288" s="3">
        <v>3.101651651320009</v>
      </c>
      <c r="D288" s="3">
        <f t="shared" si="8"/>
        <v>28</v>
      </c>
      <c r="E288" s="2">
        <f t="shared" si="9"/>
        <v>172.25701732950793</v>
      </c>
    </row>
    <row r="289" spans="1:5" x14ac:dyDescent="0.25">
      <c r="A289" s="2">
        <v>282</v>
      </c>
      <c r="B289" s="4">
        <v>16527</v>
      </c>
      <c r="C289" s="3">
        <v>14.679363526798134</v>
      </c>
      <c r="D289" s="3">
        <f t="shared" si="8"/>
        <v>31</v>
      </c>
      <c r="E289" s="2">
        <f t="shared" si="9"/>
        <v>902.59888131717469</v>
      </c>
    </row>
    <row r="290" spans="1:5" x14ac:dyDescent="0.25">
      <c r="A290" s="2">
        <v>283</v>
      </c>
      <c r="B290" s="4">
        <v>16557</v>
      </c>
      <c r="C290" s="3">
        <v>26.245029168479071</v>
      </c>
      <c r="D290" s="3">
        <f t="shared" si="8"/>
        <v>30</v>
      </c>
      <c r="E290" s="2">
        <f t="shared" si="9"/>
        <v>1561.687686058259</v>
      </c>
    </row>
    <row r="291" spans="1:5" x14ac:dyDescent="0.25">
      <c r="A291" s="2">
        <v>284</v>
      </c>
      <c r="B291" s="4">
        <v>16588</v>
      </c>
      <c r="C291" s="3">
        <v>37.471605442263375</v>
      </c>
      <c r="D291" s="3">
        <f t="shared" si="8"/>
        <v>31</v>
      </c>
      <c r="E291" s="2">
        <f t="shared" si="9"/>
        <v>2304.0392106647896</v>
      </c>
    </row>
    <row r="292" spans="1:5" x14ac:dyDescent="0.25">
      <c r="A292" s="2">
        <v>285</v>
      </c>
      <c r="B292" s="4">
        <v>16618</v>
      </c>
      <c r="C292" s="3">
        <v>50.91905265041332</v>
      </c>
      <c r="D292" s="3">
        <f t="shared" si="8"/>
        <v>30</v>
      </c>
      <c r="E292" s="2">
        <f t="shared" si="9"/>
        <v>3029.8940420080653</v>
      </c>
    </row>
    <row r="293" spans="1:5" x14ac:dyDescent="0.25">
      <c r="A293" s="2">
        <v>286</v>
      </c>
      <c r="B293" s="4">
        <v>16649</v>
      </c>
      <c r="C293" s="3">
        <v>63.227743649777445</v>
      </c>
      <c r="D293" s="3">
        <f t="shared" si="8"/>
        <v>31</v>
      </c>
      <c r="E293" s="2">
        <f t="shared" si="9"/>
        <v>3887.7224194573901</v>
      </c>
    </row>
    <row r="294" spans="1:5" x14ac:dyDescent="0.25">
      <c r="A294" s="2">
        <v>287</v>
      </c>
      <c r="B294" s="4">
        <v>16680</v>
      </c>
      <c r="C294" s="3">
        <v>69.130193543730144</v>
      </c>
      <c r="D294" s="3">
        <f t="shared" si="8"/>
        <v>31</v>
      </c>
      <c r="E294" s="2">
        <f t="shared" si="9"/>
        <v>4250.6499170690277</v>
      </c>
    </row>
    <row r="295" spans="1:5" x14ac:dyDescent="0.25">
      <c r="A295" s="2">
        <v>288</v>
      </c>
      <c r="B295" s="4">
        <v>16710</v>
      </c>
      <c r="C295" s="3">
        <v>60.252670377326517</v>
      </c>
      <c r="D295" s="3">
        <f t="shared" si="8"/>
        <v>30</v>
      </c>
      <c r="E295" s="2">
        <f t="shared" si="9"/>
        <v>3585.2828654276937</v>
      </c>
    </row>
    <row r="296" spans="1:5" x14ac:dyDescent="0.25">
      <c r="A296" s="2">
        <v>289</v>
      </c>
      <c r="B296" s="4">
        <v>16741</v>
      </c>
      <c r="C296" s="3">
        <v>39.70738062500174</v>
      </c>
      <c r="D296" s="3">
        <f t="shared" si="8"/>
        <v>31</v>
      </c>
      <c r="E296" s="2">
        <f t="shared" si="9"/>
        <v>2441.5116681819254</v>
      </c>
    </row>
    <row r="297" spans="1:5" x14ac:dyDescent="0.25">
      <c r="A297" s="2">
        <v>290</v>
      </c>
      <c r="B297" s="4">
        <v>16771</v>
      </c>
      <c r="C297" s="3">
        <v>26.060205334574533</v>
      </c>
      <c r="D297" s="3">
        <f t="shared" si="8"/>
        <v>30</v>
      </c>
      <c r="E297" s="2">
        <f t="shared" si="9"/>
        <v>1550.6899042060877</v>
      </c>
    </row>
    <row r="298" spans="1:5" x14ac:dyDescent="0.25">
      <c r="A298" s="2">
        <v>291</v>
      </c>
      <c r="B298" s="4">
        <v>16802</v>
      </c>
      <c r="C298" s="3">
        <v>20.748001185172026</v>
      </c>
      <c r="D298" s="3">
        <f t="shared" si="8"/>
        <v>31</v>
      </c>
      <c r="E298" s="2">
        <f t="shared" si="9"/>
        <v>1275.7448662618172</v>
      </c>
    </row>
    <row r="299" spans="1:5" x14ac:dyDescent="0.25">
      <c r="A299" s="2">
        <v>292</v>
      </c>
      <c r="B299" s="4">
        <v>16833</v>
      </c>
      <c r="C299" s="3">
        <v>19.764259091971127</v>
      </c>
      <c r="D299" s="3">
        <f t="shared" si="8"/>
        <v>31</v>
      </c>
      <c r="E299" s="2">
        <f t="shared" si="9"/>
        <v>1215.2569226798778</v>
      </c>
    </row>
    <row r="300" spans="1:5" x14ac:dyDescent="0.25">
      <c r="A300" s="2">
        <v>293</v>
      </c>
      <c r="B300" s="4">
        <v>16861</v>
      </c>
      <c r="C300" s="3">
        <v>19.505548893665647</v>
      </c>
      <c r="D300" s="3">
        <f t="shared" si="8"/>
        <v>28</v>
      </c>
      <c r="E300" s="2">
        <f t="shared" si="9"/>
        <v>1083.2833765738276</v>
      </c>
    </row>
    <row r="301" spans="1:5" x14ac:dyDescent="0.25">
      <c r="A301" s="2">
        <v>294</v>
      </c>
      <c r="B301" s="4">
        <v>16892</v>
      </c>
      <c r="C301" s="3">
        <v>20.098897119018694</v>
      </c>
      <c r="D301" s="3">
        <f t="shared" si="8"/>
        <v>31</v>
      </c>
      <c r="E301" s="2">
        <f t="shared" si="9"/>
        <v>1235.833012938009</v>
      </c>
    </row>
    <row r="302" spans="1:5" x14ac:dyDescent="0.25">
      <c r="A302" s="2">
        <v>295</v>
      </c>
      <c r="B302" s="4">
        <v>16922</v>
      </c>
      <c r="C302" s="3">
        <v>21.881860160250437</v>
      </c>
      <c r="D302" s="3">
        <f t="shared" si="8"/>
        <v>30</v>
      </c>
      <c r="E302" s="2">
        <f t="shared" si="9"/>
        <v>1302.0611004446541</v>
      </c>
    </row>
    <row r="303" spans="1:5" x14ac:dyDescent="0.25">
      <c r="A303" s="2">
        <v>296</v>
      </c>
      <c r="B303" s="4">
        <v>16953</v>
      </c>
      <c r="C303" s="3">
        <v>35.928586553112268</v>
      </c>
      <c r="D303" s="3">
        <f t="shared" si="8"/>
        <v>31</v>
      </c>
      <c r="E303" s="2">
        <f t="shared" si="9"/>
        <v>2209.1626773153325</v>
      </c>
    </row>
    <row r="304" spans="1:5" x14ac:dyDescent="0.25">
      <c r="A304" s="2">
        <v>297</v>
      </c>
      <c r="B304" s="4">
        <v>16983</v>
      </c>
      <c r="C304" s="3">
        <v>48.822290071656759</v>
      </c>
      <c r="D304" s="3">
        <f t="shared" si="8"/>
        <v>30</v>
      </c>
      <c r="E304" s="2">
        <f t="shared" si="9"/>
        <v>2905.1280042638732</v>
      </c>
    </row>
    <row r="305" spans="1:5" x14ac:dyDescent="0.25">
      <c r="A305" s="2">
        <v>298</v>
      </c>
      <c r="B305" s="4">
        <v>17014</v>
      </c>
      <c r="C305" s="3">
        <v>60.624129483303186</v>
      </c>
      <c r="D305" s="3">
        <f t="shared" si="8"/>
        <v>31</v>
      </c>
      <c r="E305" s="2">
        <f t="shared" si="9"/>
        <v>3727.6324244278981</v>
      </c>
    </row>
    <row r="306" spans="1:5" x14ac:dyDescent="0.25">
      <c r="A306" s="2">
        <v>299</v>
      </c>
      <c r="B306" s="4">
        <v>17045</v>
      </c>
      <c r="C306" s="3">
        <v>66.283526228848061</v>
      </c>
      <c r="D306" s="3">
        <f t="shared" si="8"/>
        <v>31</v>
      </c>
      <c r="E306" s="2">
        <f t="shared" si="9"/>
        <v>4075.6151664680133</v>
      </c>
    </row>
    <row r="307" spans="1:5" x14ac:dyDescent="0.25">
      <c r="A307" s="2">
        <v>300</v>
      </c>
      <c r="B307" s="4">
        <v>17075</v>
      </c>
      <c r="C307" s="3">
        <v>57.771564819752747</v>
      </c>
      <c r="D307" s="3">
        <f t="shared" si="8"/>
        <v>30</v>
      </c>
      <c r="E307" s="2">
        <f t="shared" si="9"/>
        <v>3437.6468322497499</v>
      </c>
    </row>
    <row r="308" spans="1:5" x14ac:dyDescent="0.25">
      <c r="A308" s="2">
        <v>301</v>
      </c>
      <c r="B308" s="4">
        <v>17106</v>
      </c>
      <c r="C308" s="3">
        <v>38.072296202544969</v>
      </c>
      <c r="D308" s="3">
        <f t="shared" si="8"/>
        <v>31</v>
      </c>
      <c r="E308" s="2">
        <f t="shared" si="9"/>
        <v>2340.9742458424344</v>
      </c>
    </row>
    <row r="309" spans="1:5" x14ac:dyDescent="0.25">
      <c r="A309" s="2">
        <v>302</v>
      </c>
      <c r="B309" s="4">
        <v>17136</v>
      </c>
      <c r="C309" s="3">
        <v>24.98708907462769</v>
      </c>
      <c r="D309" s="3">
        <f t="shared" si="8"/>
        <v>30</v>
      </c>
      <c r="E309" s="2">
        <f t="shared" si="9"/>
        <v>1486.8350523745401</v>
      </c>
    </row>
    <row r="310" spans="1:5" x14ac:dyDescent="0.25">
      <c r="A310" s="2">
        <v>303</v>
      </c>
      <c r="B310" s="4">
        <v>17167</v>
      </c>
      <c r="C310" s="3">
        <v>19.893632727696172</v>
      </c>
      <c r="D310" s="3">
        <f t="shared" si="8"/>
        <v>31</v>
      </c>
      <c r="E310" s="2">
        <f t="shared" si="9"/>
        <v>1223.2117974715663</v>
      </c>
    </row>
    <row r="311" spans="1:5" x14ac:dyDescent="0.25">
      <c r="A311" s="2">
        <v>304</v>
      </c>
      <c r="B311" s="4">
        <v>17198</v>
      </c>
      <c r="C311" s="3">
        <v>3.367759120262622</v>
      </c>
      <c r="D311" s="3">
        <f t="shared" si="8"/>
        <v>31</v>
      </c>
      <c r="E311" s="2">
        <f t="shared" si="9"/>
        <v>207.075436816148</v>
      </c>
    </row>
    <row r="312" spans="1:5" x14ac:dyDescent="0.25">
      <c r="A312" s="2">
        <v>305</v>
      </c>
      <c r="B312" s="4">
        <v>17226</v>
      </c>
      <c r="C312" s="3">
        <v>2.1456103783032208</v>
      </c>
      <c r="D312" s="3">
        <f t="shared" si="8"/>
        <v>28</v>
      </c>
      <c r="E312" s="2">
        <f t="shared" si="9"/>
        <v>119.16117142312102</v>
      </c>
    </row>
    <row r="313" spans="1:5" x14ac:dyDescent="0.25">
      <c r="A313" s="2">
        <v>306</v>
      </c>
      <c r="B313" s="4">
        <v>17257</v>
      </c>
      <c r="C313" s="3">
        <v>4.662670053277199</v>
      </c>
      <c r="D313" s="3">
        <f t="shared" si="8"/>
        <v>31</v>
      </c>
      <c r="E313" s="2">
        <f t="shared" si="9"/>
        <v>286.69640658167242</v>
      </c>
    </row>
    <row r="314" spans="1:5" x14ac:dyDescent="0.25">
      <c r="A314" s="2">
        <v>307</v>
      </c>
      <c r="B314" s="4">
        <v>17287</v>
      </c>
      <c r="C314" s="3">
        <v>14.905216429941071</v>
      </c>
      <c r="D314" s="3">
        <f t="shared" si="8"/>
        <v>30</v>
      </c>
      <c r="E314" s="2">
        <f t="shared" si="9"/>
        <v>886.92196938492305</v>
      </c>
    </row>
    <row r="315" spans="1:5" x14ac:dyDescent="0.25">
      <c r="A315" s="2">
        <v>308</v>
      </c>
      <c r="B315" s="4">
        <v>17318</v>
      </c>
      <c r="C315" s="3">
        <v>21.281073284730525</v>
      </c>
      <c r="D315" s="3">
        <f t="shared" si="8"/>
        <v>31</v>
      </c>
      <c r="E315" s="2">
        <f t="shared" si="9"/>
        <v>1308.5221920528522</v>
      </c>
    </row>
    <row r="316" spans="1:5" x14ac:dyDescent="0.25">
      <c r="A316" s="2">
        <v>309</v>
      </c>
      <c r="B316" s="4">
        <v>17348</v>
      </c>
      <c r="C316" s="3">
        <v>28.918218962145581</v>
      </c>
      <c r="D316" s="3">
        <f t="shared" si="8"/>
        <v>30</v>
      </c>
      <c r="E316" s="2">
        <f t="shared" si="9"/>
        <v>1720.7535250202327</v>
      </c>
    </row>
    <row r="317" spans="1:5" x14ac:dyDescent="0.25">
      <c r="A317" s="2">
        <v>310</v>
      </c>
      <c r="B317" s="4">
        <v>17379</v>
      </c>
      <c r="C317" s="3">
        <v>35.908636162181836</v>
      </c>
      <c r="D317" s="3">
        <f t="shared" si="8"/>
        <v>31</v>
      </c>
      <c r="E317" s="2">
        <f t="shared" si="9"/>
        <v>2207.9359755920068</v>
      </c>
    </row>
    <row r="318" spans="1:5" x14ac:dyDescent="0.25">
      <c r="A318" s="2">
        <v>311</v>
      </c>
      <c r="B318" s="4">
        <v>17410</v>
      </c>
      <c r="C318" s="3">
        <v>39.260786871235389</v>
      </c>
      <c r="D318" s="3">
        <f t="shared" si="8"/>
        <v>31</v>
      </c>
      <c r="E318" s="2">
        <f t="shared" si="9"/>
        <v>2414.0516886114983</v>
      </c>
    </row>
    <row r="319" spans="1:5" x14ac:dyDescent="0.25">
      <c r="A319" s="2">
        <v>312</v>
      </c>
      <c r="B319" s="4">
        <v>17440</v>
      </c>
      <c r="C319" s="3">
        <v>34.219016739922921</v>
      </c>
      <c r="D319" s="3">
        <f t="shared" si="8"/>
        <v>30</v>
      </c>
      <c r="E319" s="2">
        <f t="shared" si="9"/>
        <v>2036.1728969210333</v>
      </c>
    </row>
    <row r="320" spans="1:5" x14ac:dyDescent="0.25">
      <c r="A320" s="2">
        <v>313</v>
      </c>
      <c r="B320" s="4">
        <v>17471</v>
      </c>
      <c r="C320" s="3">
        <v>22.550826607292276</v>
      </c>
      <c r="D320" s="3">
        <f t="shared" si="8"/>
        <v>31</v>
      </c>
      <c r="E320" s="2">
        <f t="shared" si="9"/>
        <v>1386.5962806467317</v>
      </c>
    </row>
    <row r="321" spans="1:5" x14ac:dyDescent="0.25">
      <c r="A321" s="2">
        <v>314</v>
      </c>
      <c r="B321" s="4">
        <v>17501</v>
      </c>
      <c r="C321" s="3">
        <v>14.800250296046757</v>
      </c>
      <c r="D321" s="3">
        <f t="shared" si="8"/>
        <v>30</v>
      </c>
      <c r="E321" s="2">
        <f t="shared" si="9"/>
        <v>880.67605067385659</v>
      </c>
    </row>
    <row r="322" spans="1:5" x14ac:dyDescent="0.25">
      <c r="A322" s="2">
        <v>315</v>
      </c>
      <c r="B322" s="4">
        <v>17532</v>
      </c>
      <c r="C322" s="3">
        <v>11.783315086770173</v>
      </c>
      <c r="D322" s="3">
        <f t="shared" si="8"/>
        <v>31</v>
      </c>
      <c r="E322" s="2">
        <f t="shared" si="9"/>
        <v>724.52780368239746</v>
      </c>
    </row>
    <row r="323" spans="1:5" x14ac:dyDescent="0.25">
      <c r="A323" s="2">
        <v>316</v>
      </c>
      <c r="B323" s="4">
        <v>17563</v>
      </c>
      <c r="C323" s="3">
        <v>2.174068500116825</v>
      </c>
      <c r="D323" s="3">
        <f t="shared" si="8"/>
        <v>31</v>
      </c>
      <c r="E323" s="2">
        <f t="shared" si="9"/>
        <v>133.67826149478657</v>
      </c>
    </row>
    <row r="324" spans="1:5" x14ac:dyDescent="0.25">
      <c r="A324" s="2">
        <v>317</v>
      </c>
      <c r="B324" s="4">
        <v>17592</v>
      </c>
      <c r="C324" s="3">
        <v>2.0716238135341447</v>
      </c>
      <c r="D324" s="3">
        <f t="shared" si="8"/>
        <v>29</v>
      </c>
      <c r="E324" s="2">
        <f t="shared" si="9"/>
        <v>119.16117142312103</v>
      </c>
    </row>
    <row r="325" spans="1:5" x14ac:dyDescent="0.25">
      <c r="A325" s="2">
        <v>318</v>
      </c>
      <c r="B325" s="4">
        <v>17623</v>
      </c>
      <c r="C325" s="3">
        <v>3.7901424589194335</v>
      </c>
      <c r="D325" s="3">
        <f t="shared" si="8"/>
        <v>31</v>
      </c>
      <c r="E325" s="2">
        <f t="shared" si="9"/>
        <v>233.04677598645114</v>
      </c>
    </row>
    <row r="326" spans="1:5" x14ac:dyDescent="0.25">
      <c r="A326" s="2">
        <v>319</v>
      </c>
      <c r="B326" s="4">
        <v>17653</v>
      </c>
      <c r="C326" s="3">
        <v>15.538202753602183</v>
      </c>
      <c r="D326" s="3">
        <f t="shared" si="8"/>
        <v>30</v>
      </c>
      <c r="E326" s="2">
        <f t="shared" si="9"/>
        <v>924.58727128872511</v>
      </c>
    </row>
    <row r="327" spans="1:5" x14ac:dyDescent="0.25">
      <c r="A327" s="2">
        <v>320</v>
      </c>
      <c r="B327" s="4">
        <v>17684</v>
      </c>
      <c r="C327" s="3">
        <v>35.710165370626918</v>
      </c>
      <c r="D327" s="3">
        <f t="shared" si="8"/>
        <v>31</v>
      </c>
      <c r="E327" s="2">
        <f t="shared" si="9"/>
        <v>2195.7324822930927</v>
      </c>
    </row>
    <row r="328" spans="1:5" x14ac:dyDescent="0.25">
      <c r="A328" s="2">
        <v>321</v>
      </c>
      <c r="B328" s="4">
        <v>17714</v>
      </c>
      <c r="C328" s="3">
        <v>48.525484008514532</v>
      </c>
      <c r="D328" s="3">
        <f t="shared" si="8"/>
        <v>30</v>
      </c>
      <c r="E328" s="2">
        <f t="shared" si="9"/>
        <v>2887.4668170355753</v>
      </c>
    </row>
    <row r="329" spans="1:5" x14ac:dyDescent="0.25">
      <c r="A329" s="2">
        <v>322</v>
      </c>
      <c r="B329" s="4">
        <v>17745</v>
      </c>
      <c r="C329" s="3">
        <v>60.255576324961879</v>
      </c>
      <c r="D329" s="3">
        <f t="shared" ref="D329:D392" si="10">DAY(EOMONTH(B329,0))</f>
        <v>31</v>
      </c>
      <c r="E329" s="2">
        <f t="shared" ref="E329:E392" si="11">C329*D329*86400/43560</f>
        <v>3704.9709740307139</v>
      </c>
    </row>
    <row r="330" spans="1:5" x14ac:dyDescent="0.25">
      <c r="A330" s="2">
        <v>323</v>
      </c>
      <c r="B330" s="4">
        <v>17776</v>
      </c>
      <c r="C330" s="3">
        <v>65.880567816977333</v>
      </c>
      <c r="D330" s="3">
        <f t="shared" si="10"/>
        <v>31</v>
      </c>
      <c r="E330" s="2">
        <f t="shared" si="11"/>
        <v>4050.8382194901765</v>
      </c>
    </row>
    <row r="331" spans="1:5" x14ac:dyDescent="0.25">
      <c r="A331" s="2">
        <v>324</v>
      </c>
      <c r="B331" s="4">
        <v>17806</v>
      </c>
      <c r="C331" s="3">
        <v>57.420353299552644</v>
      </c>
      <c r="D331" s="3">
        <f t="shared" si="10"/>
        <v>30</v>
      </c>
      <c r="E331" s="2">
        <f t="shared" si="11"/>
        <v>3416.7482955105706</v>
      </c>
    </row>
    <row r="332" spans="1:5" x14ac:dyDescent="0.25">
      <c r="A332" s="2">
        <v>325</v>
      </c>
      <c r="B332" s="4">
        <v>17837</v>
      </c>
      <c r="C332" s="3">
        <v>37.840842734588492</v>
      </c>
      <c r="D332" s="3">
        <f t="shared" si="10"/>
        <v>31</v>
      </c>
      <c r="E332" s="2">
        <f t="shared" si="11"/>
        <v>2326.7427268209781</v>
      </c>
    </row>
    <row r="333" spans="1:5" x14ac:dyDescent="0.25">
      <c r="A333" s="2">
        <v>326</v>
      </c>
      <c r="B333" s="4">
        <v>17867</v>
      </c>
      <c r="C333" s="3">
        <v>24.835184698025525</v>
      </c>
      <c r="D333" s="3">
        <f t="shared" si="10"/>
        <v>30</v>
      </c>
      <c r="E333" s="2">
        <f t="shared" si="11"/>
        <v>1477.7961142626759</v>
      </c>
    </row>
    <row r="334" spans="1:5" x14ac:dyDescent="0.25">
      <c r="A334" s="2">
        <v>327</v>
      </c>
      <c r="B334" s="4">
        <v>17898</v>
      </c>
      <c r="C334" s="3">
        <v>19.772693074868755</v>
      </c>
      <c r="D334" s="3">
        <f t="shared" si="10"/>
        <v>31</v>
      </c>
      <c r="E334" s="2">
        <f t="shared" si="11"/>
        <v>1215.7755080745746</v>
      </c>
    </row>
    <row r="335" spans="1:5" x14ac:dyDescent="0.25">
      <c r="A335" s="2">
        <v>328</v>
      </c>
      <c r="B335" s="4">
        <v>17929</v>
      </c>
      <c r="C335" s="3">
        <v>2.1740685001168245</v>
      </c>
      <c r="D335" s="3">
        <f t="shared" si="10"/>
        <v>31</v>
      </c>
      <c r="E335" s="2">
        <f t="shared" si="11"/>
        <v>133.67826149478657</v>
      </c>
    </row>
    <row r="336" spans="1:5" x14ac:dyDescent="0.25">
      <c r="A336" s="2">
        <v>329</v>
      </c>
      <c r="B336" s="4">
        <v>17957</v>
      </c>
      <c r="C336" s="3">
        <v>2.1456103783032208</v>
      </c>
      <c r="D336" s="3">
        <f t="shared" si="10"/>
        <v>28</v>
      </c>
      <c r="E336" s="2">
        <f t="shared" si="11"/>
        <v>119.16117142312102</v>
      </c>
    </row>
    <row r="337" spans="1:5" x14ac:dyDescent="0.25">
      <c r="A337" s="2">
        <v>330</v>
      </c>
      <c r="B337" s="4">
        <v>17988</v>
      </c>
      <c r="C337" s="3">
        <v>3.8185407019359929</v>
      </c>
      <c r="D337" s="3">
        <f t="shared" si="10"/>
        <v>31</v>
      </c>
      <c r="E337" s="2">
        <f t="shared" si="11"/>
        <v>234.79291588763459</v>
      </c>
    </row>
    <row r="338" spans="1:5" x14ac:dyDescent="0.25">
      <c r="A338" s="2">
        <v>331</v>
      </c>
      <c r="B338" s="4">
        <v>18018</v>
      </c>
      <c r="C338" s="3">
        <v>5.3313750510116185</v>
      </c>
      <c r="D338" s="3">
        <f t="shared" si="10"/>
        <v>30</v>
      </c>
      <c r="E338" s="2">
        <f t="shared" si="11"/>
        <v>317.23884601060865</v>
      </c>
    </row>
    <row r="339" spans="1:5" x14ac:dyDescent="0.25">
      <c r="A339" s="2">
        <v>332</v>
      </c>
      <c r="B339" s="4">
        <v>18049</v>
      </c>
      <c r="C339" s="3">
        <v>7.9973224927268483</v>
      </c>
      <c r="D339" s="3">
        <f t="shared" si="10"/>
        <v>31</v>
      </c>
      <c r="E339" s="2">
        <f t="shared" si="11"/>
        <v>491.73619294122113</v>
      </c>
    </row>
    <row r="340" spans="1:5" x14ac:dyDescent="0.25">
      <c r="A340" s="2">
        <v>333</v>
      </c>
      <c r="B340" s="4">
        <v>18079</v>
      </c>
      <c r="C340" s="3">
        <v>10.867324211580295</v>
      </c>
      <c r="D340" s="3">
        <f t="shared" si="10"/>
        <v>30</v>
      </c>
      <c r="E340" s="2">
        <f t="shared" si="11"/>
        <v>646.65069688742255</v>
      </c>
    </row>
    <row r="341" spans="1:5" x14ac:dyDescent="0.25">
      <c r="A341" s="2">
        <v>334</v>
      </c>
      <c r="B341" s="4">
        <v>18110</v>
      </c>
      <c r="C341" s="3">
        <v>13.494288554939201</v>
      </c>
      <c r="D341" s="3">
        <f t="shared" si="10"/>
        <v>31</v>
      </c>
      <c r="E341" s="2">
        <f t="shared" si="11"/>
        <v>829.73146155989798</v>
      </c>
    </row>
    <row r="342" spans="1:5" x14ac:dyDescent="0.25">
      <c r="A342" s="2">
        <v>335</v>
      </c>
      <c r="B342" s="4">
        <v>18141</v>
      </c>
      <c r="C342" s="3">
        <v>14.754010276012325</v>
      </c>
      <c r="D342" s="3">
        <f t="shared" si="10"/>
        <v>31</v>
      </c>
      <c r="E342" s="2">
        <f t="shared" si="11"/>
        <v>907.18873102092311</v>
      </c>
    </row>
    <row r="343" spans="1:5" x14ac:dyDescent="0.25">
      <c r="A343" s="2">
        <v>336</v>
      </c>
      <c r="B343" s="4">
        <v>18171</v>
      </c>
      <c r="C343" s="3">
        <v>12.859337900477858</v>
      </c>
      <c r="D343" s="3">
        <f t="shared" si="10"/>
        <v>30</v>
      </c>
      <c r="E343" s="2">
        <f t="shared" si="11"/>
        <v>765.1837428383518</v>
      </c>
    </row>
    <row r="344" spans="1:5" x14ac:dyDescent="0.25">
      <c r="A344" s="2">
        <v>337</v>
      </c>
      <c r="B344" s="4">
        <v>18202</v>
      </c>
      <c r="C344" s="3">
        <v>8.4744895355199237</v>
      </c>
      <c r="D344" s="3">
        <f t="shared" si="10"/>
        <v>31</v>
      </c>
      <c r="E344" s="2">
        <f t="shared" si="11"/>
        <v>521.07605077907624</v>
      </c>
    </row>
    <row r="345" spans="1:5" x14ac:dyDescent="0.25">
      <c r="A345" s="2">
        <v>338</v>
      </c>
      <c r="B345" s="4">
        <v>18232</v>
      </c>
      <c r="C345" s="3">
        <v>5.5618611433234699</v>
      </c>
      <c r="D345" s="3">
        <f t="shared" si="10"/>
        <v>30</v>
      </c>
      <c r="E345" s="2">
        <f t="shared" si="11"/>
        <v>330.95372092503294</v>
      </c>
    </row>
    <row r="346" spans="1:5" x14ac:dyDescent="0.25">
      <c r="A346" s="2">
        <v>339</v>
      </c>
      <c r="B346" s="4">
        <v>18263</v>
      </c>
      <c r="C346" s="3">
        <v>4.4281117555254923</v>
      </c>
      <c r="D346" s="3">
        <f t="shared" si="10"/>
        <v>31</v>
      </c>
      <c r="E346" s="2">
        <f t="shared" si="11"/>
        <v>272.27397901743524</v>
      </c>
    </row>
    <row r="347" spans="1:5" x14ac:dyDescent="0.25">
      <c r="A347" s="2">
        <v>340</v>
      </c>
      <c r="B347" s="4">
        <v>18294</v>
      </c>
      <c r="C347" s="3">
        <v>2.1740685001168245</v>
      </c>
      <c r="D347" s="3">
        <f t="shared" si="10"/>
        <v>31</v>
      </c>
      <c r="E347" s="2">
        <f t="shared" si="11"/>
        <v>133.67826149478657</v>
      </c>
    </row>
    <row r="348" spans="1:5" x14ac:dyDescent="0.25">
      <c r="A348" s="2">
        <v>341</v>
      </c>
      <c r="B348" s="4">
        <v>18322</v>
      </c>
      <c r="C348" s="3">
        <v>2.1456103783032212</v>
      </c>
      <c r="D348" s="3">
        <f t="shared" si="10"/>
        <v>28</v>
      </c>
      <c r="E348" s="2">
        <f t="shared" si="11"/>
        <v>119.16117142312103</v>
      </c>
    </row>
    <row r="349" spans="1:5" x14ac:dyDescent="0.25">
      <c r="A349" s="2">
        <v>342</v>
      </c>
      <c r="B349" s="4">
        <v>18353</v>
      </c>
      <c r="C349" s="3">
        <v>3.1085112207978964</v>
      </c>
      <c r="D349" s="3">
        <f t="shared" si="10"/>
        <v>31</v>
      </c>
      <c r="E349" s="2">
        <f t="shared" si="11"/>
        <v>191.13490481600289</v>
      </c>
    </row>
    <row r="350" spans="1:5" x14ac:dyDescent="0.25">
      <c r="A350" s="2">
        <v>343</v>
      </c>
      <c r="B350" s="4">
        <v>18383</v>
      </c>
      <c r="C350" s="3">
        <v>16.972665090834923</v>
      </c>
      <c r="D350" s="3">
        <f t="shared" si="10"/>
        <v>30</v>
      </c>
      <c r="E350" s="2">
        <f t="shared" si="11"/>
        <v>1009.9437078843921</v>
      </c>
    </row>
    <row r="351" spans="1:5" x14ac:dyDescent="0.25">
      <c r="A351" s="2">
        <v>344</v>
      </c>
      <c r="B351" s="4">
        <v>18414</v>
      </c>
      <c r="C351" s="3">
        <v>24.232893989361116</v>
      </c>
      <c r="D351" s="3">
        <f t="shared" si="10"/>
        <v>31</v>
      </c>
      <c r="E351" s="2">
        <f t="shared" si="11"/>
        <v>1490.0225725689809</v>
      </c>
    </row>
    <row r="352" spans="1:5" x14ac:dyDescent="0.25">
      <c r="A352" s="2">
        <v>345</v>
      </c>
      <c r="B352" s="4">
        <v>18444</v>
      </c>
      <c r="C352" s="3">
        <v>32.929360521192308</v>
      </c>
      <c r="D352" s="3">
        <f t="shared" si="10"/>
        <v>30</v>
      </c>
      <c r="E352" s="2">
        <f t="shared" si="11"/>
        <v>1959.4330227486334</v>
      </c>
    </row>
    <row r="353" spans="1:5" x14ac:dyDescent="0.25">
      <c r="A353" s="2">
        <v>346</v>
      </c>
      <c r="B353" s="4">
        <v>18475</v>
      </c>
      <c r="C353" s="3">
        <v>40.889393207674885</v>
      </c>
      <c r="D353" s="3">
        <f t="shared" si="10"/>
        <v>31</v>
      </c>
      <c r="E353" s="2">
        <f t="shared" si="11"/>
        <v>2514.1907889677782</v>
      </c>
    </row>
    <row r="354" spans="1:5" x14ac:dyDescent="0.25">
      <c r="A354" s="2">
        <v>347</v>
      </c>
      <c r="B354" s="4">
        <v>18506</v>
      </c>
      <c r="C354" s="3">
        <v>44.706508617316437</v>
      </c>
      <c r="D354" s="3">
        <f t="shared" si="10"/>
        <v>31</v>
      </c>
      <c r="E354" s="2">
        <f t="shared" si="11"/>
        <v>2748.8960670482174</v>
      </c>
    </row>
    <row r="355" spans="1:5" x14ac:dyDescent="0.25">
      <c r="A355" s="2">
        <v>348</v>
      </c>
      <c r="B355" s="4">
        <v>18536</v>
      </c>
      <c r="C355" s="3">
        <v>38.965412786473827</v>
      </c>
      <c r="D355" s="3">
        <f t="shared" si="10"/>
        <v>30</v>
      </c>
      <c r="E355" s="2">
        <f t="shared" si="11"/>
        <v>2318.6030748976159</v>
      </c>
    </row>
    <row r="356" spans="1:5" x14ac:dyDescent="0.25">
      <c r="A356" s="2">
        <v>349</v>
      </c>
      <c r="B356" s="4">
        <v>18567</v>
      </c>
      <c r="C356" s="3">
        <v>25.67877020277351</v>
      </c>
      <c r="D356" s="3">
        <f t="shared" si="10"/>
        <v>31</v>
      </c>
      <c r="E356" s="2">
        <f t="shared" si="11"/>
        <v>1578.9260356085531</v>
      </c>
    </row>
    <row r="357" spans="1:5" x14ac:dyDescent="0.25">
      <c r="A357" s="2">
        <v>350</v>
      </c>
      <c r="B357" s="4">
        <v>18597</v>
      </c>
      <c r="C357" s="3">
        <v>16.853139484156092</v>
      </c>
      <c r="D357" s="3">
        <f t="shared" si="10"/>
        <v>30</v>
      </c>
      <c r="E357" s="2">
        <f t="shared" si="11"/>
        <v>1002.831440379536</v>
      </c>
    </row>
    <row r="358" spans="1:5" x14ac:dyDescent="0.25">
      <c r="A358" s="2">
        <v>351</v>
      </c>
      <c r="B358" s="4">
        <v>18628</v>
      </c>
      <c r="C358" s="3">
        <v>13.417736103837525</v>
      </c>
      <c r="D358" s="3">
        <f t="shared" si="10"/>
        <v>31</v>
      </c>
      <c r="E358" s="2">
        <f t="shared" si="11"/>
        <v>825.02443481447267</v>
      </c>
    </row>
    <row r="359" spans="1:5" x14ac:dyDescent="0.25">
      <c r="A359" s="2">
        <v>352</v>
      </c>
      <c r="B359" s="4">
        <v>18659</v>
      </c>
      <c r="C359" s="3">
        <v>19.764259091971134</v>
      </c>
      <c r="D359" s="3">
        <f t="shared" si="10"/>
        <v>31</v>
      </c>
      <c r="E359" s="2">
        <f t="shared" si="11"/>
        <v>1215.256922679878</v>
      </c>
    </row>
    <row r="360" spans="1:5" x14ac:dyDescent="0.25">
      <c r="A360" s="2">
        <v>353</v>
      </c>
      <c r="B360" s="4">
        <v>18687</v>
      </c>
      <c r="C360" s="3">
        <v>19.505548893665644</v>
      </c>
      <c r="D360" s="3">
        <f t="shared" si="10"/>
        <v>28</v>
      </c>
      <c r="E360" s="2">
        <f t="shared" si="11"/>
        <v>1083.2833765738276</v>
      </c>
    </row>
    <row r="361" spans="1:5" x14ac:dyDescent="0.25">
      <c r="A361" s="2">
        <v>354</v>
      </c>
      <c r="B361" s="4">
        <v>18718</v>
      </c>
      <c r="C361" s="3">
        <v>21.374017729940753</v>
      </c>
      <c r="D361" s="3">
        <f t="shared" si="10"/>
        <v>31</v>
      </c>
      <c r="E361" s="2">
        <f t="shared" si="11"/>
        <v>1314.2371232294149</v>
      </c>
    </row>
    <row r="362" spans="1:5" x14ac:dyDescent="0.25">
      <c r="A362" s="2">
        <v>355</v>
      </c>
      <c r="B362" s="4">
        <v>18748</v>
      </c>
      <c r="C362" s="3">
        <v>26.245029168479075</v>
      </c>
      <c r="D362" s="3">
        <f t="shared" si="10"/>
        <v>30</v>
      </c>
      <c r="E362" s="2">
        <f t="shared" si="11"/>
        <v>1561.687686058259</v>
      </c>
    </row>
    <row r="363" spans="1:5" x14ac:dyDescent="0.25">
      <c r="A363" s="2">
        <v>356</v>
      </c>
      <c r="B363" s="4">
        <v>18779</v>
      </c>
      <c r="C363" s="3">
        <v>37.471605442263382</v>
      </c>
      <c r="D363" s="3">
        <f t="shared" si="10"/>
        <v>31</v>
      </c>
      <c r="E363" s="2">
        <f t="shared" si="11"/>
        <v>2304.0392106647896</v>
      </c>
    </row>
    <row r="364" spans="1:5" x14ac:dyDescent="0.25">
      <c r="A364" s="2">
        <v>357</v>
      </c>
      <c r="B364" s="4">
        <v>18809</v>
      </c>
      <c r="C364" s="3">
        <v>50.919052650413327</v>
      </c>
      <c r="D364" s="3">
        <f t="shared" si="10"/>
        <v>30</v>
      </c>
      <c r="E364" s="2">
        <f t="shared" si="11"/>
        <v>3029.8940420080662</v>
      </c>
    </row>
    <row r="365" spans="1:5" x14ac:dyDescent="0.25">
      <c r="A365" s="2">
        <v>358</v>
      </c>
      <c r="B365" s="4">
        <v>18840</v>
      </c>
      <c r="C365" s="3">
        <v>63.227743649777459</v>
      </c>
      <c r="D365" s="3">
        <f t="shared" si="10"/>
        <v>31</v>
      </c>
      <c r="E365" s="2">
        <f t="shared" si="11"/>
        <v>3887.7224194573905</v>
      </c>
    </row>
    <row r="366" spans="1:5" x14ac:dyDescent="0.25">
      <c r="A366" s="2">
        <v>359</v>
      </c>
      <c r="B366" s="4">
        <v>18871</v>
      </c>
      <c r="C366" s="3">
        <v>69.130193543730172</v>
      </c>
      <c r="D366" s="3">
        <f t="shared" si="10"/>
        <v>31</v>
      </c>
      <c r="E366" s="2">
        <f t="shared" si="11"/>
        <v>4250.6499170690286</v>
      </c>
    </row>
    <row r="367" spans="1:5" x14ac:dyDescent="0.25">
      <c r="A367" s="2">
        <v>360</v>
      </c>
      <c r="B367" s="4">
        <v>18901</v>
      </c>
      <c r="C367" s="3">
        <v>60.25267037732651</v>
      </c>
      <c r="D367" s="3">
        <f t="shared" si="10"/>
        <v>30</v>
      </c>
      <c r="E367" s="2">
        <f t="shared" si="11"/>
        <v>3585.2828654276932</v>
      </c>
    </row>
    <row r="368" spans="1:5" x14ac:dyDescent="0.25">
      <c r="A368" s="2">
        <v>361</v>
      </c>
      <c r="B368" s="4">
        <v>18932</v>
      </c>
      <c r="C368" s="3">
        <v>39.707380625001754</v>
      </c>
      <c r="D368" s="3">
        <f t="shared" si="10"/>
        <v>31</v>
      </c>
      <c r="E368" s="2">
        <f t="shared" si="11"/>
        <v>2441.5116681819259</v>
      </c>
    </row>
    <row r="369" spans="1:5" x14ac:dyDescent="0.25">
      <c r="A369" s="2">
        <v>362</v>
      </c>
      <c r="B369" s="4">
        <v>18962</v>
      </c>
      <c r="C369" s="3">
        <v>26.060205334574533</v>
      </c>
      <c r="D369" s="3">
        <f t="shared" si="10"/>
        <v>30</v>
      </c>
      <c r="E369" s="2">
        <f t="shared" si="11"/>
        <v>1550.6899042060877</v>
      </c>
    </row>
    <row r="370" spans="1:5" x14ac:dyDescent="0.25">
      <c r="A370" s="2">
        <v>363</v>
      </c>
      <c r="B370" s="4">
        <v>18993</v>
      </c>
      <c r="C370" s="3">
        <v>20.748001185172033</v>
      </c>
      <c r="D370" s="3">
        <f t="shared" si="10"/>
        <v>31</v>
      </c>
      <c r="E370" s="2">
        <f t="shared" si="11"/>
        <v>1275.7448662618176</v>
      </c>
    </row>
    <row r="371" spans="1:5" x14ac:dyDescent="0.25">
      <c r="A371" s="2">
        <v>364</v>
      </c>
      <c r="B371" s="4">
        <v>19024</v>
      </c>
      <c r="C371" s="3">
        <v>19.764259091971123</v>
      </c>
      <c r="D371" s="3">
        <f t="shared" si="10"/>
        <v>31</v>
      </c>
      <c r="E371" s="2">
        <f t="shared" si="11"/>
        <v>1215.2569226798773</v>
      </c>
    </row>
    <row r="372" spans="1:5" x14ac:dyDescent="0.25">
      <c r="A372" s="2">
        <v>365</v>
      </c>
      <c r="B372" s="4">
        <v>19053</v>
      </c>
      <c r="C372" s="3">
        <v>18.832943759401317</v>
      </c>
      <c r="D372" s="3">
        <f t="shared" si="10"/>
        <v>29</v>
      </c>
      <c r="E372" s="2">
        <f t="shared" si="11"/>
        <v>1083.2833765738278</v>
      </c>
    </row>
    <row r="373" spans="1:5" x14ac:dyDescent="0.25">
      <c r="A373" s="2">
        <v>366</v>
      </c>
      <c r="B373" s="4">
        <v>19084</v>
      </c>
      <c r="C373" s="3">
        <v>21.374017729940761</v>
      </c>
      <c r="D373" s="3">
        <f t="shared" si="10"/>
        <v>31</v>
      </c>
      <c r="E373" s="2">
        <f t="shared" si="11"/>
        <v>1314.2371232294154</v>
      </c>
    </row>
    <row r="374" spans="1:5" x14ac:dyDescent="0.25">
      <c r="A374" s="2">
        <v>367</v>
      </c>
      <c r="B374" s="4">
        <v>19114</v>
      </c>
      <c r="C374" s="3">
        <v>26.245029168479071</v>
      </c>
      <c r="D374" s="3">
        <f t="shared" si="10"/>
        <v>30</v>
      </c>
      <c r="E374" s="2">
        <f t="shared" si="11"/>
        <v>1561.687686058259</v>
      </c>
    </row>
    <row r="375" spans="1:5" x14ac:dyDescent="0.25">
      <c r="A375" s="2">
        <v>368</v>
      </c>
      <c r="B375" s="4">
        <v>19145</v>
      </c>
      <c r="C375" s="3">
        <v>37.471605442263403</v>
      </c>
      <c r="D375" s="3">
        <f t="shared" si="10"/>
        <v>31</v>
      </c>
      <c r="E375" s="2">
        <f t="shared" si="11"/>
        <v>2304.039210664791</v>
      </c>
    </row>
    <row r="376" spans="1:5" x14ac:dyDescent="0.25">
      <c r="A376" s="2">
        <v>369</v>
      </c>
      <c r="B376" s="4">
        <v>19175</v>
      </c>
      <c r="C376" s="3">
        <v>50.91905265041332</v>
      </c>
      <c r="D376" s="3">
        <f t="shared" si="10"/>
        <v>30</v>
      </c>
      <c r="E376" s="2">
        <f t="shared" si="11"/>
        <v>3029.8940420080653</v>
      </c>
    </row>
    <row r="377" spans="1:5" x14ac:dyDescent="0.25">
      <c r="A377" s="2">
        <v>370</v>
      </c>
      <c r="B377" s="4">
        <v>19206</v>
      </c>
      <c r="C377" s="3">
        <v>63.227743649777466</v>
      </c>
      <c r="D377" s="3">
        <f t="shared" si="10"/>
        <v>31</v>
      </c>
      <c r="E377" s="2">
        <f t="shared" si="11"/>
        <v>3887.7224194573914</v>
      </c>
    </row>
    <row r="378" spans="1:5" x14ac:dyDescent="0.25">
      <c r="A378" s="2">
        <v>371</v>
      </c>
      <c r="B378" s="4">
        <v>19237</v>
      </c>
      <c r="C378" s="3">
        <v>69.130193543730172</v>
      </c>
      <c r="D378" s="3">
        <f t="shared" si="10"/>
        <v>31</v>
      </c>
      <c r="E378" s="2">
        <f t="shared" si="11"/>
        <v>4250.6499170690286</v>
      </c>
    </row>
    <row r="379" spans="1:5" x14ac:dyDescent="0.25">
      <c r="A379" s="2">
        <v>372</v>
      </c>
      <c r="B379" s="4">
        <v>19267</v>
      </c>
      <c r="C379" s="3">
        <v>60.252670377326524</v>
      </c>
      <c r="D379" s="3">
        <f t="shared" si="10"/>
        <v>30</v>
      </c>
      <c r="E379" s="2">
        <f t="shared" si="11"/>
        <v>3585.2828654276946</v>
      </c>
    </row>
    <row r="380" spans="1:5" x14ac:dyDescent="0.25">
      <c r="A380" s="2">
        <v>373</v>
      </c>
      <c r="B380" s="4">
        <v>19298</v>
      </c>
      <c r="C380" s="3">
        <v>39.707380625001782</v>
      </c>
      <c r="D380" s="3">
        <f t="shared" si="10"/>
        <v>31</v>
      </c>
      <c r="E380" s="2">
        <f t="shared" si="11"/>
        <v>2441.5116681819277</v>
      </c>
    </row>
    <row r="381" spans="1:5" x14ac:dyDescent="0.25">
      <c r="A381" s="2">
        <v>374</v>
      </c>
      <c r="B381" s="4">
        <v>19328</v>
      </c>
      <c r="C381" s="3">
        <v>26.060205334574526</v>
      </c>
      <c r="D381" s="3">
        <f t="shared" si="10"/>
        <v>30</v>
      </c>
      <c r="E381" s="2">
        <f t="shared" si="11"/>
        <v>1550.6899042060877</v>
      </c>
    </row>
    <row r="382" spans="1:5" x14ac:dyDescent="0.25">
      <c r="A382" s="2">
        <v>375</v>
      </c>
      <c r="B382" s="4">
        <v>19359</v>
      </c>
      <c r="C382" s="3">
        <v>20.748001185172022</v>
      </c>
      <c r="D382" s="3">
        <f t="shared" si="10"/>
        <v>31</v>
      </c>
      <c r="E382" s="2">
        <f t="shared" si="11"/>
        <v>1275.7448662618169</v>
      </c>
    </row>
    <row r="383" spans="1:5" x14ac:dyDescent="0.25">
      <c r="A383" s="2">
        <v>376</v>
      </c>
      <c r="B383" s="4">
        <v>19390</v>
      </c>
      <c r="C383" s="3">
        <v>19.764259091971137</v>
      </c>
      <c r="D383" s="3">
        <f t="shared" si="10"/>
        <v>31</v>
      </c>
      <c r="E383" s="2">
        <f t="shared" si="11"/>
        <v>1215.2569226798785</v>
      </c>
    </row>
    <row r="384" spans="1:5" x14ac:dyDescent="0.25">
      <c r="A384" s="2">
        <v>377</v>
      </c>
      <c r="B384" s="4">
        <v>19418</v>
      </c>
      <c r="C384" s="3">
        <v>19.505548893665637</v>
      </c>
      <c r="D384" s="3">
        <f t="shared" si="10"/>
        <v>28</v>
      </c>
      <c r="E384" s="2">
        <f t="shared" si="11"/>
        <v>1083.2833765738271</v>
      </c>
    </row>
    <row r="385" spans="1:5" x14ac:dyDescent="0.25">
      <c r="A385" s="2">
        <v>378</v>
      </c>
      <c r="B385" s="4">
        <v>19449</v>
      </c>
      <c r="C385" s="3">
        <v>21.374017729940771</v>
      </c>
      <c r="D385" s="3">
        <f t="shared" si="10"/>
        <v>31</v>
      </c>
      <c r="E385" s="2">
        <f t="shared" si="11"/>
        <v>1314.2371232294161</v>
      </c>
    </row>
    <row r="386" spans="1:5" x14ac:dyDescent="0.25">
      <c r="A386" s="2">
        <v>379</v>
      </c>
      <c r="B386" s="4">
        <v>19479</v>
      </c>
      <c r="C386" s="3">
        <v>26.245029168479082</v>
      </c>
      <c r="D386" s="3">
        <f t="shared" si="10"/>
        <v>30</v>
      </c>
      <c r="E386" s="2">
        <f t="shared" si="11"/>
        <v>1561.6876860582595</v>
      </c>
    </row>
    <row r="387" spans="1:5" x14ac:dyDescent="0.25">
      <c r="A387" s="2">
        <v>380</v>
      </c>
      <c r="B387" s="4">
        <v>19510</v>
      </c>
      <c r="C387" s="3">
        <v>37.471605442263417</v>
      </c>
      <c r="D387" s="3">
        <f t="shared" si="10"/>
        <v>31</v>
      </c>
      <c r="E387" s="2">
        <f t="shared" si="11"/>
        <v>2304.0392106647923</v>
      </c>
    </row>
    <row r="388" spans="1:5" x14ac:dyDescent="0.25">
      <c r="A388" s="2">
        <v>381</v>
      </c>
      <c r="B388" s="4">
        <v>19540</v>
      </c>
      <c r="C388" s="3">
        <v>50.919052650413363</v>
      </c>
      <c r="D388" s="3">
        <f t="shared" si="10"/>
        <v>30</v>
      </c>
      <c r="E388" s="2">
        <f t="shared" si="11"/>
        <v>3029.8940420080676</v>
      </c>
    </row>
    <row r="389" spans="1:5" x14ac:dyDescent="0.25">
      <c r="A389" s="2">
        <v>382</v>
      </c>
      <c r="B389" s="4">
        <v>19571</v>
      </c>
      <c r="C389" s="3">
        <v>63.227743649777487</v>
      </c>
      <c r="D389" s="3">
        <f t="shared" si="10"/>
        <v>31</v>
      </c>
      <c r="E389" s="2">
        <f t="shared" si="11"/>
        <v>3887.7224194573928</v>
      </c>
    </row>
    <row r="390" spans="1:5" x14ac:dyDescent="0.25">
      <c r="A390" s="2">
        <v>383</v>
      </c>
      <c r="B390" s="4">
        <v>19602</v>
      </c>
      <c r="C390" s="3">
        <v>69.130193543730186</v>
      </c>
      <c r="D390" s="3">
        <f t="shared" si="10"/>
        <v>31</v>
      </c>
      <c r="E390" s="2">
        <f t="shared" si="11"/>
        <v>4250.6499170690304</v>
      </c>
    </row>
    <row r="391" spans="1:5" x14ac:dyDescent="0.25">
      <c r="A391" s="2">
        <v>384</v>
      </c>
      <c r="B391" s="4">
        <v>19632</v>
      </c>
      <c r="C391" s="3">
        <v>60.25267037732656</v>
      </c>
      <c r="D391" s="3">
        <f t="shared" si="10"/>
        <v>30</v>
      </c>
      <c r="E391" s="2">
        <f t="shared" si="11"/>
        <v>3585.2828654276959</v>
      </c>
    </row>
    <row r="392" spans="1:5" x14ac:dyDescent="0.25">
      <c r="A392" s="2">
        <v>385</v>
      </c>
      <c r="B392" s="4">
        <v>19663</v>
      </c>
      <c r="C392" s="3">
        <v>39.707380625001761</v>
      </c>
      <c r="D392" s="3">
        <f t="shared" si="10"/>
        <v>31</v>
      </c>
      <c r="E392" s="2">
        <f t="shared" si="11"/>
        <v>2441.5116681819263</v>
      </c>
    </row>
    <row r="393" spans="1:5" x14ac:dyDescent="0.25">
      <c r="A393" s="2">
        <v>386</v>
      </c>
      <c r="B393" s="4">
        <v>19693</v>
      </c>
      <c r="C393" s="3">
        <v>26.060205334574544</v>
      </c>
      <c r="D393" s="3">
        <f t="shared" ref="D393:D456" si="12">DAY(EOMONTH(B393,0))</f>
        <v>30</v>
      </c>
      <c r="E393" s="2">
        <f t="shared" ref="E393:E456" si="13">C393*D393*86400/43560</f>
        <v>1550.6899042060884</v>
      </c>
    </row>
    <row r="394" spans="1:5" x14ac:dyDescent="0.25">
      <c r="A394" s="2">
        <v>387</v>
      </c>
      <c r="B394" s="4">
        <v>19724</v>
      </c>
      <c r="C394" s="3">
        <v>20.748001185172036</v>
      </c>
      <c r="D394" s="3">
        <f t="shared" si="12"/>
        <v>31</v>
      </c>
      <c r="E394" s="2">
        <f t="shared" si="13"/>
        <v>1275.7448662618178</v>
      </c>
    </row>
    <row r="395" spans="1:5" x14ac:dyDescent="0.25">
      <c r="A395" s="2">
        <v>388</v>
      </c>
      <c r="B395" s="4">
        <v>19755</v>
      </c>
      <c r="C395" s="3">
        <v>3.0646858296196124</v>
      </c>
      <c r="D395" s="3">
        <f t="shared" si="12"/>
        <v>31</v>
      </c>
      <c r="E395" s="2">
        <f t="shared" si="13"/>
        <v>188.44018654851172</v>
      </c>
    </row>
    <row r="396" spans="1:5" x14ac:dyDescent="0.25">
      <c r="A396" s="2">
        <v>389</v>
      </c>
      <c r="B396" s="4">
        <v>19783</v>
      </c>
      <c r="C396" s="3">
        <v>10.948882691641728</v>
      </c>
      <c r="D396" s="3">
        <f t="shared" si="12"/>
        <v>28</v>
      </c>
      <c r="E396" s="2">
        <f t="shared" si="13"/>
        <v>608.07017923828437</v>
      </c>
    </row>
    <row r="397" spans="1:5" x14ac:dyDescent="0.25">
      <c r="A397" s="2">
        <v>390</v>
      </c>
      <c r="B397" s="4">
        <v>19814</v>
      </c>
      <c r="C397" s="3">
        <v>14.023400703602427</v>
      </c>
      <c r="D397" s="3">
        <f t="shared" si="12"/>
        <v>31</v>
      </c>
      <c r="E397" s="2">
        <f t="shared" si="13"/>
        <v>862.2652994611741</v>
      </c>
    </row>
    <row r="398" spans="1:5" x14ac:dyDescent="0.25">
      <c r="A398" s="2">
        <v>391</v>
      </c>
      <c r="B398" s="4">
        <v>19844</v>
      </c>
      <c r="C398" s="3">
        <v>24.655260734886301</v>
      </c>
      <c r="D398" s="3">
        <f t="shared" si="12"/>
        <v>30</v>
      </c>
      <c r="E398" s="2">
        <f t="shared" si="13"/>
        <v>1467.0898949684408</v>
      </c>
    </row>
    <row r="399" spans="1:5" x14ac:dyDescent="0.25">
      <c r="A399" s="2">
        <v>392</v>
      </c>
      <c r="B399" s="4">
        <v>19875</v>
      </c>
      <c r="C399" s="3">
        <v>37.471605442263403</v>
      </c>
      <c r="D399" s="3">
        <f t="shared" si="12"/>
        <v>31</v>
      </c>
      <c r="E399" s="2">
        <f t="shared" si="13"/>
        <v>2304.039210664791</v>
      </c>
    </row>
    <row r="400" spans="1:5" x14ac:dyDescent="0.25">
      <c r="A400" s="2">
        <v>393</v>
      </c>
      <c r="B400" s="4">
        <v>19905</v>
      </c>
      <c r="C400" s="3">
        <v>50.919052650413327</v>
      </c>
      <c r="D400" s="3">
        <f t="shared" si="12"/>
        <v>30</v>
      </c>
      <c r="E400" s="2">
        <f t="shared" si="13"/>
        <v>3029.8940420080662</v>
      </c>
    </row>
    <row r="401" spans="1:5" x14ac:dyDescent="0.25">
      <c r="A401" s="2">
        <v>394</v>
      </c>
      <c r="B401" s="4">
        <v>19936</v>
      </c>
      <c r="C401" s="3">
        <v>63.227743649777473</v>
      </c>
      <c r="D401" s="3">
        <f t="shared" si="12"/>
        <v>31</v>
      </c>
      <c r="E401" s="2">
        <f t="shared" si="13"/>
        <v>3887.7224194573914</v>
      </c>
    </row>
    <row r="402" spans="1:5" x14ac:dyDescent="0.25">
      <c r="A402" s="2">
        <v>395</v>
      </c>
      <c r="B402" s="4">
        <v>19967</v>
      </c>
      <c r="C402" s="3">
        <v>69.130193543730201</v>
      </c>
      <c r="D402" s="3">
        <f t="shared" si="12"/>
        <v>31</v>
      </c>
      <c r="E402" s="2">
        <f t="shared" si="13"/>
        <v>4250.6499170690313</v>
      </c>
    </row>
    <row r="403" spans="1:5" x14ac:dyDescent="0.25">
      <c r="A403" s="2">
        <v>396</v>
      </c>
      <c r="B403" s="4">
        <v>19997</v>
      </c>
      <c r="C403" s="3">
        <v>60.252670377326538</v>
      </c>
      <c r="D403" s="3">
        <f t="shared" si="12"/>
        <v>30</v>
      </c>
      <c r="E403" s="2">
        <f t="shared" si="13"/>
        <v>3585.2828654276946</v>
      </c>
    </row>
    <row r="404" spans="1:5" x14ac:dyDescent="0.25">
      <c r="A404" s="2">
        <v>397</v>
      </c>
      <c r="B404" s="4">
        <v>20028</v>
      </c>
      <c r="C404" s="3">
        <v>39.707380625001775</v>
      </c>
      <c r="D404" s="3">
        <f t="shared" si="12"/>
        <v>31</v>
      </c>
      <c r="E404" s="2">
        <f t="shared" si="13"/>
        <v>2441.5116681819272</v>
      </c>
    </row>
    <row r="405" spans="1:5" x14ac:dyDescent="0.25">
      <c r="A405" s="2">
        <v>398</v>
      </c>
      <c r="B405" s="4">
        <v>20058</v>
      </c>
      <c r="C405" s="3">
        <v>26.06020533457453</v>
      </c>
      <c r="D405" s="3">
        <f t="shared" si="12"/>
        <v>30</v>
      </c>
      <c r="E405" s="2">
        <f t="shared" si="13"/>
        <v>1550.6899042060877</v>
      </c>
    </row>
    <row r="406" spans="1:5" x14ac:dyDescent="0.25">
      <c r="A406" s="2">
        <v>399</v>
      </c>
      <c r="B406" s="4">
        <v>20089</v>
      </c>
      <c r="C406" s="3">
        <v>20.748001185172033</v>
      </c>
      <c r="D406" s="3">
        <f t="shared" si="12"/>
        <v>31</v>
      </c>
      <c r="E406" s="2">
        <f t="shared" si="13"/>
        <v>1275.7448662618176</v>
      </c>
    </row>
    <row r="407" spans="1:5" x14ac:dyDescent="0.25">
      <c r="A407" s="2">
        <v>400</v>
      </c>
      <c r="B407" s="4">
        <v>20120</v>
      </c>
      <c r="C407" s="3">
        <v>2.1740685001168245</v>
      </c>
      <c r="D407" s="3">
        <f t="shared" si="12"/>
        <v>31</v>
      </c>
      <c r="E407" s="2">
        <f t="shared" si="13"/>
        <v>133.67826149478657</v>
      </c>
    </row>
    <row r="408" spans="1:5" x14ac:dyDescent="0.25">
      <c r="A408" s="2">
        <v>401</v>
      </c>
      <c r="B408" s="4">
        <v>20148</v>
      </c>
      <c r="C408" s="3">
        <v>2.1456103783032208</v>
      </c>
      <c r="D408" s="3">
        <f t="shared" si="12"/>
        <v>28</v>
      </c>
      <c r="E408" s="2">
        <f t="shared" si="13"/>
        <v>119.16117142312102</v>
      </c>
    </row>
    <row r="409" spans="1:5" x14ac:dyDescent="0.25">
      <c r="A409" s="2">
        <v>402</v>
      </c>
      <c r="B409" s="4">
        <v>20179</v>
      </c>
      <c r="C409" s="3">
        <v>3.7001117011030082</v>
      </c>
      <c r="D409" s="3">
        <f t="shared" si="12"/>
        <v>31</v>
      </c>
      <c r="E409" s="2">
        <f t="shared" si="13"/>
        <v>227.51100046451552</v>
      </c>
    </row>
    <row r="410" spans="1:5" x14ac:dyDescent="0.25">
      <c r="A410" s="2">
        <v>403</v>
      </c>
      <c r="B410" s="4">
        <v>20209</v>
      </c>
      <c r="C410" s="3">
        <v>5.2056731665392588</v>
      </c>
      <c r="D410" s="3">
        <f t="shared" si="12"/>
        <v>30</v>
      </c>
      <c r="E410" s="2">
        <f t="shared" si="13"/>
        <v>309.75906445522867</v>
      </c>
    </row>
    <row r="411" spans="1:5" x14ac:dyDescent="0.25">
      <c r="A411" s="2">
        <v>404</v>
      </c>
      <c r="B411" s="4">
        <v>20240</v>
      </c>
      <c r="C411" s="3">
        <v>7.9976058507820342</v>
      </c>
      <c r="D411" s="3">
        <f t="shared" si="12"/>
        <v>31</v>
      </c>
      <c r="E411" s="2">
        <f t="shared" si="13"/>
        <v>491.75361594891183</v>
      </c>
    </row>
    <row r="412" spans="1:5" x14ac:dyDescent="0.25">
      <c r="A412" s="2">
        <v>405</v>
      </c>
      <c r="B412" s="4">
        <v>20270</v>
      </c>
      <c r="C412" s="3">
        <v>10.867709258432731</v>
      </c>
      <c r="D412" s="3">
        <f t="shared" si="12"/>
        <v>30</v>
      </c>
      <c r="E412" s="2">
        <f t="shared" si="13"/>
        <v>646.67360876624514</v>
      </c>
    </row>
    <row r="413" spans="1:5" x14ac:dyDescent="0.25">
      <c r="A413" s="2">
        <v>406</v>
      </c>
      <c r="B413" s="4">
        <v>20301</v>
      </c>
      <c r="C413" s="3">
        <v>13.494766679382044</v>
      </c>
      <c r="D413" s="3">
        <f t="shared" si="12"/>
        <v>31</v>
      </c>
      <c r="E413" s="2">
        <f t="shared" si="13"/>
        <v>829.76086028597024</v>
      </c>
    </row>
    <row r="414" spans="1:5" x14ac:dyDescent="0.25">
      <c r="A414" s="2">
        <v>407</v>
      </c>
      <c r="B414" s="4">
        <v>20332</v>
      </c>
      <c r="C414" s="3">
        <v>14.754533034430768</v>
      </c>
      <c r="D414" s="3">
        <f t="shared" si="12"/>
        <v>31</v>
      </c>
      <c r="E414" s="2">
        <f t="shared" si="13"/>
        <v>907.22087418318108</v>
      </c>
    </row>
    <row r="415" spans="1:5" x14ac:dyDescent="0.25">
      <c r="A415" s="2">
        <v>408</v>
      </c>
      <c r="B415" s="4">
        <v>20362</v>
      </c>
      <c r="C415" s="3">
        <v>12.859793527593284</v>
      </c>
      <c r="D415" s="3">
        <f t="shared" si="12"/>
        <v>30</v>
      </c>
      <c r="E415" s="2">
        <f t="shared" si="13"/>
        <v>765.21085453447643</v>
      </c>
    </row>
    <row r="416" spans="1:5" x14ac:dyDescent="0.25">
      <c r="A416" s="2">
        <v>409</v>
      </c>
      <c r="B416" s="4">
        <v>20393</v>
      </c>
      <c r="C416" s="3">
        <v>8.4747898003742836</v>
      </c>
      <c r="D416" s="3">
        <f t="shared" si="12"/>
        <v>31</v>
      </c>
      <c r="E416" s="2">
        <f t="shared" si="13"/>
        <v>521.09451334532775</v>
      </c>
    </row>
    <row r="417" spans="1:5" x14ac:dyDescent="0.25">
      <c r="A417" s="2">
        <v>410</v>
      </c>
      <c r="B417" s="4">
        <v>20423</v>
      </c>
      <c r="C417" s="3">
        <v>5.5620582090486854</v>
      </c>
      <c r="D417" s="3">
        <f t="shared" si="12"/>
        <v>30</v>
      </c>
      <c r="E417" s="2">
        <f t="shared" si="13"/>
        <v>330.96544715000442</v>
      </c>
    </row>
    <row r="418" spans="1:5" x14ac:dyDescent="0.25">
      <c r="A418" s="2">
        <v>411</v>
      </c>
      <c r="B418" s="4">
        <v>20454</v>
      </c>
      <c r="C418" s="3">
        <v>4.4282686506783815</v>
      </c>
      <c r="D418" s="3">
        <f t="shared" si="12"/>
        <v>31</v>
      </c>
      <c r="E418" s="2">
        <f t="shared" si="13"/>
        <v>272.28362612435672</v>
      </c>
    </row>
    <row r="419" spans="1:5" x14ac:dyDescent="0.25">
      <c r="A419" s="2">
        <v>412</v>
      </c>
      <c r="B419" s="4">
        <v>20485</v>
      </c>
      <c r="C419" s="3">
        <v>19.76425909197113</v>
      </c>
      <c r="D419" s="3">
        <f t="shared" si="12"/>
        <v>31</v>
      </c>
      <c r="E419" s="2">
        <f t="shared" si="13"/>
        <v>1215.2569226798778</v>
      </c>
    </row>
    <row r="420" spans="1:5" x14ac:dyDescent="0.25">
      <c r="A420" s="2">
        <v>413</v>
      </c>
      <c r="B420" s="4">
        <v>20514</v>
      </c>
      <c r="C420" s="3">
        <v>18.832943759401317</v>
      </c>
      <c r="D420" s="3">
        <f t="shared" si="12"/>
        <v>29</v>
      </c>
      <c r="E420" s="2">
        <f t="shared" si="13"/>
        <v>1083.2833765738278</v>
      </c>
    </row>
    <row r="421" spans="1:5" x14ac:dyDescent="0.25">
      <c r="A421" s="2">
        <v>414</v>
      </c>
      <c r="B421" s="4">
        <v>20545</v>
      </c>
      <c r="C421" s="3">
        <v>21.374017729940753</v>
      </c>
      <c r="D421" s="3">
        <f t="shared" si="12"/>
        <v>31</v>
      </c>
      <c r="E421" s="2">
        <f t="shared" si="13"/>
        <v>1314.2371232294149</v>
      </c>
    </row>
    <row r="422" spans="1:5" x14ac:dyDescent="0.25">
      <c r="A422" s="2">
        <v>415</v>
      </c>
      <c r="B422" s="4">
        <v>20575</v>
      </c>
      <c r="C422" s="3">
        <v>26.245029168479068</v>
      </c>
      <c r="D422" s="3">
        <f t="shared" si="12"/>
        <v>30</v>
      </c>
      <c r="E422" s="2">
        <f t="shared" si="13"/>
        <v>1561.6876860582588</v>
      </c>
    </row>
    <row r="423" spans="1:5" x14ac:dyDescent="0.25">
      <c r="A423" s="2">
        <v>416</v>
      </c>
      <c r="B423" s="4">
        <v>20606</v>
      </c>
      <c r="C423" s="3">
        <v>37.471605442263396</v>
      </c>
      <c r="D423" s="3">
        <f t="shared" si="12"/>
        <v>31</v>
      </c>
      <c r="E423" s="2">
        <f t="shared" si="13"/>
        <v>2304.039210664791</v>
      </c>
    </row>
    <row r="424" spans="1:5" x14ac:dyDescent="0.25">
      <c r="A424" s="2">
        <v>417</v>
      </c>
      <c r="B424" s="4">
        <v>20636</v>
      </c>
      <c r="C424" s="3">
        <v>50.919052650413335</v>
      </c>
      <c r="D424" s="3">
        <f t="shared" si="12"/>
        <v>30</v>
      </c>
      <c r="E424" s="2">
        <f t="shared" si="13"/>
        <v>3029.8940420080662</v>
      </c>
    </row>
    <row r="425" spans="1:5" x14ac:dyDescent="0.25">
      <c r="A425" s="2">
        <v>418</v>
      </c>
      <c r="B425" s="4">
        <v>20667</v>
      </c>
      <c r="C425" s="3">
        <v>63.227743649777473</v>
      </c>
      <c r="D425" s="3">
        <f t="shared" si="12"/>
        <v>31</v>
      </c>
      <c r="E425" s="2">
        <f t="shared" si="13"/>
        <v>3887.7224194573914</v>
      </c>
    </row>
    <row r="426" spans="1:5" x14ac:dyDescent="0.25">
      <c r="A426" s="2">
        <v>419</v>
      </c>
      <c r="B426" s="4">
        <v>20698</v>
      </c>
      <c r="C426" s="3">
        <v>69.130193543730158</v>
      </c>
      <c r="D426" s="3">
        <f t="shared" si="12"/>
        <v>31</v>
      </c>
      <c r="E426" s="2">
        <f t="shared" si="13"/>
        <v>4250.6499170690286</v>
      </c>
    </row>
    <row r="427" spans="1:5" x14ac:dyDescent="0.25">
      <c r="A427" s="2">
        <v>420</v>
      </c>
      <c r="B427" s="4">
        <v>20728</v>
      </c>
      <c r="C427" s="3">
        <v>60.252670377326538</v>
      </c>
      <c r="D427" s="3">
        <f t="shared" si="12"/>
        <v>30</v>
      </c>
      <c r="E427" s="2">
        <f t="shared" si="13"/>
        <v>3585.2828654276946</v>
      </c>
    </row>
    <row r="428" spans="1:5" x14ac:dyDescent="0.25">
      <c r="A428" s="2">
        <v>421</v>
      </c>
      <c r="B428" s="4">
        <v>20759</v>
      </c>
      <c r="C428" s="3">
        <v>39.707380625001775</v>
      </c>
      <c r="D428" s="3">
        <f t="shared" si="12"/>
        <v>31</v>
      </c>
      <c r="E428" s="2">
        <f t="shared" si="13"/>
        <v>2441.5116681819272</v>
      </c>
    </row>
    <row r="429" spans="1:5" x14ac:dyDescent="0.25">
      <c r="A429" s="2">
        <v>422</v>
      </c>
      <c r="B429" s="4">
        <v>20789</v>
      </c>
      <c r="C429" s="3">
        <v>26.060205334574537</v>
      </c>
      <c r="D429" s="3">
        <f t="shared" si="12"/>
        <v>30</v>
      </c>
      <c r="E429" s="2">
        <f t="shared" si="13"/>
        <v>1550.6899042060882</v>
      </c>
    </row>
    <row r="430" spans="1:5" x14ac:dyDescent="0.25">
      <c r="A430" s="2">
        <v>423</v>
      </c>
      <c r="B430" s="4">
        <v>20820</v>
      </c>
      <c r="C430" s="3">
        <v>20.748001185172033</v>
      </c>
      <c r="D430" s="3">
        <f t="shared" si="12"/>
        <v>31</v>
      </c>
      <c r="E430" s="2">
        <f t="shared" si="13"/>
        <v>1275.7448662618176</v>
      </c>
    </row>
    <row r="431" spans="1:5" x14ac:dyDescent="0.25">
      <c r="A431" s="2">
        <v>424</v>
      </c>
      <c r="B431" s="4">
        <v>20851</v>
      </c>
      <c r="C431" s="3">
        <v>4.2177129618464146</v>
      </c>
      <c r="D431" s="3">
        <f t="shared" si="12"/>
        <v>31</v>
      </c>
      <c r="E431" s="2">
        <f t="shared" si="13"/>
        <v>259.33706145568033</v>
      </c>
    </row>
    <row r="432" spans="1:5" x14ac:dyDescent="0.25">
      <c r="A432" s="2">
        <v>425</v>
      </c>
      <c r="B432" s="4">
        <v>20879</v>
      </c>
      <c r="C432" s="3">
        <v>5.6014286545090526</v>
      </c>
      <c r="D432" s="3">
        <f t="shared" si="12"/>
        <v>28</v>
      </c>
      <c r="E432" s="2">
        <f t="shared" si="13"/>
        <v>311.08760791984162</v>
      </c>
    </row>
    <row r="433" spans="1:5" x14ac:dyDescent="0.25">
      <c r="A433" s="2">
        <v>426</v>
      </c>
      <c r="B433" s="4">
        <v>20910</v>
      </c>
      <c r="C433" s="3">
        <v>12.698207500124136</v>
      </c>
      <c r="D433" s="3">
        <f t="shared" si="12"/>
        <v>31</v>
      </c>
      <c r="E433" s="2">
        <f t="shared" si="13"/>
        <v>780.78234546217823</v>
      </c>
    </row>
    <row r="434" spans="1:5" x14ac:dyDescent="0.25">
      <c r="A434" s="2">
        <v>427</v>
      </c>
      <c r="B434" s="4">
        <v>20940</v>
      </c>
      <c r="C434" s="3">
        <v>21.076706403777877</v>
      </c>
      <c r="D434" s="3">
        <f t="shared" si="12"/>
        <v>30</v>
      </c>
      <c r="E434" s="2">
        <f t="shared" si="13"/>
        <v>1254.1511248528984</v>
      </c>
    </row>
    <row r="435" spans="1:5" x14ac:dyDescent="0.25">
      <c r="A435" s="2">
        <v>428</v>
      </c>
      <c r="B435" s="4">
        <v>20971</v>
      </c>
      <c r="C435" s="3">
        <v>30.092480420381225</v>
      </c>
      <c r="D435" s="3">
        <f t="shared" si="12"/>
        <v>31</v>
      </c>
      <c r="E435" s="2">
        <f t="shared" si="13"/>
        <v>1850.3144985755068</v>
      </c>
    </row>
    <row r="436" spans="1:5" x14ac:dyDescent="0.25">
      <c r="A436" s="2">
        <v>429</v>
      </c>
      <c r="B436" s="4">
        <v>21001</v>
      </c>
      <c r="C436" s="3">
        <v>40.891778636703386</v>
      </c>
      <c r="D436" s="3">
        <f t="shared" si="12"/>
        <v>30</v>
      </c>
      <c r="E436" s="2">
        <f t="shared" si="13"/>
        <v>2433.2298031757387</v>
      </c>
    </row>
    <row r="437" spans="1:5" x14ac:dyDescent="0.25">
      <c r="A437" s="2">
        <v>430</v>
      </c>
      <c r="B437" s="4">
        <v>21032</v>
      </c>
      <c r="C437" s="3">
        <v>50.776571095612105</v>
      </c>
      <c r="D437" s="3">
        <f t="shared" si="12"/>
        <v>31</v>
      </c>
      <c r="E437" s="2">
        <f t="shared" si="13"/>
        <v>3122.1296607549921</v>
      </c>
    </row>
    <row r="438" spans="1:5" x14ac:dyDescent="0.25">
      <c r="A438" s="2">
        <v>431</v>
      </c>
      <c r="B438" s="4">
        <v>21063</v>
      </c>
      <c r="C438" s="3">
        <v>55.516676457249986</v>
      </c>
      <c r="D438" s="3">
        <f t="shared" si="12"/>
        <v>31</v>
      </c>
      <c r="E438" s="2">
        <f t="shared" si="13"/>
        <v>3413.5873788590075</v>
      </c>
    </row>
    <row r="439" spans="1:5" x14ac:dyDescent="0.25">
      <c r="A439" s="2">
        <v>432</v>
      </c>
      <c r="B439" s="4">
        <v>21093</v>
      </c>
      <c r="C439" s="3">
        <v>48.38736643934579</v>
      </c>
      <c r="D439" s="3">
        <f t="shared" si="12"/>
        <v>30</v>
      </c>
      <c r="E439" s="2">
        <f t="shared" si="13"/>
        <v>2879.2482509362785</v>
      </c>
    </row>
    <row r="440" spans="1:5" x14ac:dyDescent="0.25">
      <c r="A440" s="2">
        <v>433</v>
      </c>
      <c r="B440" s="4">
        <v>21124</v>
      </c>
      <c r="C440" s="3">
        <v>31.887973837779473</v>
      </c>
      <c r="D440" s="3">
        <f t="shared" si="12"/>
        <v>31</v>
      </c>
      <c r="E440" s="2">
        <f t="shared" si="13"/>
        <v>1960.7150855626387</v>
      </c>
    </row>
    <row r="441" spans="1:5" x14ac:dyDescent="0.25">
      <c r="A441" s="2">
        <v>434</v>
      </c>
      <c r="B441" s="4">
        <v>21154</v>
      </c>
      <c r="C441" s="3">
        <v>20.928279146996424</v>
      </c>
      <c r="D441" s="3">
        <f t="shared" si="12"/>
        <v>30</v>
      </c>
      <c r="E441" s="2">
        <f t="shared" si="13"/>
        <v>1245.3190897386303</v>
      </c>
    </row>
    <row r="442" spans="1:5" x14ac:dyDescent="0.25">
      <c r="A442" s="2">
        <v>435</v>
      </c>
      <c r="B442" s="4">
        <v>21185</v>
      </c>
      <c r="C442" s="3">
        <v>16.662184927967758</v>
      </c>
      <c r="D442" s="3">
        <f t="shared" si="12"/>
        <v>31</v>
      </c>
      <c r="E442" s="2">
        <f t="shared" si="13"/>
        <v>1024.5178170585134</v>
      </c>
    </row>
    <row r="443" spans="1:5" x14ac:dyDescent="0.25">
      <c r="A443" s="2">
        <v>436</v>
      </c>
      <c r="B443" s="4">
        <v>21216</v>
      </c>
      <c r="C443" s="3">
        <v>13.886197963129083</v>
      </c>
      <c r="D443" s="3">
        <f t="shared" si="12"/>
        <v>31</v>
      </c>
      <c r="E443" s="2">
        <f t="shared" si="13"/>
        <v>853.8290317824825</v>
      </c>
    </row>
    <row r="444" spans="1:5" x14ac:dyDescent="0.25">
      <c r="A444" s="2">
        <v>437</v>
      </c>
      <c r="B444" s="4">
        <v>21244</v>
      </c>
      <c r="C444" s="3">
        <v>0</v>
      </c>
      <c r="D444" s="3">
        <f t="shared" si="12"/>
        <v>28</v>
      </c>
      <c r="E444" s="2">
        <f t="shared" si="13"/>
        <v>0</v>
      </c>
    </row>
    <row r="445" spans="1:5" x14ac:dyDescent="0.25">
      <c r="A445" s="2">
        <v>438</v>
      </c>
      <c r="B445" s="4">
        <v>21275</v>
      </c>
      <c r="C445" s="3">
        <v>21.374017729940761</v>
      </c>
      <c r="D445" s="3">
        <f t="shared" si="12"/>
        <v>31</v>
      </c>
      <c r="E445" s="2">
        <f t="shared" si="13"/>
        <v>1314.2371232294154</v>
      </c>
    </row>
    <row r="446" spans="1:5" x14ac:dyDescent="0.25">
      <c r="A446" s="2">
        <v>439</v>
      </c>
      <c r="B446" s="4">
        <v>21305</v>
      </c>
      <c r="C446" s="3">
        <v>26.245029168479071</v>
      </c>
      <c r="D446" s="3">
        <f t="shared" si="12"/>
        <v>30</v>
      </c>
      <c r="E446" s="2">
        <f t="shared" si="13"/>
        <v>1561.687686058259</v>
      </c>
    </row>
    <row r="447" spans="1:5" x14ac:dyDescent="0.25">
      <c r="A447" s="2">
        <v>440</v>
      </c>
      <c r="B447" s="4">
        <v>21336</v>
      </c>
      <c r="C447" s="3">
        <v>37.471605442263396</v>
      </c>
      <c r="D447" s="3">
        <f t="shared" si="12"/>
        <v>31</v>
      </c>
      <c r="E447" s="2">
        <f t="shared" si="13"/>
        <v>2304.039210664791</v>
      </c>
    </row>
    <row r="448" spans="1:5" x14ac:dyDescent="0.25">
      <c r="A448" s="2">
        <v>441</v>
      </c>
      <c r="B448" s="4">
        <v>21366</v>
      </c>
      <c r="C448" s="3">
        <v>50.919052650413327</v>
      </c>
      <c r="D448" s="3">
        <f t="shared" si="12"/>
        <v>30</v>
      </c>
      <c r="E448" s="2">
        <f t="shared" si="13"/>
        <v>3029.8940420080662</v>
      </c>
    </row>
    <row r="449" spans="1:5" x14ac:dyDescent="0.25">
      <c r="A449" s="2">
        <v>442</v>
      </c>
      <c r="B449" s="4">
        <v>21397</v>
      </c>
      <c r="C449" s="3">
        <v>63.227743649777473</v>
      </c>
      <c r="D449" s="3">
        <f t="shared" si="12"/>
        <v>31</v>
      </c>
      <c r="E449" s="2">
        <f t="shared" si="13"/>
        <v>3887.7224194573914</v>
      </c>
    </row>
    <row r="450" spans="1:5" x14ac:dyDescent="0.25">
      <c r="A450" s="2">
        <v>443</v>
      </c>
      <c r="B450" s="4">
        <v>21428</v>
      </c>
      <c r="C450" s="3">
        <v>69.130193543730201</v>
      </c>
      <c r="D450" s="3">
        <f t="shared" si="12"/>
        <v>31</v>
      </c>
      <c r="E450" s="2">
        <f t="shared" si="13"/>
        <v>4250.6499170690313</v>
      </c>
    </row>
    <row r="451" spans="1:5" x14ac:dyDescent="0.25">
      <c r="A451" s="2">
        <v>444</v>
      </c>
      <c r="B451" s="4">
        <v>21458</v>
      </c>
      <c r="C451" s="3">
        <v>60.252670377326531</v>
      </c>
      <c r="D451" s="3">
        <f t="shared" si="12"/>
        <v>30</v>
      </c>
      <c r="E451" s="2">
        <f t="shared" si="13"/>
        <v>3585.2828654276946</v>
      </c>
    </row>
    <row r="452" spans="1:5" x14ac:dyDescent="0.25">
      <c r="A452" s="2">
        <v>445</v>
      </c>
      <c r="B452" s="4">
        <v>21489</v>
      </c>
      <c r="C452" s="3">
        <v>39.707380625001761</v>
      </c>
      <c r="D452" s="3">
        <f t="shared" si="12"/>
        <v>31</v>
      </c>
      <c r="E452" s="2">
        <f t="shared" si="13"/>
        <v>2441.5116681819263</v>
      </c>
    </row>
    <row r="453" spans="1:5" x14ac:dyDescent="0.25">
      <c r="A453" s="2">
        <v>446</v>
      </c>
      <c r="B453" s="4">
        <v>21519</v>
      </c>
      <c r="C453" s="3">
        <v>26.060205334574533</v>
      </c>
      <c r="D453" s="3">
        <f t="shared" si="12"/>
        <v>30</v>
      </c>
      <c r="E453" s="2">
        <f t="shared" si="13"/>
        <v>1550.6899042060877</v>
      </c>
    </row>
    <row r="454" spans="1:5" x14ac:dyDescent="0.25">
      <c r="A454" s="2">
        <v>447</v>
      </c>
      <c r="B454" s="4">
        <v>21550</v>
      </c>
      <c r="C454" s="3">
        <v>20.748001185172036</v>
      </c>
      <c r="D454" s="3">
        <f t="shared" si="12"/>
        <v>31</v>
      </c>
      <c r="E454" s="2">
        <f t="shared" si="13"/>
        <v>1275.7448662618178</v>
      </c>
    </row>
    <row r="455" spans="1:5" x14ac:dyDescent="0.25">
      <c r="A455" s="2">
        <v>448</v>
      </c>
      <c r="B455" s="4">
        <v>21581</v>
      </c>
      <c r="C455" s="3">
        <v>12.462362663008282</v>
      </c>
      <c r="D455" s="3">
        <f t="shared" si="12"/>
        <v>31</v>
      </c>
      <c r="E455" s="2">
        <f t="shared" si="13"/>
        <v>766.28081167588118</v>
      </c>
    </row>
    <row r="456" spans="1:5" x14ac:dyDescent="0.25">
      <c r="A456" s="2">
        <v>449</v>
      </c>
      <c r="B456" s="4">
        <v>21609</v>
      </c>
      <c r="C456" s="3">
        <v>12.043103286619987</v>
      </c>
      <c r="D456" s="3">
        <f t="shared" si="12"/>
        <v>28</v>
      </c>
      <c r="E456" s="2">
        <f t="shared" si="13"/>
        <v>668.84011641393647</v>
      </c>
    </row>
    <row r="457" spans="1:5" x14ac:dyDescent="0.25">
      <c r="A457" s="2">
        <v>450</v>
      </c>
      <c r="B457" s="4">
        <v>21640</v>
      </c>
      <c r="C457" s="3">
        <v>13.858152152424722</v>
      </c>
      <c r="D457" s="3">
        <f t="shared" ref="D457:D520" si="14">DAY(EOMONTH(B457,0))</f>
        <v>31</v>
      </c>
      <c r="E457" s="2">
        <f t="shared" ref="E457:E520" si="15">C457*D457*86400/43560</f>
        <v>852.1045620995036</v>
      </c>
    </row>
    <row r="458" spans="1:5" x14ac:dyDescent="0.25">
      <c r="A458" s="2">
        <v>451</v>
      </c>
      <c r="B458" s="4">
        <v>21670</v>
      </c>
      <c r="C458" s="3">
        <v>21.60210940348815</v>
      </c>
      <c r="D458" s="3">
        <f t="shared" si="14"/>
        <v>30</v>
      </c>
      <c r="E458" s="2">
        <f t="shared" si="15"/>
        <v>1285.4147744224354</v>
      </c>
    </row>
    <row r="459" spans="1:5" x14ac:dyDescent="0.25">
      <c r="A459" s="2">
        <v>452</v>
      </c>
      <c r="B459" s="4">
        <v>21701</v>
      </c>
      <c r="C459" s="3">
        <v>30.842629859230808</v>
      </c>
      <c r="D459" s="3">
        <f t="shared" si="14"/>
        <v>31</v>
      </c>
      <c r="E459" s="2">
        <f t="shared" si="15"/>
        <v>1896.4393896915474</v>
      </c>
    </row>
    <row r="460" spans="1:5" x14ac:dyDescent="0.25">
      <c r="A460" s="2">
        <v>453</v>
      </c>
      <c r="B460" s="4">
        <v>21731</v>
      </c>
      <c r="C460" s="3">
        <v>41.911134448167438</v>
      </c>
      <c r="D460" s="3">
        <f t="shared" si="14"/>
        <v>30</v>
      </c>
      <c r="E460" s="2">
        <f t="shared" si="15"/>
        <v>2493.8856861719469</v>
      </c>
    </row>
    <row r="461" spans="1:5" x14ac:dyDescent="0.25">
      <c r="A461" s="2">
        <v>454</v>
      </c>
      <c r="B461" s="4">
        <v>21762</v>
      </c>
      <c r="C461" s="3">
        <v>52.042336355968651</v>
      </c>
      <c r="D461" s="3">
        <f t="shared" si="14"/>
        <v>31</v>
      </c>
      <c r="E461" s="2">
        <f t="shared" si="15"/>
        <v>3199.9585329620395</v>
      </c>
    </row>
    <row r="462" spans="1:5" x14ac:dyDescent="0.25">
      <c r="A462" s="2">
        <v>455</v>
      </c>
      <c r="B462" s="4">
        <v>21793</v>
      </c>
      <c r="C462" s="3">
        <v>56.900603707826313</v>
      </c>
      <c r="D462" s="3">
        <f t="shared" si="14"/>
        <v>31</v>
      </c>
      <c r="E462" s="2">
        <f t="shared" si="15"/>
        <v>3498.6817486465106</v>
      </c>
    </row>
    <row r="463" spans="1:5" x14ac:dyDescent="0.25">
      <c r="A463" s="2">
        <v>456</v>
      </c>
      <c r="B463" s="4">
        <v>21823</v>
      </c>
      <c r="C463" s="3">
        <v>49.593573281547457</v>
      </c>
      <c r="D463" s="3">
        <f t="shared" si="14"/>
        <v>30</v>
      </c>
      <c r="E463" s="2">
        <f t="shared" si="15"/>
        <v>2951.0225423730717</v>
      </c>
    </row>
    <row r="464" spans="1:5" x14ac:dyDescent="0.25">
      <c r="A464" s="2">
        <v>457</v>
      </c>
      <c r="B464" s="4">
        <v>21854</v>
      </c>
      <c r="C464" s="3">
        <v>32.682881580388148</v>
      </c>
      <c r="D464" s="3">
        <f t="shared" si="14"/>
        <v>31</v>
      </c>
      <c r="E464" s="2">
        <f t="shared" si="15"/>
        <v>2009.5920575048578</v>
      </c>
    </row>
    <row r="465" spans="1:5" x14ac:dyDescent="0.25">
      <c r="A465" s="2">
        <v>458</v>
      </c>
      <c r="B465" s="4">
        <v>21884</v>
      </c>
      <c r="C465" s="3">
        <v>21.449982131891407</v>
      </c>
      <c r="D465" s="3">
        <f t="shared" si="14"/>
        <v>30</v>
      </c>
      <c r="E465" s="2">
        <f t="shared" si="15"/>
        <v>1276.3625731373397</v>
      </c>
    </row>
    <row r="466" spans="1:5" x14ac:dyDescent="0.25">
      <c r="A466" s="2">
        <v>459</v>
      </c>
      <c r="B466" s="4">
        <v>21915</v>
      </c>
      <c r="C466" s="3">
        <v>17.07754213678254</v>
      </c>
      <c r="D466" s="3">
        <f t="shared" si="14"/>
        <v>31</v>
      </c>
      <c r="E466" s="2">
        <f t="shared" si="15"/>
        <v>1050.0571363443148</v>
      </c>
    </row>
    <row r="467" spans="1:5" x14ac:dyDescent="0.25">
      <c r="A467" s="2">
        <v>460</v>
      </c>
      <c r="B467" s="4">
        <v>21946</v>
      </c>
      <c r="C467" s="3">
        <v>2.1740685001168236</v>
      </c>
      <c r="D467" s="3">
        <f t="shared" si="14"/>
        <v>31</v>
      </c>
      <c r="E467" s="2">
        <f t="shared" si="15"/>
        <v>133.67826149478651</v>
      </c>
    </row>
    <row r="468" spans="1:5" x14ac:dyDescent="0.25">
      <c r="A468" s="2">
        <v>461</v>
      </c>
      <c r="B468" s="4">
        <v>21975</v>
      </c>
      <c r="C468" s="3">
        <v>2.071623813534146</v>
      </c>
      <c r="D468" s="3">
        <f t="shared" si="14"/>
        <v>29</v>
      </c>
      <c r="E468" s="2">
        <f t="shared" si="15"/>
        <v>119.16117142312112</v>
      </c>
    </row>
    <row r="469" spans="1:5" x14ac:dyDescent="0.25">
      <c r="A469" s="2">
        <v>462</v>
      </c>
      <c r="B469" s="4">
        <v>22006</v>
      </c>
      <c r="C469" s="3">
        <v>2.3511419502934841</v>
      </c>
      <c r="D469" s="3">
        <f t="shared" si="14"/>
        <v>31</v>
      </c>
      <c r="E469" s="2">
        <f t="shared" si="15"/>
        <v>144.56608355523574</v>
      </c>
    </row>
    <row r="470" spans="1:5" x14ac:dyDescent="0.25">
      <c r="A470" s="2">
        <v>463</v>
      </c>
      <c r="B470" s="4">
        <v>22036</v>
      </c>
      <c r="C470" s="3">
        <v>14.499566779660524</v>
      </c>
      <c r="D470" s="3">
        <f t="shared" si="14"/>
        <v>30</v>
      </c>
      <c r="E470" s="2">
        <f t="shared" si="15"/>
        <v>862.78413895500637</v>
      </c>
    </row>
    <row r="471" spans="1:5" x14ac:dyDescent="0.25">
      <c r="A471" s="2">
        <v>464</v>
      </c>
      <c r="B471" s="4">
        <v>22067</v>
      </c>
      <c r="C471" s="3">
        <v>20.701902899911119</v>
      </c>
      <c r="D471" s="3">
        <f t="shared" si="14"/>
        <v>31</v>
      </c>
      <c r="E471" s="2">
        <f t="shared" si="15"/>
        <v>1272.9103931846173</v>
      </c>
    </row>
    <row r="472" spans="1:5" x14ac:dyDescent="0.25">
      <c r="A472" s="2">
        <v>465</v>
      </c>
      <c r="B472" s="4">
        <v>22097</v>
      </c>
      <c r="C472" s="3">
        <v>28.131201513330378</v>
      </c>
      <c r="D472" s="3">
        <f t="shared" si="14"/>
        <v>30</v>
      </c>
      <c r="E472" s="2">
        <f t="shared" si="15"/>
        <v>1673.9227346775101</v>
      </c>
    </row>
    <row r="473" spans="1:5" x14ac:dyDescent="0.25">
      <c r="A473" s="2">
        <v>466</v>
      </c>
      <c r="B473" s="4">
        <v>22128</v>
      </c>
      <c r="C473" s="3">
        <v>34.931372546473447</v>
      </c>
      <c r="D473" s="3">
        <f t="shared" si="14"/>
        <v>31</v>
      </c>
      <c r="E473" s="2">
        <f t="shared" si="15"/>
        <v>2147.8463780641523</v>
      </c>
    </row>
    <row r="474" spans="1:5" x14ac:dyDescent="0.25">
      <c r="A474" s="2">
        <v>467</v>
      </c>
      <c r="B474" s="4">
        <v>22159</v>
      </c>
      <c r="C474" s="3">
        <v>38.1922935327513</v>
      </c>
      <c r="D474" s="3">
        <f t="shared" si="14"/>
        <v>31</v>
      </c>
      <c r="E474" s="2">
        <f t="shared" si="15"/>
        <v>2348.3525940799145</v>
      </c>
    </row>
    <row r="475" spans="1:5" x14ac:dyDescent="0.25">
      <c r="A475" s="2">
        <v>468</v>
      </c>
      <c r="B475" s="4">
        <v>22189</v>
      </c>
      <c r="C475" s="3">
        <v>33.287736591208663</v>
      </c>
      <c r="D475" s="3">
        <f t="shared" si="14"/>
        <v>30</v>
      </c>
      <c r="E475" s="2">
        <f t="shared" si="15"/>
        <v>1980.7578798074576</v>
      </c>
    </row>
    <row r="476" spans="1:5" x14ac:dyDescent="0.25">
      <c r="A476" s="2">
        <v>469</v>
      </c>
      <c r="B476" s="4">
        <v>22220</v>
      </c>
      <c r="C476" s="3">
        <v>21.937099529273496</v>
      </c>
      <c r="D476" s="3">
        <f t="shared" si="14"/>
        <v>31</v>
      </c>
      <c r="E476" s="2">
        <f t="shared" si="15"/>
        <v>1348.8596735354943</v>
      </c>
    </row>
    <row r="477" spans="1:5" x14ac:dyDescent="0.25">
      <c r="A477" s="2">
        <v>470</v>
      </c>
      <c r="B477" s="4">
        <v>22250</v>
      </c>
      <c r="C477" s="3">
        <v>14.397457328572916</v>
      </c>
      <c r="D477" s="3">
        <f t="shared" si="14"/>
        <v>30</v>
      </c>
      <c r="E477" s="2">
        <f t="shared" si="15"/>
        <v>856.70820467541319</v>
      </c>
    </row>
    <row r="478" spans="1:5" x14ac:dyDescent="0.25">
      <c r="A478" s="2">
        <v>471</v>
      </c>
      <c r="B478" s="4">
        <v>22281</v>
      </c>
      <c r="C478" s="3">
        <v>11.462628858122594</v>
      </c>
      <c r="D478" s="3">
        <f t="shared" si="14"/>
        <v>31</v>
      </c>
      <c r="E478" s="2">
        <f t="shared" si="15"/>
        <v>704.80957606968673</v>
      </c>
    </row>
    <row r="479" spans="1:5" x14ac:dyDescent="0.25">
      <c r="A479" s="2">
        <v>472</v>
      </c>
      <c r="B479" s="4">
        <v>22312</v>
      </c>
      <c r="C479" s="3">
        <v>2.5045100414674688</v>
      </c>
      <c r="D479" s="3">
        <f t="shared" si="14"/>
        <v>31</v>
      </c>
      <c r="E479" s="2">
        <f t="shared" si="15"/>
        <v>153.99631990510719</v>
      </c>
    </row>
    <row r="480" spans="1:5" x14ac:dyDescent="0.25">
      <c r="A480" s="2">
        <v>473</v>
      </c>
      <c r="B480" s="4">
        <v>22340</v>
      </c>
      <c r="C480" s="3">
        <v>2.1456103783032212</v>
      </c>
      <c r="D480" s="3">
        <f t="shared" si="14"/>
        <v>28</v>
      </c>
      <c r="E480" s="2">
        <f t="shared" si="15"/>
        <v>119.16117142312103</v>
      </c>
    </row>
    <row r="481" spans="1:5" x14ac:dyDescent="0.25">
      <c r="A481" s="2">
        <v>474</v>
      </c>
      <c r="B481" s="4">
        <v>22371</v>
      </c>
      <c r="C481" s="3">
        <v>12.162118008156918</v>
      </c>
      <c r="D481" s="3">
        <f t="shared" si="14"/>
        <v>31</v>
      </c>
      <c r="E481" s="2">
        <f t="shared" si="15"/>
        <v>747.81948744369811</v>
      </c>
    </row>
    <row r="482" spans="1:5" x14ac:dyDescent="0.25">
      <c r="A482" s="2">
        <v>475</v>
      </c>
      <c r="B482" s="4">
        <v>22401</v>
      </c>
      <c r="C482" s="3">
        <v>15.532365099178023</v>
      </c>
      <c r="D482" s="3">
        <f t="shared" si="14"/>
        <v>30</v>
      </c>
      <c r="E482" s="2">
        <f t="shared" si="15"/>
        <v>924.23990672794832</v>
      </c>
    </row>
    <row r="483" spans="1:5" x14ac:dyDescent="0.25">
      <c r="A483" s="2">
        <v>476</v>
      </c>
      <c r="B483" s="4">
        <v>22432</v>
      </c>
      <c r="C483" s="3">
        <v>23.130617315732021</v>
      </c>
      <c r="D483" s="3">
        <f t="shared" si="14"/>
        <v>31</v>
      </c>
      <c r="E483" s="2">
        <f t="shared" si="15"/>
        <v>1422.2462217276548</v>
      </c>
    </row>
    <row r="484" spans="1:5" x14ac:dyDescent="0.25">
      <c r="A484" s="2">
        <v>477</v>
      </c>
      <c r="B484" s="4">
        <v>22462</v>
      </c>
      <c r="C484" s="3">
        <v>31.431509459904756</v>
      </c>
      <c r="D484" s="3">
        <f t="shared" si="14"/>
        <v>30</v>
      </c>
      <c r="E484" s="2">
        <f t="shared" si="15"/>
        <v>1870.3046951348285</v>
      </c>
    </row>
    <row r="485" spans="1:5" x14ac:dyDescent="0.25">
      <c r="A485" s="2">
        <v>478</v>
      </c>
      <c r="B485" s="4">
        <v>22493</v>
      </c>
      <c r="C485" s="3">
        <v>39.029465773854717</v>
      </c>
      <c r="D485" s="3">
        <f t="shared" si="14"/>
        <v>31</v>
      </c>
      <c r="E485" s="2">
        <f t="shared" si="15"/>
        <v>2399.8283087394966</v>
      </c>
    </row>
    <row r="486" spans="1:5" x14ac:dyDescent="0.25">
      <c r="A486" s="2">
        <v>479</v>
      </c>
      <c r="B486" s="4">
        <v>22524</v>
      </c>
      <c r="C486" s="3">
        <v>42.672952838551389</v>
      </c>
      <c r="D486" s="3">
        <f t="shared" si="14"/>
        <v>31</v>
      </c>
      <c r="E486" s="2">
        <f t="shared" si="15"/>
        <v>2623.8575960233252</v>
      </c>
    </row>
    <row r="487" spans="1:5" x14ac:dyDescent="0.25">
      <c r="A487" s="2">
        <v>480</v>
      </c>
      <c r="B487" s="4">
        <v>22554</v>
      </c>
      <c r="C487" s="3">
        <v>37.193001055059689</v>
      </c>
      <c r="D487" s="3">
        <f t="shared" si="14"/>
        <v>30</v>
      </c>
      <c r="E487" s="2">
        <f t="shared" si="15"/>
        <v>2213.1372528630559</v>
      </c>
    </row>
    <row r="488" spans="1:5" x14ac:dyDescent="0.25">
      <c r="A488" s="2">
        <v>481</v>
      </c>
      <c r="B488" s="4">
        <v>22585</v>
      </c>
      <c r="C488" s="3">
        <v>24.510725254678341</v>
      </c>
      <c r="D488" s="3">
        <f t="shared" si="14"/>
        <v>31</v>
      </c>
      <c r="E488" s="2">
        <f t="shared" si="15"/>
        <v>1507.1057511967508</v>
      </c>
    </row>
    <row r="489" spans="1:5" x14ac:dyDescent="0.25">
      <c r="A489" s="2">
        <v>482</v>
      </c>
      <c r="B489" s="4">
        <v>22615</v>
      </c>
      <c r="C489" s="3">
        <v>16.086544188564975</v>
      </c>
      <c r="D489" s="3">
        <f t="shared" si="14"/>
        <v>30</v>
      </c>
      <c r="E489" s="2">
        <f t="shared" si="15"/>
        <v>957.2158525427094</v>
      </c>
    </row>
    <row r="490" spans="1:5" x14ac:dyDescent="0.25">
      <c r="A490" s="2">
        <v>483</v>
      </c>
      <c r="B490" s="4">
        <v>22646</v>
      </c>
      <c r="C490" s="3">
        <v>12.807406296482938</v>
      </c>
      <c r="D490" s="3">
        <f t="shared" si="14"/>
        <v>31</v>
      </c>
      <c r="E490" s="2">
        <f t="shared" si="15"/>
        <v>787.49671773415753</v>
      </c>
    </row>
    <row r="491" spans="1:5" x14ac:dyDescent="0.25">
      <c r="A491" s="2">
        <v>484</v>
      </c>
      <c r="B491" s="4">
        <v>22677</v>
      </c>
      <c r="C491" s="3">
        <v>2.1740685001168236</v>
      </c>
      <c r="D491" s="3">
        <f t="shared" si="14"/>
        <v>31</v>
      </c>
      <c r="E491" s="2">
        <f t="shared" si="15"/>
        <v>133.67826149478651</v>
      </c>
    </row>
    <row r="492" spans="1:5" x14ac:dyDescent="0.25">
      <c r="A492" s="2">
        <v>485</v>
      </c>
      <c r="B492" s="4">
        <v>22705</v>
      </c>
      <c r="C492" s="3">
        <v>2.1456103783032217</v>
      </c>
      <c r="D492" s="3">
        <f t="shared" si="14"/>
        <v>28</v>
      </c>
      <c r="E492" s="2">
        <f t="shared" si="15"/>
        <v>119.16117142312108</v>
      </c>
    </row>
    <row r="493" spans="1:5" x14ac:dyDescent="0.25">
      <c r="A493" s="2">
        <v>486</v>
      </c>
      <c r="B493" s="4">
        <v>22736</v>
      </c>
      <c r="C493" s="3">
        <v>13.676322866489103</v>
      </c>
      <c r="D493" s="3">
        <f t="shared" si="14"/>
        <v>31</v>
      </c>
      <c r="E493" s="2">
        <f t="shared" si="15"/>
        <v>840.92431509651999</v>
      </c>
    </row>
    <row r="494" spans="1:5" x14ac:dyDescent="0.25">
      <c r="A494" s="2">
        <v>487</v>
      </c>
      <c r="B494" s="4">
        <v>22766</v>
      </c>
      <c r="C494" s="3">
        <v>26.245029168479071</v>
      </c>
      <c r="D494" s="3">
        <f t="shared" si="14"/>
        <v>30</v>
      </c>
      <c r="E494" s="2">
        <f t="shared" si="15"/>
        <v>1561.687686058259</v>
      </c>
    </row>
    <row r="495" spans="1:5" x14ac:dyDescent="0.25">
      <c r="A495" s="2">
        <v>488</v>
      </c>
      <c r="B495" s="4">
        <v>22797</v>
      </c>
      <c r="C495" s="3">
        <v>37.471605442263403</v>
      </c>
      <c r="D495" s="3">
        <f t="shared" si="14"/>
        <v>31</v>
      </c>
      <c r="E495" s="2">
        <f t="shared" si="15"/>
        <v>2304.039210664791</v>
      </c>
    </row>
    <row r="496" spans="1:5" x14ac:dyDescent="0.25">
      <c r="A496" s="2">
        <v>489</v>
      </c>
      <c r="B496" s="4">
        <v>22827</v>
      </c>
      <c r="C496" s="3">
        <v>50.919052650413342</v>
      </c>
      <c r="D496" s="3">
        <f t="shared" si="14"/>
        <v>30</v>
      </c>
      <c r="E496" s="2">
        <f t="shared" si="15"/>
        <v>3029.8940420080662</v>
      </c>
    </row>
    <row r="497" spans="1:5" x14ac:dyDescent="0.25">
      <c r="A497" s="2">
        <v>490</v>
      </c>
      <c r="B497" s="4">
        <v>22858</v>
      </c>
      <c r="C497" s="3">
        <v>63.227743649777494</v>
      </c>
      <c r="D497" s="3">
        <f t="shared" si="14"/>
        <v>31</v>
      </c>
      <c r="E497" s="2">
        <f t="shared" si="15"/>
        <v>3887.7224194573928</v>
      </c>
    </row>
    <row r="498" spans="1:5" x14ac:dyDescent="0.25">
      <c r="A498" s="2">
        <v>491</v>
      </c>
      <c r="B498" s="4">
        <v>22889</v>
      </c>
      <c r="C498" s="3">
        <v>69.130193543730186</v>
      </c>
      <c r="D498" s="3">
        <f t="shared" si="14"/>
        <v>31</v>
      </c>
      <c r="E498" s="2">
        <f t="shared" si="15"/>
        <v>4250.6499170690304</v>
      </c>
    </row>
    <row r="499" spans="1:5" x14ac:dyDescent="0.25">
      <c r="A499" s="2">
        <v>492</v>
      </c>
      <c r="B499" s="4">
        <v>22919</v>
      </c>
      <c r="C499" s="3">
        <v>60.252670377326531</v>
      </c>
      <c r="D499" s="3">
        <f t="shared" si="14"/>
        <v>30</v>
      </c>
      <c r="E499" s="2">
        <f t="shared" si="15"/>
        <v>3585.2828654276946</v>
      </c>
    </row>
    <row r="500" spans="1:5" x14ac:dyDescent="0.25">
      <c r="A500" s="2">
        <v>493</v>
      </c>
      <c r="B500" s="4">
        <v>22950</v>
      </c>
      <c r="C500" s="3">
        <v>39.707380625001761</v>
      </c>
      <c r="D500" s="3">
        <f t="shared" si="14"/>
        <v>31</v>
      </c>
      <c r="E500" s="2">
        <f t="shared" si="15"/>
        <v>2441.5116681819263</v>
      </c>
    </row>
    <row r="501" spans="1:5" x14ac:dyDescent="0.25">
      <c r="A501" s="2">
        <v>494</v>
      </c>
      <c r="B501" s="4">
        <v>22980</v>
      </c>
      <c r="C501" s="3">
        <v>26.06020533457453</v>
      </c>
      <c r="D501" s="3">
        <f t="shared" si="14"/>
        <v>30</v>
      </c>
      <c r="E501" s="2">
        <f t="shared" si="15"/>
        <v>1550.6899042060877</v>
      </c>
    </row>
    <row r="502" spans="1:5" x14ac:dyDescent="0.25">
      <c r="A502" s="2">
        <v>495</v>
      </c>
      <c r="B502" s="4">
        <v>23011</v>
      </c>
      <c r="C502" s="3">
        <v>20.748001185172036</v>
      </c>
      <c r="D502" s="3">
        <f t="shared" si="14"/>
        <v>31</v>
      </c>
      <c r="E502" s="2">
        <f t="shared" si="15"/>
        <v>1275.7448662618178</v>
      </c>
    </row>
    <row r="503" spans="1:5" x14ac:dyDescent="0.25">
      <c r="A503" s="2">
        <v>496</v>
      </c>
      <c r="B503" s="4">
        <v>23042</v>
      </c>
      <c r="C503" s="3">
        <v>14.177484346172742</v>
      </c>
      <c r="D503" s="3">
        <f t="shared" si="14"/>
        <v>31</v>
      </c>
      <c r="E503" s="2">
        <f t="shared" si="15"/>
        <v>871.7395333514479</v>
      </c>
    </row>
    <row r="504" spans="1:5" x14ac:dyDescent="0.25">
      <c r="A504" s="2">
        <v>497</v>
      </c>
      <c r="B504" s="4">
        <v>23070</v>
      </c>
      <c r="C504" s="3">
        <v>15.410482432734186</v>
      </c>
      <c r="D504" s="3">
        <f t="shared" si="14"/>
        <v>28</v>
      </c>
      <c r="E504" s="2">
        <f t="shared" si="15"/>
        <v>855.85489213201424</v>
      </c>
    </row>
    <row r="505" spans="1:5" x14ac:dyDescent="0.25">
      <c r="A505" s="2">
        <v>498</v>
      </c>
      <c r="B505" s="4">
        <v>23101</v>
      </c>
      <c r="C505" s="3">
        <v>15.496833003616791</v>
      </c>
      <c r="D505" s="3">
        <f t="shared" si="14"/>
        <v>31</v>
      </c>
      <c r="E505" s="2">
        <f t="shared" si="15"/>
        <v>952.86312022238769</v>
      </c>
    </row>
    <row r="506" spans="1:5" x14ac:dyDescent="0.25">
      <c r="A506" s="2">
        <v>499</v>
      </c>
      <c r="B506" s="4">
        <v>23131</v>
      </c>
      <c r="C506" s="3">
        <v>19.374526046665519</v>
      </c>
      <c r="D506" s="3">
        <f t="shared" si="14"/>
        <v>30</v>
      </c>
      <c r="E506" s="2">
        <f t="shared" si="15"/>
        <v>1152.8643598015847</v>
      </c>
    </row>
    <row r="507" spans="1:5" x14ac:dyDescent="0.25">
      <c r="A507" s="2">
        <v>500</v>
      </c>
      <c r="B507" s="4">
        <v>23162</v>
      </c>
      <c r="C507" s="3">
        <v>29.350929995792168</v>
      </c>
      <c r="D507" s="3">
        <f t="shared" si="14"/>
        <v>31</v>
      </c>
      <c r="E507" s="2">
        <f t="shared" si="15"/>
        <v>1804.7183402371384</v>
      </c>
    </row>
    <row r="508" spans="1:5" x14ac:dyDescent="0.25">
      <c r="A508" s="2">
        <v>501</v>
      </c>
      <c r="B508" s="4">
        <v>23192</v>
      </c>
      <c r="C508" s="3">
        <v>39.884107770538705</v>
      </c>
      <c r="D508" s="3">
        <f t="shared" si="14"/>
        <v>30</v>
      </c>
      <c r="E508" s="2">
        <f t="shared" si="15"/>
        <v>2373.2692227097414</v>
      </c>
    </row>
    <row r="509" spans="1:5" x14ac:dyDescent="0.25">
      <c r="A509" s="2">
        <v>502</v>
      </c>
      <c r="B509" s="4">
        <v>23223</v>
      </c>
      <c r="C509" s="3">
        <v>49.525315388899884</v>
      </c>
      <c r="D509" s="3">
        <f t="shared" si="14"/>
        <v>31</v>
      </c>
      <c r="E509" s="2">
        <f t="shared" si="15"/>
        <v>3045.1929462265716</v>
      </c>
    </row>
    <row r="510" spans="1:5" x14ac:dyDescent="0.25">
      <c r="A510" s="2">
        <v>503</v>
      </c>
      <c r="B510" s="4">
        <v>23254</v>
      </c>
      <c r="C510" s="3">
        <v>54.148613259283628</v>
      </c>
      <c r="D510" s="3">
        <f t="shared" si="14"/>
        <v>31</v>
      </c>
      <c r="E510" s="2">
        <f t="shared" si="15"/>
        <v>3329.468451645208</v>
      </c>
    </row>
    <row r="511" spans="1:5" x14ac:dyDescent="0.25">
      <c r="A511" s="2">
        <v>504</v>
      </c>
      <c r="B511" s="4">
        <v>23284</v>
      </c>
      <c r="C511" s="3">
        <v>47.194986428572705</v>
      </c>
      <c r="D511" s="3">
        <f t="shared" si="14"/>
        <v>30</v>
      </c>
      <c r="E511" s="2">
        <f t="shared" si="15"/>
        <v>2808.2967131051528</v>
      </c>
    </row>
    <row r="512" spans="1:5" x14ac:dyDescent="0.25">
      <c r="A512" s="2">
        <v>505</v>
      </c>
      <c r="B512" s="4">
        <v>23315</v>
      </c>
      <c r="C512" s="3">
        <v>31.102178176924795</v>
      </c>
      <c r="D512" s="3">
        <f t="shared" si="14"/>
        <v>31</v>
      </c>
      <c r="E512" s="2">
        <f t="shared" si="15"/>
        <v>1912.3983936885988</v>
      </c>
    </row>
    <row r="513" spans="1:5" x14ac:dyDescent="0.25">
      <c r="A513" s="2">
        <v>506</v>
      </c>
      <c r="B513" s="4">
        <v>23345</v>
      </c>
      <c r="C513" s="3">
        <v>20.412556479055006</v>
      </c>
      <c r="D513" s="3">
        <f t="shared" si="14"/>
        <v>30</v>
      </c>
      <c r="E513" s="2">
        <f t="shared" si="15"/>
        <v>1214.6314599107111</v>
      </c>
    </row>
    <row r="514" spans="1:5" x14ac:dyDescent="0.25">
      <c r="A514" s="2">
        <v>507</v>
      </c>
      <c r="B514" s="4">
        <v>23376</v>
      </c>
      <c r="C514" s="3">
        <v>16.251588987210827</v>
      </c>
      <c r="D514" s="3">
        <f t="shared" si="14"/>
        <v>31</v>
      </c>
      <c r="E514" s="2">
        <f t="shared" si="15"/>
        <v>999.27125673428554</v>
      </c>
    </row>
    <row r="515" spans="1:5" x14ac:dyDescent="0.25">
      <c r="A515" s="2">
        <v>508</v>
      </c>
      <c r="B515" s="4">
        <v>23407</v>
      </c>
      <c r="C515" s="3">
        <v>14.979802687777051</v>
      </c>
      <c r="D515" s="3">
        <f t="shared" si="14"/>
        <v>31</v>
      </c>
      <c r="E515" s="2">
        <f t="shared" si="15"/>
        <v>921.07216526496904</v>
      </c>
    </row>
    <row r="516" spans="1:5" x14ac:dyDescent="0.25">
      <c r="A516" s="2">
        <v>509</v>
      </c>
      <c r="B516" s="4">
        <v>23436</v>
      </c>
      <c r="C516" s="3">
        <v>17.6261209548436</v>
      </c>
      <c r="D516" s="3">
        <f t="shared" si="14"/>
        <v>29</v>
      </c>
      <c r="E516" s="2">
        <f t="shared" si="15"/>
        <v>1013.866130956293</v>
      </c>
    </row>
    <row r="517" spans="1:5" x14ac:dyDescent="0.25">
      <c r="A517" s="2">
        <v>510</v>
      </c>
      <c r="B517" s="4">
        <v>23467</v>
      </c>
      <c r="C517" s="3">
        <v>15.805183944523174</v>
      </c>
      <c r="D517" s="3">
        <f t="shared" si="14"/>
        <v>31</v>
      </c>
      <c r="E517" s="2">
        <f t="shared" si="15"/>
        <v>971.82288055580511</v>
      </c>
    </row>
    <row r="518" spans="1:5" x14ac:dyDescent="0.25">
      <c r="A518" s="2">
        <v>511</v>
      </c>
      <c r="B518" s="4">
        <v>23497</v>
      </c>
      <c r="C518" s="3">
        <v>24.203176267641037</v>
      </c>
      <c r="D518" s="3">
        <f t="shared" si="14"/>
        <v>30</v>
      </c>
      <c r="E518" s="2">
        <f t="shared" si="15"/>
        <v>1440.1890010497148</v>
      </c>
    </row>
    <row r="519" spans="1:5" x14ac:dyDescent="0.25">
      <c r="A519" s="2">
        <v>512</v>
      </c>
      <c r="B519" s="4">
        <v>23528</v>
      </c>
      <c r="C519" s="3">
        <v>34.556329342542547</v>
      </c>
      <c r="D519" s="3">
        <f t="shared" si="14"/>
        <v>31</v>
      </c>
      <c r="E519" s="2">
        <f t="shared" si="15"/>
        <v>2124.7858703183188</v>
      </c>
    </row>
    <row r="520" spans="1:5" x14ac:dyDescent="0.25">
      <c r="A520" s="2">
        <v>513</v>
      </c>
      <c r="B520" s="4">
        <v>23558</v>
      </c>
      <c r="C520" s="3">
        <v>46.957570470502468</v>
      </c>
      <c r="D520" s="3">
        <f t="shared" si="14"/>
        <v>30</v>
      </c>
      <c r="E520" s="2">
        <f t="shared" si="15"/>
        <v>2794.1694825422956</v>
      </c>
    </row>
    <row r="521" spans="1:5" x14ac:dyDescent="0.25">
      <c r="A521" s="2">
        <v>514</v>
      </c>
      <c r="B521" s="4">
        <v>23589</v>
      </c>
      <c r="C521" s="3">
        <v>58.308650172838384</v>
      </c>
      <c r="D521" s="3">
        <f t="shared" ref="D521:D584" si="16">DAY(EOMONTH(B521,0))</f>
        <v>31</v>
      </c>
      <c r="E521" s="2">
        <f t="shared" ref="E521:E584" si="17">C521*D521*86400/43560</f>
        <v>3585.2591511232854</v>
      </c>
    </row>
    <row r="522" spans="1:5" x14ac:dyDescent="0.25">
      <c r="A522" s="2">
        <v>515</v>
      </c>
      <c r="B522" s="4">
        <v>23620</v>
      </c>
      <c r="C522" s="3">
        <v>63.751891796887797</v>
      </c>
      <c r="D522" s="3">
        <f t="shared" si="16"/>
        <v>31</v>
      </c>
      <c r="E522" s="2">
        <f t="shared" si="17"/>
        <v>3919.9510328003739</v>
      </c>
    </row>
    <row r="523" spans="1:5" x14ac:dyDescent="0.25">
      <c r="A523" s="2">
        <v>516</v>
      </c>
      <c r="B523" s="4">
        <v>23650</v>
      </c>
      <c r="C523" s="3">
        <v>55.565036425639406</v>
      </c>
      <c r="D523" s="3">
        <f t="shared" si="16"/>
        <v>30</v>
      </c>
      <c r="E523" s="2">
        <f t="shared" si="17"/>
        <v>3306.3492749140801</v>
      </c>
    </row>
    <row r="524" spans="1:5" x14ac:dyDescent="0.25">
      <c r="A524" s="2">
        <v>517</v>
      </c>
      <c r="B524" s="4">
        <v>23681</v>
      </c>
      <c r="C524" s="3">
        <v>36.618162099338441</v>
      </c>
      <c r="D524" s="3">
        <f t="shared" si="16"/>
        <v>31</v>
      </c>
      <c r="E524" s="2">
        <f t="shared" si="17"/>
        <v>2251.5630249510577</v>
      </c>
    </row>
    <row r="525" spans="1:5" x14ac:dyDescent="0.25">
      <c r="A525" s="2">
        <v>518</v>
      </c>
      <c r="B525" s="4">
        <v>23711</v>
      </c>
      <c r="C525" s="3">
        <v>24.032731654996994</v>
      </c>
      <c r="D525" s="3">
        <f t="shared" si="16"/>
        <v>30</v>
      </c>
      <c r="E525" s="2">
        <f t="shared" si="17"/>
        <v>1430.0468422808128</v>
      </c>
    </row>
    <row r="526" spans="1:5" x14ac:dyDescent="0.25">
      <c r="A526" s="2">
        <v>519</v>
      </c>
      <c r="B526" s="4">
        <v>23742</v>
      </c>
      <c r="C526" s="3">
        <v>19.133814889756689</v>
      </c>
      <c r="D526" s="3">
        <f t="shared" si="16"/>
        <v>31</v>
      </c>
      <c r="E526" s="2">
        <f t="shared" si="17"/>
        <v>1176.4924196676841</v>
      </c>
    </row>
    <row r="527" spans="1:5" x14ac:dyDescent="0.25">
      <c r="A527" s="2">
        <v>520</v>
      </c>
      <c r="B527" s="4">
        <v>23773</v>
      </c>
      <c r="C527" s="3">
        <v>16.143038955437891</v>
      </c>
      <c r="D527" s="3">
        <f t="shared" si="16"/>
        <v>31</v>
      </c>
      <c r="E527" s="2">
        <f t="shared" si="17"/>
        <v>992.59677544180101</v>
      </c>
    </row>
    <row r="528" spans="1:5" x14ac:dyDescent="0.25">
      <c r="A528" s="2">
        <v>521</v>
      </c>
      <c r="B528" s="4">
        <v>23801</v>
      </c>
      <c r="C528" s="3">
        <v>19.505548893665637</v>
      </c>
      <c r="D528" s="3">
        <f t="shared" si="16"/>
        <v>28</v>
      </c>
      <c r="E528" s="2">
        <f t="shared" si="17"/>
        <v>1083.2833765738271</v>
      </c>
    </row>
    <row r="529" spans="1:5" x14ac:dyDescent="0.25">
      <c r="A529" s="2">
        <v>522</v>
      </c>
      <c r="B529" s="4">
        <v>23832</v>
      </c>
      <c r="C529" s="3">
        <v>16.773812263914404</v>
      </c>
      <c r="D529" s="3">
        <f t="shared" si="16"/>
        <v>31</v>
      </c>
      <c r="E529" s="2">
        <f t="shared" si="17"/>
        <v>1031.3815144092825</v>
      </c>
    </row>
    <row r="530" spans="1:5" x14ac:dyDescent="0.25">
      <c r="A530" s="2">
        <v>523</v>
      </c>
      <c r="B530" s="4">
        <v>23862</v>
      </c>
      <c r="C530" s="3">
        <v>20.056798842699084</v>
      </c>
      <c r="D530" s="3">
        <f t="shared" si="16"/>
        <v>30</v>
      </c>
      <c r="E530" s="2">
        <f t="shared" si="17"/>
        <v>1193.4624104746563</v>
      </c>
    </row>
    <row r="531" spans="1:5" x14ac:dyDescent="0.25">
      <c r="A531" s="2">
        <v>524</v>
      </c>
      <c r="B531" s="4">
        <v>23893</v>
      </c>
      <c r="C531" s="3">
        <v>37.471605442263396</v>
      </c>
      <c r="D531" s="3">
        <f t="shared" si="16"/>
        <v>31</v>
      </c>
      <c r="E531" s="2">
        <f t="shared" si="17"/>
        <v>2304.039210664791</v>
      </c>
    </row>
    <row r="532" spans="1:5" x14ac:dyDescent="0.25">
      <c r="A532" s="2">
        <v>525</v>
      </c>
      <c r="B532" s="4">
        <v>23923</v>
      </c>
      <c r="C532" s="3">
        <v>50.919052650413335</v>
      </c>
      <c r="D532" s="3">
        <f t="shared" si="16"/>
        <v>30</v>
      </c>
      <c r="E532" s="2">
        <f t="shared" si="17"/>
        <v>3029.8940420080662</v>
      </c>
    </row>
    <row r="533" spans="1:5" x14ac:dyDescent="0.25">
      <c r="A533" s="2">
        <v>526</v>
      </c>
      <c r="B533" s="4">
        <v>23954</v>
      </c>
      <c r="C533" s="3">
        <v>63.227743649777473</v>
      </c>
      <c r="D533" s="3">
        <f t="shared" si="16"/>
        <v>31</v>
      </c>
      <c r="E533" s="2">
        <f t="shared" si="17"/>
        <v>3887.7224194573914</v>
      </c>
    </row>
    <row r="534" spans="1:5" x14ac:dyDescent="0.25">
      <c r="A534" s="2">
        <v>527</v>
      </c>
      <c r="B534" s="4">
        <v>23985</v>
      </c>
      <c r="C534" s="3">
        <v>69.130193543730158</v>
      </c>
      <c r="D534" s="3">
        <f t="shared" si="16"/>
        <v>31</v>
      </c>
      <c r="E534" s="2">
        <f t="shared" si="17"/>
        <v>4250.6499170690286</v>
      </c>
    </row>
    <row r="535" spans="1:5" x14ac:dyDescent="0.25">
      <c r="A535" s="2">
        <v>528</v>
      </c>
      <c r="B535" s="4">
        <v>24015</v>
      </c>
      <c r="C535" s="3">
        <v>60.252670377326545</v>
      </c>
      <c r="D535" s="3">
        <f t="shared" si="16"/>
        <v>30</v>
      </c>
      <c r="E535" s="2">
        <f t="shared" si="17"/>
        <v>3585.282865427695</v>
      </c>
    </row>
    <row r="536" spans="1:5" x14ac:dyDescent="0.25">
      <c r="A536" s="2">
        <v>529</v>
      </c>
      <c r="B536" s="4">
        <v>24046</v>
      </c>
      <c r="C536" s="3">
        <v>39.70738062500174</v>
      </c>
      <c r="D536" s="3">
        <f t="shared" si="16"/>
        <v>31</v>
      </c>
      <c r="E536" s="2">
        <f t="shared" si="17"/>
        <v>2441.5116681819254</v>
      </c>
    </row>
    <row r="537" spans="1:5" x14ac:dyDescent="0.25">
      <c r="A537" s="2">
        <v>530</v>
      </c>
      <c r="B537" s="4">
        <v>24076</v>
      </c>
      <c r="C537" s="3">
        <v>26.060205334574533</v>
      </c>
      <c r="D537" s="3">
        <f t="shared" si="16"/>
        <v>30</v>
      </c>
      <c r="E537" s="2">
        <f t="shared" si="17"/>
        <v>1550.6899042060877</v>
      </c>
    </row>
    <row r="538" spans="1:5" x14ac:dyDescent="0.25">
      <c r="A538" s="2">
        <v>531</v>
      </c>
      <c r="B538" s="4">
        <v>24107</v>
      </c>
      <c r="C538" s="3">
        <v>20.748001185172026</v>
      </c>
      <c r="D538" s="3">
        <f t="shared" si="16"/>
        <v>31</v>
      </c>
      <c r="E538" s="2">
        <f t="shared" si="17"/>
        <v>1275.7448662618172</v>
      </c>
    </row>
    <row r="539" spans="1:5" x14ac:dyDescent="0.25">
      <c r="A539" s="2">
        <v>532</v>
      </c>
      <c r="B539" s="4">
        <v>24138</v>
      </c>
      <c r="C539" s="3">
        <v>12.808529879489081</v>
      </c>
      <c r="D539" s="3">
        <f t="shared" si="16"/>
        <v>31</v>
      </c>
      <c r="E539" s="2">
        <f t="shared" si="17"/>
        <v>787.56580416032034</v>
      </c>
    </row>
    <row r="540" spans="1:5" x14ac:dyDescent="0.25">
      <c r="A540" s="2">
        <v>533</v>
      </c>
      <c r="B540" s="4">
        <v>24166</v>
      </c>
      <c r="C540" s="3">
        <v>11.874067005323351</v>
      </c>
      <c r="D540" s="3">
        <f t="shared" si="16"/>
        <v>28</v>
      </c>
      <c r="E540" s="2">
        <f t="shared" si="17"/>
        <v>659.45231632870173</v>
      </c>
    </row>
    <row r="541" spans="1:5" x14ac:dyDescent="0.25">
      <c r="A541" s="2">
        <v>534</v>
      </c>
      <c r="B541" s="4">
        <v>24197</v>
      </c>
      <c r="C541" s="3">
        <v>13.040671399553776</v>
      </c>
      <c r="D541" s="3">
        <f t="shared" si="16"/>
        <v>31</v>
      </c>
      <c r="E541" s="2">
        <f t="shared" si="17"/>
        <v>801.83962985686037</v>
      </c>
    </row>
    <row r="542" spans="1:5" x14ac:dyDescent="0.25">
      <c r="A542" s="2">
        <v>535</v>
      </c>
      <c r="B542" s="4">
        <v>24227</v>
      </c>
      <c r="C542" s="3">
        <v>19.761861958817985</v>
      </c>
      <c r="D542" s="3">
        <f t="shared" si="16"/>
        <v>30</v>
      </c>
      <c r="E542" s="2">
        <f t="shared" si="17"/>
        <v>1175.9124471362768</v>
      </c>
    </row>
    <row r="543" spans="1:5" x14ac:dyDescent="0.25">
      <c r="A543" s="2">
        <v>536</v>
      </c>
      <c r="B543" s="4">
        <v>24258</v>
      </c>
      <c r="C543" s="3">
        <v>28.215197985554951</v>
      </c>
      <c r="D543" s="3">
        <f t="shared" si="16"/>
        <v>31</v>
      </c>
      <c r="E543" s="2">
        <f t="shared" si="17"/>
        <v>1734.8849009299906</v>
      </c>
    </row>
    <row r="544" spans="1:5" x14ac:dyDescent="0.25">
      <c r="A544" s="2">
        <v>537</v>
      </c>
      <c r="B544" s="4">
        <v>24288</v>
      </c>
      <c r="C544" s="3">
        <v>38.340795245135055</v>
      </c>
      <c r="D544" s="3">
        <f t="shared" si="16"/>
        <v>30</v>
      </c>
      <c r="E544" s="2">
        <f t="shared" si="17"/>
        <v>2281.4357501237387</v>
      </c>
    </row>
    <row r="545" spans="1:5" x14ac:dyDescent="0.25">
      <c r="A545" s="2">
        <v>538</v>
      </c>
      <c r="B545" s="4">
        <v>24319</v>
      </c>
      <c r="C545" s="3">
        <v>47.608937065884852</v>
      </c>
      <c r="D545" s="3">
        <f t="shared" si="16"/>
        <v>31</v>
      </c>
      <c r="E545" s="2">
        <f t="shared" si="17"/>
        <v>2927.3594361172172</v>
      </c>
    </row>
    <row r="546" spans="1:5" x14ac:dyDescent="0.25">
      <c r="A546" s="2">
        <v>539</v>
      </c>
      <c r="B546" s="4">
        <v>24350</v>
      </c>
      <c r="C546" s="3">
        <v>52.053336775801142</v>
      </c>
      <c r="D546" s="3">
        <f t="shared" si="16"/>
        <v>31</v>
      </c>
      <c r="E546" s="2">
        <f t="shared" si="17"/>
        <v>3200.6349224128967</v>
      </c>
    </row>
    <row r="547" spans="1:5" x14ac:dyDescent="0.25">
      <c r="A547" s="2">
        <v>540</v>
      </c>
      <c r="B547" s="4">
        <v>24380</v>
      </c>
      <c r="C547" s="3">
        <v>45.368780007947329</v>
      </c>
      <c r="D547" s="3">
        <f t="shared" si="16"/>
        <v>30</v>
      </c>
      <c r="E547" s="2">
        <f t="shared" si="17"/>
        <v>2699.6298847704197</v>
      </c>
    </row>
    <row r="548" spans="1:5" x14ac:dyDescent="0.25">
      <c r="A548" s="2">
        <v>541</v>
      </c>
      <c r="B548" s="4">
        <v>24411</v>
      </c>
      <c r="C548" s="3">
        <v>29.898681751131843</v>
      </c>
      <c r="D548" s="3">
        <f t="shared" si="16"/>
        <v>31</v>
      </c>
      <c r="E548" s="2">
        <f t="shared" si="17"/>
        <v>1838.3982828795117</v>
      </c>
    </row>
    <row r="549" spans="1:5" x14ac:dyDescent="0.25">
      <c r="A549" s="2">
        <v>542</v>
      </c>
      <c r="B549" s="4">
        <v>24441</v>
      </c>
      <c r="C549" s="3">
        <v>19.622694154169174</v>
      </c>
      <c r="D549" s="3">
        <f t="shared" si="16"/>
        <v>30</v>
      </c>
      <c r="E549" s="2">
        <f t="shared" si="17"/>
        <v>1167.6313876860997</v>
      </c>
    </row>
    <row r="550" spans="1:5" x14ac:dyDescent="0.25">
      <c r="A550" s="2">
        <v>543</v>
      </c>
      <c r="B550" s="4">
        <v>24472</v>
      </c>
      <c r="C550" s="3">
        <v>15.622734983857606</v>
      </c>
      <c r="D550" s="3">
        <f t="shared" si="16"/>
        <v>31</v>
      </c>
      <c r="E550" s="2">
        <f t="shared" si="17"/>
        <v>960.60453123884793</v>
      </c>
    </row>
    <row r="551" spans="1:5" x14ac:dyDescent="0.25">
      <c r="A551" s="2">
        <v>544</v>
      </c>
      <c r="B551" s="4">
        <v>24503</v>
      </c>
      <c r="C551" s="3">
        <v>13.327877897894883</v>
      </c>
      <c r="D551" s="3">
        <f t="shared" si="16"/>
        <v>31</v>
      </c>
      <c r="E551" s="2">
        <f t="shared" si="17"/>
        <v>819.49926909370186</v>
      </c>
    </row>
    <row r="552" spans="1:5" x14ac:dyDescent="0.25">
      <c r="A552" s="2">
        <v>545</v>
      </c>
      <c r="B552" s="4">
        <v>24531</v>
      </c>
      <c r="C552" s="3">
        <v>19.505548893665644</v>
      </c>
      <c r="D552" s="3">
        <f t="shared" si="16"/>
        <v>28</v>
      </c>
      <c r="E552" s="2">
        <f t="shared" si="17"/>
        <v>1083.2833765738276</v>
      </c>
    </row>
    <row r="553" spans="1:5" x14ac:dyDescent="0.25">
      <c r="A553" s="2">
        <v>546</v>
      </c>
      <c r="B553" s="4">
        <v>24562</v>
      </c>
      <c r="C553" s="3">
        <v>21.374017729940771</v>
      </c>
      <c r="D553" s="3">
        <f t="shared" si="16"/>
        <v>31</v>
      </c>
      <c r="E553" s="2">
        <f t="shared" si="17"/>
        <v>1314.2371232294161</v>
      </c>
    </row>
    <row r="554" spans="1:5" x14ac:dyDescent="0.25">
      <c r="A554" s="2">
        <v>547</v>
      </c>
      <c r="B554" s="4">
        <v>24592</v>
      </c>
      <c r="C554" s="3">
        <v>26.245029168479075</v>
      </c>
      <c r="D554" s="3">
        <f t="shared" si="16"/>
        <v>30</v>
      </c>
      <c r="E554" s="2">
        <f t="shared" si="17"/>
        <v>1561.687686058259</v>
      </c>
    </row>
    <row r="555" spans="1:5" x14ac:dyDescent="0.25">
      <c r="A555" s="2">
        <v>548</v>
      </c>
      <c r="B555" s="4">
        <v>24623</v>
      </c>
      <c r="C555" s="3">
        <v>37.471605442263396</v>
      </c>
      <c r="D555" s="3">
        <f t="shared" si="16"/>
        <v>31</v>
      </c>
      <c r="E555" s="2">
        <f t="shared" si="17"/>
        <v>2304.039210664791</v>
      </c>
    </row>
    <row r="556" spans="1:5" x14ac:dyDescent="0.25">
      <c r="A556" s="2">
        <v>549</v>
      </c>
      <c r="B556" s="4">
        <v>24653</v>
      </c>
      <c r="C556" s="3">
        <v>50.919052650413335</v>
      </c>
      <c r="D556" s="3">
        <f t="shared" si="16"/>
        <v>30</v>
      </c>
      <c r="E556" s="2">
        <f t="shared" si="17"/>
        <v>3029.8940420080662</v>
      </c>
    </row>
    <row r="557" spans="1:5" x14ac:dyDescent="0.25">
      <c r="A557" s="2">
        <v>550</v>
      </c>
      <c r="B557" s="4">
        <v>24684</v>
      </c>
      <c r="C557" s="3">
        <v>63.22774364977748</v>
      </c>
      <c r="D557" s="3">
        <f t="shared" si="16"/>
        <v>31</v>
      </c>
      <c r="E557" s="2">
        <f t="shared" si="17"/>
        <v>3887.7224194573919</v>
      </c>
    </row>
    <row r="558" spans="1:5" x14ac:dyDescent="0.25">
      <c r="A558" s="2">
        <v>551</v>
      </c>
      <c r="B558" s="4">
        <v>24715</v>
      </c>
      <c r="C558" s="3">
        <v>69.130193543730144</v>
      </c>
      <c r="D558" s="3">
        <f t="shared" si="16"/>
        <v>31</v>
      </c>
      <c r="E558" s="2">
        <f t="shared" si="17"/>
        <v>4250.6499170690277</v>
      </c>
    </row>
    <row r="559" spans="1:5" x14ac:dyDescent="0.25">
      <c r="A559" s="2">
        <v>552</v>
      </c>
      <c r="B559" s="4">
        <v>24745</v>
      </c>
      <c r="C559" s="3">
        <v>60.252670377326503</v>
      </c>
      <c r="D559" s="3">
        <f t="shared" si="16"/>
        <v>30</v>
      </c>
      <c r="E559" s="2">
        <f t="shared" si="17"/>
        <v>3585.2828654276932</v>
      </c>
    </row>
    <row r="560" spans="1:5" x14ac:dyDescent="0.25">
      <c r="A560" s="2">
        <v>553</v>
      </c>
      <c r="B560" s="4">
        <v>24776</v>
      </c>
      <c r="C560" s="3">
        <v>39.707380625001761</v>
      </c>
      <c r="D560" s="3">
        <f t="shared" si="16"/>
        <v>31</v>
      </c>
      <c r="E560" s="2">
        <f t="shared" si="17"/>
        <v>2441.5116681819263</v>
      </c>
    </row>
    <row r="561" spans="1:5" x14ac:dyDescent="0.25">
      <c r="A561" s="2">
        <v>554</v>
      </c>
      <c r="B561" s="4">
        <v>24806</v>
      </c>
      <c r="C561" s="3">
        <v>26.060205334574523</v>
      </c>
      <c r="D561" s="3">
        <f t="shared" si="16"/>
        <v>30</v>
      </c>
      <c r="E561" s="2">
        <f t="shared" si="17"/>
        <v>1550.6899042060875</v>
      </c>
    </row>
    <row r="562" spans="1:5" x14ac:dyDescent="0.25">
      <c r="A562" s="2">
        <v>555</v>
      </c>
      <c r="B562" s="4">
        <v>24837</v>
      </c>
      <c r="C562" s="3">
        <v>20.748001185172022</v>
      </c>
      <c r="D562" s="3">
        <f t="shared" si="16"/>
        <v>31</v>
      </c>
      <c r="E562" s="2">
        <f t="shared" si="17"/>
        <v>1275.7448662618169</v>
      </c>
    </row>
    <row r="563" spans="1:5" x14ac:dyDescent="0.25">
      <c r="A563" s="2">
        <v>556</v>
      </c>
      <c r="B563" s="4">
        <v>24868</v>
      </c>
      <c r="C563" s="3">
        <v>19.764259091971134</v>
      </c>
      <c r="D563" s="3">
        <f t="shared" si="16"/>
        <v>31</v>
      </c>
      <c r="E563" s="2">
        <f t="shared" si="17"/>
        <v>1215.256922679878</v>
      </c>
    </row>
    <row r="564" spans="1:5" x14ac:dyDescent="0.25">
      <c r="A564" s="2">
        <v>557</v>
      </c>
      <c r="B564" s="4">
        <v>24897</v>
      </c>
      <c r="C564" s="3">
        <v>15.772790797229451</v>
      </c>
      <c r="D564" s="3">
        <f t="shared" si="16"/>
        <v>29</v>
      </c>
      <c r="E564" s="2">
        <f t="shared" si="17"/>
        <v>907.2613549480742</v>
      </c>
    </row>
    <row r="565" spans="1:5" x14ac:dyDescent="0.25">
      <c r="A565" s="2">
        <v>558</v>
      </c>
      <c r="B565" s="4">
        <v>24928</v>
      </c>
      <c r="C565" s="3">
        <v>17.782808852810433</v>
      </c>
      <c r="D565" s="3">
        <f t="shared" si="16"/>
        <v>31</v>
      </c>
      <c r="E565" s="2">
        <f t="shared" si="17"/>
        <v>1093.4222964042119</v>
      </c>
    </row>
    <row r="566" spans="1:5" x14ac:dyDescent="0.25">
      <c r="A566" s="2">
        <v>559</v>
      </c>
      <c r="B566" s="4">
        <v>24958</v>
      </c>
      <c r="C566" s="3">
        <v>25.91511948717654</v>
      </c>
      <c r="D566" s="3">
        <f t="shared" si="16"/>
        <v>30</v>
      </c>
      <c r="E566" s="2">
        <f t="shared" si="17"/>
        <v>1542.0566967576124</v>
      </c>
    </row>
    <row r="567" spans="1:5" x14ac:dyDescent="0.25">
      <c r="A567" s="2">
        <v>560</v>
      </c>
      <c r="B567" s="4">
        <v>24989</v>
      </c>
      <c r="C567" s="3">
        <v>37.000573563045705</v>
      </c>
      <c r="D567" s="3">
        <f t="shared" si="16"/>
        <v>31</v>
      </c>
      <c r="E567" s="2">
        <f t="shared" si="17"/>
        <v>2275.0765893310745</v>
      </c>
    </row>
    <row r="568" spans="1:5" x14ac:dyDescent="0.25">
      <c r="A568" s="2">
        <v>561</v>
      </c>
      <c r="B568" s="4">
        <v>25019</v>
      </c>
      <c r="C568" s="3">
        <v>50.278981407806342</v>
      </c>
      <c r="D568" s="3">
        <f t="shared" si="16"/>
        <v>30</v>
      </c>
      <c r="E568" s="2">
        <f t="shared" si="17"/>
        <v>2991.8071581504601</v>
      </c>
    </row>
    <row r="569" spans="1:5" x14ac:dyDescent="0.25">
      <c r="A569" s="2">
        <v>562</v>
      </c>
      <c r="B569" s="4">
        <v>25050</v>
      </c>
      <c r="C569" s="3">
        <v>62.432947628669204</v>
      </c>
      <c r="D569" s="3">
        <f t="shared" si="16"/>
        <v>31</v>
      </c>
      <c r="E569" s="2">
        <f t="shared" si="17"/>
        <v>3838.8523170024705</v>
      </c>
    </row>
    <row r="570" spans="1:5" x14ac:dyDescent="0.25">
      <c r="A570" s="2">
        <v>563</v>
      </c>
      <c r="B570" s="4">
        <v>25081</v>
      </c>
      <c r="C570" s="3">
        <v>68.261201553895148</v>
      </c>
      <c r="D570" s="3">
        <f t="shared" si="16"/>
        <v>31</v>
      </c>
      <c r="E570" s="2">
        <f t="shared" si="17"/>
        <v>4197.217682322148</v>
      </c>
    </row>
    <row r="571" spans="1:5" x14ac:dyDescent="0.25">
      <c r="A571" s="2">
        <v>564</v>
      </c>
      <c r="B571" s="4">
        <v>25111</v>
      </c>
      <c r="C571" s="3">
        <v>59.49527212281496</v>
      </c>
      <c r="D571" s="3">
        <f t="shared" si="16"/>
        <v>30</v>
      </c>
      <c r="E571" s="2">
        <f t="shared" si="17"/>
        <v>3540.2145395394027</v>
      </c>
    </row>
    <row r="572" spans="1:5" x14ac:dyDescent="0.25">
      <c r="A572" s="2">
        <v>565</v>
      </c>
      <c r="B572" s="4">
        <v>25142</v>
      </c>
      <c r="C572" s="3">
        <v>39.20824422841941</v>
      </c>
      <c r="D572" s="3">
        <f t="shared" si="16"/>
        <v>31</v>
      </c>
      <c r="E572" s="2">
        <f t="shared" si="17"/>
        <v>2410.8209674333916</v>
      </c>
    </row>
    <row r="573" spans="1:5" x14ac:dyDescent="0.25">
      <c r="A573" s="2">
        <v>566</v>
      </c>
      <c r="B573" s="4">
        <v>25172</v>
      </c>
      <c r="C573" s="3">
        <v>25.732618956924995</v>
      </c>
      <c r="D573" s="3">
        <f t="shared" si="16"/>
        <v>30</v>
      </c>
      <c r="E573" s="2">
        <f t="shared" si="17"/>
        <v>1531.197161073223</v>
      </c>
    </row>
    <row r="574" spans="1:5" x14ac:dyDescent="0.25">
      <c r="A574" s="2">
        <v>567</v>
      </c>
      <c r="B574" s="4">
        <v>25203</v>
      </c>
      <c r="C574" s="3">
        <v>20.487191169884031</v>
      </c>
      <c r="D574" s="3">
        <f t="shared" si="16"/>
        <v>31</v>
      </c>
      <c r="E574" s="2">
        <f t="shared" si="17"/>
        <v>1259.7082835036133</v>
      </c>
    </row>
    <row r="575" spans="1:5" x14ac:dyDescent="0.25">
      <c r="A575" s="2">
        <v>568</v>
      </c>
      <c r="B575" s="4">
        <v>25234</v>
      </c>
      <c r="C575" s="3">
        <v>11.687907305849578</v>
      </c>
      <c r="D575" s="3">
        <f t="shared" si="16"/>
        <v>31</v>
      </c>
      <c r="E575" s="2">
        <f t="shared" si="17"/>
        <v>718.66140789686654</v>
      </c>
    </row>
    <row r="576" spans="1:5" x14ac:dyDescent="0.25">
      <c r="A576" s="2">
        <v>569</v>
      </c>
      <c r="B576" s="4">
        <v>25262</v>
      </c>
      <c r="C576" s="3">
        <v>19.505548893665637</v>
      </c>
      <c r="D576" s="3">
        <f t="shared" si="16"/>
        <v>28</v>
      </c>
      <c r="E576" s="2">
        <f t="shared" si="17"/>
        <v>1083.2833765738271</v>
      </c>
    </row>
    <row r="577" spans="1:5" x14ac:dyDescent="0.25">
      <c r="A577" s="2">
        <v>570</v>
      </c>
      <c r="B577" s="4">
        <v>25293</v>
      </c>
      <c r="C577" s="3">
        <v>21.37401772994075</v>
      </c>
      <c r="D577" s="3">
        <f t="shared" si="16"/>
        <v>31</v>
      </c>
      <c r="E577" s="2">
        <f t="shared" si="17"/>
        <v>1314.2371232294147</v>
      </c>
    </row>
    <row r="578" spans="1:5" x14ac:dyDescent="0.25">
      <c r="A578" s="2">
        <v>571</v>
      </c>
      <c r="B578" s="4">
        <v>25323</v>
      </c>
      <c r="C578" s="3">
        <v>26.245029168479071</v>
      </c>
      <c r="D578" s="3">
        <f t="shared" si="16"/>
        <v>30</v>
      </c>
      <c r="E578" s="2">
        <f t="shared" si="17"/>
        <v>1561.687686058259</v>
      </c>
    </row>
    <row r="579" spans="1:5" x14ac:dyDescent="0.25">
      <c r="A579" s="2">
        <v>572</v>
      </c>
      <c r="B579" s="4">
        <v>25354</v>
      </c>
      <c r="C579" s="3">
        <v>37.471605442263375</v>
      </c>
      <c r="D579" s="3">
        <f t="shared" si="16"/>
        <v>31</v>
      </c>
      <c r="E579" s="2">
        <f t="shared" si="17"/>
        <v>2304.0392106647896</v>
      </c>
    </row>
    <row r="580" spans="1:5" x14ac:dyDescent="0.25">
      <c r="A580" s="2">
        <v>573</v>
      </c>
      <c r="B580" s="4">
        <v>25384</v>
      </c>
      <c r="C580" s="3">
        <v>50.919052650413292</v>
      </c>
      <c r="D580" s="3">
        <f t="shared" si="16"/>
        <v>30</v>
      </c>
      <c r="E580" s="2">
        <f t="shared" si="17"/>
        <v>3029.8940420080635</v>
      </c>
    </row>
    <row r="581" spans="1:5" x14ac:dyDescent="0.25">
      <c r="A581" s="2">
        <v>574</v>
      </c>
      <c r="B581" s="4">
        <v>25415</v>
      </c>
      <c r="C581" s="3">
        <v>63.227743649777437</v>
      </c>
      <c r="D581" s="3">
        <f t="shared" si="16"/>
        <v>31</v>
      </c>
      <c r="E581" s="2">
        <f t="shared" si="17"/>
        <v>3887.7224194573892</v>
      </c>
    </row>
    <row r="582" spans="1:5" x14ac:dyDescent="0.25">
      <c r="A582" s="2">
        <v>575</v>
      </c>
      <c r="B582" s="4">
        <v>25446</v>
      </c>
      <c r="C582" s="3">
        <v>69.130193543730158</v>
      </c>
      <c r="D582" s="3">
        <f t="shared" si="16"/>
        <v>31</v>
      </c>
      <c r="E582" s="2">
        <f t="shared" si="17"/>
        <v>4250.6499170690286</v>
      </c>
    </row>
    <row r="583" spans="1:5" x14ac:dyDescent="0.25">
      <c r="A583" s="2">
        <v>576</v>
      </c>
      <c r="B583" s="4">
        <v>25476</v>
      </c>
      <c r="C583" s="3">
        <v>60.252670377326488</v>
      </c>
      <c r="D583" s="3">
        <f t="shared" si="16"/>
        <v>30</v>
      </c>
      <c r="E583" s="2">
        <f t="shared" si="17"/>
        <v>3585.2828654276918</v>
      </c>
    </row>
    <row r="584" spans="1:5" x14ac:dyDescent="0.25">
      <c r="A584" s="2">
        <v>577</v>
      </c>
      <c r="B584" s="4">
        <v>25507</v>
      </c>
      <c r="C584" s="3">
        <v>39.707380625001754</v>
      </c>
      <c r="D584" s="3">
        <f t="shared" si="16"/>
        <v>31</v>
      </c>
      <c r="E584" s="2">
        <f t="shared" si="17"/>
        <v>2441.5116681819259</v>
      </c>
    </row>
    <row r="585" spans="1:5" x14ac:dyDescent="0.25">
      <c r="A585" s="2">
        <v>578</v>
      </c>
      <c r="B585" s="4">
        <v>25537</v>
      </c>
      <c r="C585" s="3">
        <v>26.060205334574526</v>
      </c>
      <c r="D585" s="3">
        <f t="shared" ref="D585:D648" si="18">DAY(EOMONTH(B585,0))</f>
        <v>30</v>
      </c>
      <c r="E585" s="2">
        <f t="shared" ref="E585:E648" si="19">C585*D585*86400/43560</f>
        <v>1550.6899042060877</v>
      </c>
    </row>
    <row r="586" spans="1:5" x14ac:dyDescent="0.25">
      <c r="A586" s="2">
        <v>579</v>
      </c>
      <c r="B586" s="4">
        <v>25568</v>
      </c>
      <c r="C586" s="3">
        <v>20.748001185172026</v>
      </c>
      <c r="D586" s="3">
        <f t="shared" si="18"/>
        <v>31</v>
      </c>
      <c r="E586" s="2">
        <f t="shared" si="19"/>
        <v>1275.7448662618172</v>
      </c>
    </row>
    <row r="587" spans="1:5" x14ac:dyDescent="0.25">
      <c r="A587" s="2">
        <v>580</v>
      </c>
      <c r="B587" s="4">
        <v>25599</v>
      </c>
      <c r="C587" s="3">
        <v>19.764259091971127</v>
      </c>
      <c r="D587" s="3">
        <f t="shared" si="18"/>
        <v>31</v>
      </c>
      <c r="E587" s="2">
        <f t="shared" si="19"/>
        <v>1215.2569226798778</v>
      </c>
    </row>
    <row r="588" spans="1:5" x14ac:dyDescent="0.25">
      <c r="A588" s="2">
        <v>581</v>
      </c>
      <c r="B588" s="4">
        <v>25627</v>
      </c>
      <c r="C588" s="3">
        <v>19.50554889366564</v>
      </c>
      <c r="D588" s="3">
        <f t="shared" si="18"/>
        <v>28</v>
      </c>
      <c r="E588" s="2">
        <f t="shared" si="19"/>
        <v>1083.2833765738274</v>
      </c>
    </row>
    <row r="589" spans="1:5" x14ac:dyDescent="0.25">
      <c r="A589" s="2">
        <v>582</v>
      </c>
      <c r="B589" s="4">
        <v>25658</v>
      </c>
      <c r="C589" s="3">
        <v>21.374017729940753</v>
      </c>
      <c r="D589" s="3">
        <f t="shared" si="18"/>
        <v>31</v>
      </c>
      <c r="E589" s="2">
        <f t="shared" si="19"/>
        <v>1314.2371232294149</v>
      </c>
    </row>
    <row r="590" spans="1:5" x14ac:dyDescent="0.25">
      <c r="A590" s="2">
        <v>583</v>
      </c>
      <c r="B590" s="4">
        <v>25688</v>
      </c>
      <c r="C590" s="3">
        <v>26.245029168479082</v>
      </c>
      <c r="D590" s="3">
        <f t="shared" si="18"/>
        <v>30</v>
      </c>
      <c r="E590" s="2">
        <f t="shared" si="19"/>
        <v>1561.6876860582595</v>
      </c>
    </row>
    <row r="591" spans="1:5" x14ac:dyDescent="0.25">
      <c r="A591" s="2">
        <v>584</v>
      </c>
      <c r="B591" s="4">
        <v>25719</v>
      </c>
      <c r="C591" s="3">
        <v>37.471605442263382</v>
      </c>
      <c r="D591" s="3">
        <f t="shared" si="18"/>
        <v>31</v>
      </c>
      <c r="E591" s="2">
        <f t="shared" si="19"/>
        <v>2304.0392106647896</v>
      </c>
    </row>
    <row r="592" spans="1:5" x14ac:dyDescent="0.25">
      <c r="A592" s="2">
        <v>585</v>
      </c>
      <c r="B592" s="4">
        <v>25749</v>
      </c>
      <c r="C592" s="3">
        <v>50.919052650413327</v>
      </c>
      <c r="D592" s="3">
        <f t="shared" si="18"/>
        <v>30</v>
      </c>
      <c r="E592" s="2">
        <f t="shared" si="19"/>
        <v>3029.8940420080662</v>
      </c>
    </row>
    <row r="593" spans="1:5" x14ac:dyDescent="0.25">
      <c r="A593" s="2">
        <v>586</v>
      </c>
      <c r="B593" s="4">
        <v>25780</v>
      </c>
      <c r="C593" s="3">
        <v>63.227743649777508</v>
      </c>
      <c r="D593" s="3">
        <f t="shared" si="18"/>
        <v>31</v>
      </c>
      <c r="E593" s="2">
        <f t="shared" si="19"/>
        <v>3887.7224194573942</v>
      </c>
    </row>
    <row r="594" spans="1:5" x14ac:dyDescent="0.25">
      <c r="A594" s="2">
        <v>587</v>
      </c>
      <c r="B594" s="4">
        <v>25811</v>
      </c>
      <c r="C594" s="3">
        <v>69.130193543730186</v>
      </c>
      <c r="D594" s="3">
        <f t="shared" si="18"/>
        <v>31</v>
      </c>
      <c r="E594" s="2">
        <f t="shared" si="19"/>
        <v>4250.6499170690304</v>
      </c>
    </row>
    <row r="595" spans="1:5" x14ac:dyDescent="0.25">
      <c r="A595" s="2">
        <v>588</v>
      </c>
      <c r="B595" s="4">
        <v>25841</v>
      </c>
      <c r="C595" s="3">
        <v>60.252670377326524</v>
      </c>
      <c r="D595" s="3">
        <f t="shared" si="18"/>
        <v>30</v>
      </c>
      <c r="E595" s="2">
        <f t="shared" si="19"/>
        <v>3585.2828654276946</v>
      </c>
    </row>
    <row r="596" spans="1:5" x14ac:dyDescent="0.25">
      <c r="A596" s="2">
        <v>589</v>
      </c>
      <c r="B596" s="4">
        <v>25872</v>
      </c>
      <c r="C596" s="3">
        <v>39.707380625001761</v>
      </c>
      <c r="D596" s="3">
        <f t="shared" si="18"/>
        <v>31</v>
      </c>
      <c r="E596" s="2">
        <f t="shared" si="19"/>
        <v>2441.5116681819263</v>
      </c>
    </row>
    <row r="597" spans="1:5" x14ac:dyDescent="0.25">
      <c r="A597" s="2">
        <v>590</v>
      </c>
      <c r="B597" s="4">
        <v>25902</v>
      </c>
      <c r="C597" s="3">
        <v>26.06020533457453</v>
      </c>
      <c r="D597" s="3">
        <f t="shared" si="18"/>
        <v>30</v>
      </c>
      <c r="E597" s="2">
        <f t="shared" si="19"/>
        <v>1550.6899042060877</v>
      </c>
    </row>
    <row r="598" spans="1:5" x14ac:dyDescent="0.25">
      <c r="A598" s="2">
        <v>591</v>
      </c>
      <c r="B598" s="4">
        <v>25933</v>
      </c>
      <c r="C598" s="3">
        <v>20.748001185172033</v>
      </c>
      <c r="D598" s="3">
        <f t="shared" si="18"/>
        <v>31</v>
      </c>
      <c r="E598" s="2">
        <f t="shared" si="19"/>
        <v>1275.7448662618176</v>
      </c>
    </row>
    <row r="599" spans="1:5" x14ac:dyDescent="0.25">
      <c r="A599" s="2">
        <v>592</v>
      </c>
      <c r="B599" s="4">
        <v>25964</v>
      </c>
      <c r="C599" s="3">
        <v>19.764259091971134</v>
      </c>
      <c r="D599" s="3">
        <f t="shared" si="18"/>
        <v>31</v>
      </c>
      <c r="E599" s="2">
        <f t="shared" si="19"/>
        <v>1215.256922679878</v>
      </c>
    </row>
    <row r="600" spans="1:5" x14ac:dyDescent="0.25">
      <c r="A600" s="2">
        <v>593</v>
      </c>
      <c r="B600" s="4">
        <v>25992</v>
      </c>
      <c r="C600" s="3">
        <v>18.216601871624032</v>
      </c>
      <c r="D600" s="3">
        <f t="shared" si="18"/>
        <v>28</v>
      </c>
      <c r="E600" s="2">
        <f t="shared" si="19"/>
        <v>1011.6988808042437</v>
      </c>
    </row>
    <row r="601" spans="1:5" x14ac:dyDescent="0.25">
      <c r="A601" s="2">
        <v>594</v>
      </c>
      <c r="B601" s="4">
        <v>26023</v>
      </c>
      <c r="C601" s="3">
        <v>16.8003345715046</v>
      </c>
      <c r="D601" s="3">
        <f t="shared" si="18"/>
        <v>31</v>
      </c>
      <c r="E601" s="2">
        <f t="shared" si="19"/>
        <v>1033.0123075371423</v>
      </c>
    </row>
    <row r="602" spans="1:5" x14ac:dyDescent="0.25">
      <c r="A602" s="2">
        <v>595</v>
      </c>
      <c r="B602" s="4">
        <v>26053</v>
      </c>
      <c r="C602" s="3">
        <v>19.092324616052181</v>
      </c>
      <c r="D602" s="3">
        <f t="shared" si="18"/>
        <v>30</v>
      </c>
      <c r="E602" s="2">
        <f t="shared" si="19"/>
        <v>1136.0722085584769</v>
      </c>
    </row>
    <row r="603" spans="1:5" x14ac:dyDescent="0.25">
      <c r="A603" s="2">
        <v>596</v>
      </c>
      <c r="B603" s="4">
        <v>26084</v>
      </c>
      <c r="C603" s="3">
        <v>29.254973077766483</v>
      </c>
      <c r="D603" s="3">
        <f t="shared" si="18"/>
        <v>31</v>
      </c>
      <c r="E603" s="2">
        <f t="shared" si="19"/>
        <v>1798.8181793271292</v>
      </c>
    </row>
    <row r="604" spans="1:5" x14ac:dyDescent="0.25">
      <c r="A604" s="2">
        <v>597</v>
      </c>
      <c r="B604" s="4">
        <v>26114</v>
      </c>
      <c r="C604" s="3">
        <v>39.753714762194022</v>
      </c>
      <c r="D604" s="3">
        <f t="shared" si="18"/>
        <v>30</v>
      </c>
      <c r="E604" s="2">
        <f t="shared" si="19"/>
        <v>2365.5102998991488</v>
      </c>
    </row>
    <row r="605" spans="1:5" x14ac:dyDescent="0.25">
      <c r="A605" s="2">
        <v>598</v>
      </c>
      <c r="B605" s="4">
        <v>26145</v>
      </c>
      <c r="C605" s="3">
        <v>49.36340240591602</v>
      </c>
      <c r="D605" s="3">
        <f t="shared" si="18"/>
        <v>31</v>
      </c>
      <c r="E605" s="2">
        <f t="shared" si="19"/>
        <v>3035.2373049588032</v>
      </c>
    </row>
    <row r="606" spans="1:5" x14ac:dyDescent="0.25">
      <c r="A606" s="2">
        <v>599</v>
      </c>
      <c r="B606" s="4">
        <v>26176</v>
      </c>
      <c r="C606" s="3">
        <v>53.971585340765529</v>
      </c>
      <c r="D606" s="3">
        <f t="shared" si="18"/>
        <v>31</v>
      </c>
      <c r="E606" s="2">
        <f t="shared" si="19"/>
        <v>3318.5834292173181</v>
      </c>
    </row>
    <row r="607" spans="1:5" x14ac:dyDescent="0.25">
      <c r="A607" s="2">
        <v>600</v>
      </c>
      <c r="B607" s="4">
        <v>26206</v>
      </c>
      <c r="C607" s="3">
        <v>47.040691983912886</v>
      </c>
      <c r="D607" s="3">
        <f t="shared" si="18"/>
        <v>30</v>
      </c>
      <c r="E607" s="2">
        <f t="shared" si="19"/>
        <v>2799.1155560675438</v>
      </c>
    </row>
    <row r="608" spans="1:5" x14ac:dyDescent="0.25">
      <c r="A608" s="2">
        <v>601</v>
      </c>
      <c r="B608" s="4">
        <v>26237</v>
      </c>
      <c r="C608" s="3">
        <v>31.000495907839245</v>
      </c>
      <c r="D608" s="3">
        <f t="shared" si="18"/>
        <v>31</v>
      </c>
      <c r="E608" s="2">
        <f t="shared" si="19"/>
        <v>1906.1461946638346</v>
      </c>
    </row>
    <row r="609" spans="1:5" x14ac:dyDescent="0.25">
      <c r="A609" s="2">
        <v>602</v>
      </c>
      <c r="B609" s="4">
        <v>26267</v>
      </c>
      <c r="C609" s="3">
        <v>20.345821761993712</v>
      </c>
      <c r="D609" s="3">
        <f t="shared" si="18"/>
        <v>30</v>
      </c>
      <c r="E609" s="2">
        <f t="shared" si="19"/>
        <v>1210.6604684822705</v>
      </c>
    </row>
    <row r="610" spans="1:5" x14ac:dyDescent="0.25">
      <c r="A610" s="2">
        <v>603</v>
      </c>
      <c r="B610" s="4">
        <v>26298</v>
      </c>
      <c r="C610" s="3">
        <v>16.198457710196564</v>
      </c>
      <c r="D610" s="3">
        <f t="shared" si="18"/>
        <v>31</v>
      </c>
      <c r="E610" s="2">
        <f t="shared" si="19"/>
        <v>996.00434185010272</v>
      </c>
    </row>
    <row r="611" spans="1:5" x14ac:dyDescent="0.25">
      <c r="A611" s="2">
        <v>604</v>
      </c>
      <c r="B611" s="4">
        <v>26329</v>
      </c>
      <c r="C611" s="3">
        <v>11.64115633638526</v>
      </c>
      <c r="D611" s="3">
        <f t="shared" si="18"/>
        <v>31</v>
      </c>
      <c r="E611" s="2">
        <f t="shared" si="19"/>
        <v>715.78680283228368</v>
      </c>
    </row>
    <row r="612" spans="1:5" x14ac:dyDescent="0.25">
      <c r="A612" s="2">
        <v>605</v>
      </c>
      <c r="B612" s="4">
        <v>26358</v>
      </c>
      <c r="C612" s="3">
        <v>10.488004143034537</v>
      </c>
      <c r="D612" s="3">
        <f t="shared" si="18"/>
        <v>29</v>
      </c>
      <c r="E612" s="2">
        <f t="shared" si="19"/>
        <v>603.27693252496181</v>
      </c>
    </row>
    <row r="613" spans="1:5" x14ac:dyDescent="0.25">
      <c r="A613" s="2">
        <v>606</v>
      </c>
      <c r="B613" s="4">
        <v>26389</v>
      </c>
      <c r="C613" s="3">
        <v>12.702786845899155</v>
      </c>
      <c r="D613" s="3">
        <f t="shared" si="18"/>
        <v>31</v>
      </c>
      <c r="E613" s="2">
        <f t="shared" si="19"/>
        <v>781.06391845859275</v>
      </c>
    </row>
    <row r="614" spans="1:5" x14ac:dyDescent="0.25">
      <c r="A614" s="2">
        <v>607</v>
      </c>
      <c r="B614" s="4">
        <v>26419</v>
      </c>
      <c r="C614" s="3">
        <v>17.657286412972297</v>
      </c>
      <c r="D614" s="3">
        <f t="shared" si="18"/>
        <v>30</v>
      </c>
      <c r="E614" s="2">
        <f t="shared" si="19"/>
        <v>1050.6815055652937</v>
      </c>
    </row>
    <row r="615" spans="1:5" x14ac:dyDescent="0.25">
      <c r="A615" s="2">
        <v>608</v>
      </c>
      <c r="B615" s="4">
        <v>26450</v>
      </c>
      <c r="C615" s="3">
        <v>25.960718328109973</v>
      </c>
      <c r="D615" s="3">
        <f t="shared" si="18"/>
        <v>31</v>
      </c>
      <c r="E615" s="2">
        <f t="shared" si="19"/>
        <v>1596.2623500920513</v>
      </c>
    </row>
    <row r="616" spans="1:5" x14ac:dyDescent="0.25">
      <c r="A616" s="2">
        <v>609</v>
      </c>
      <c r="B616" s="4">
        <v>26480</v>
      </c>
      <c r="C616" s="3">
        <v>35.277249741230619</v>
      </c>
      <c r="D616" s="3">
        <f t="shared" si="18"/>
        <v>30</v>
      </c>
      <c r="E616" s="2">
        <f t="shared" si="19"/>
        <v>2099.142133362483</v>
      </c>
    </row>
    <row r="617" spans="1:5" x14ac:dyDescent="0.25">
      <c r="A617" s="2">
        <v>610</v>
      </c>
      <c r="B617" s="4">
        <v>26511</v>
      </c>
      <c r="C617" s="3">
        <v>43.80483899850406</v>
      </c>
      <c r="D617" s="3">
        <f t="shared" si="18"/>
        <v>31</v>
      </c>
      <c r="E617" s="2">
        <f t="shared" si="19"/>
        <v>2693.4545632138033</v>
      </c>
    </row>
    <row r="618" spans="1:5" x14ac:dyDescent="0.25">
      <c r="A618" s="2">
        <v>611</v>
      </c>
      <c r="B618" s="4">
        <v>26542</v>
      </c>
      <c r="C618" s="3">
        <v>47.894117729269674</v>
      </c>
      <c r="D618" s="3">
        <f t="shared" si="18"/>
        <v>31</v>
      </c>
      <c r="E618" s="2">
        <f t="shared" si="19"/>
        <v>2944.8945116179038</v>
      </c>
    </row>
    <row r="619" spans="1:5" x14ac:dyDescent="0.25">
      <c r="A619" s="2">
        <v>612</v>
      </c>
      <c r="B619" s="4">
        <v>26572</v>
      </c>
      <c r="C619" s="3">
        <v>41.743677264972483</v>
      </c>
      <c r="D619" s="3">
        <f t="shared" si="18"/>
        <v>30</v>
      </c>
      <c r="E619" s="2">
        <f t="shared" si="19"/>
        <v>2483.9212918000158</v>
      </c>
    </row>
    <row r="620" spans="1:5" x14ac:dyDescent="0.25">
      <c r="A620" s="2">
        <v>613</v>
      </c>
      <c r="B620" s="4">
        <v>26603</v>
      </c>
      <c r="C620" s="3">
        <v>27.509686649029177</v>
      </c>
      <c r="D620" s="3">
        <f t="shared" si="18"/>
        <v>31</v>
      </c>
      <c r="E620" s="2">
        <f t="shared" si="19"/>
        <v>1691.5046997419593</v>
      </c>
    </row>
    <row r="621" spans="1:5" x14ac:dyDescent="0.25">
      <c r="A621" s="2">
        <v>614</v>
      </c>
      <c r="B621" s="4">
        <v>26633</v>
      </c>
      <c r="C621" s="3">
        <v>18.054781541346554</v>
      </c>
      <c r="D621" s="3">
        <f t="shared" si="18"/>
        <v>30</v>
      </c>
      <c r="E621" s="2">
        <f t="shared" si="19"/>
        <v>1074.3341082454149</v>
      </c>
    </row>
    <row r="622" spans="1:5" x14ac:dyDescent="0.25">
      <c r="A622" s="2">
        <v>615</v>
      </c>
      <c r="B622" s="4">
        <v>26664</v>
      </c>
      <c r="C622" s="3">
        <v>14.374431206836707</v>
      </c>
      <c r="D622" s="3">
        <f t="shared" si="18"/>
        <v>31</v>
      </c>
      <c r="E622" s="2">
        <f t="shared" si="19"/>
        <v>883.84932379227348</v>
      </c>
    </row>
    <row r="623" spans="1:5" x14ac:dyDescent="0.25">
      <c r="A623" s="2">
        <v>616</v>
      </c>
      <c r="B623" s="4">
        <v>26695</v>
      </c>
      <c r="C623" s="3">
        <v>16.1581323992311</v>
      </c>
      <c r="D623" s="3">
        <f t="shared" si="18"/>
        <v>31</v>
      </c>
      <c r="E623" s="2">
        <f t="shared" si="19"/>
        <v>993.52483512627589</v>
      </c>
    </row>
    <row r="624" spans="1:5" x14ac:dyDescent="0.25">
      <c r="A624" s="2">
        <v>617</v>
      </c>
      <c r="B624" s="4">
        <v>26723</v>
      </c>
      <c r="C624" s="3">
        <v>19.505548893665644</v>
      </c>
      <c r="D624" s="3">
        <f t="shared" si="18"/>
        <v>28</v>
      </c>
      <c r="E624" s="2">
        <f t="shared" si="19"/>
        <v>1083.2833765738276</v>
      </c>
    </row>
    <row r="625" spans="1:5" x14ac:dyDescent="0.25">
      <c r="A625" s="2">
        <v>618</v>
      </c>
      <c r="B625" s="4">
        <v>26754</v>
      </c>
      <c r="C625" s="3">
        <v>21.374017729940761</v>
      </c>
      <c r="D625" s="3">
        <f t="shared" si="18"/>
        <v>31</v>
      </c>
      <c r="E625" s="2">
        <f t="shared" si="19"/>
        <v>1314.2371232294154</v>
      </c>
    </row>
    <row r="626" spans="1:5" x14ac:dyDescent="0.25">
      <c r="A626" s="2">
        <v>619</v>
      </c>
      <c r="B626" s="4">
        <v>26784</v>
      </c>
      <c r="C626" s="3">
        <v>26.245029168479071</v>
      </c>
      <c r="D626" s="3">
        <f t="shared" si="18"/>
        <v>30</v>
      </c>
      <c r="E626" s="2">
        <f t="shared" si="19"/>
        <v>1561.687686058259</v>
      </c>
    </row>
    <row r="627" spans="1:5" x14ac:dyDescent="0.25">
      <c r="A627" s="2">
        <v>620</v>
      </c>
      <c r="B627" s="4">
        <v>26815</v>
      </c>
      <c r="C627" s="3">
        <v>37.471605442263382</v>
      </c>
      <c r="D627" s="3">
        <f t="shared" si="18"/>
        <v>31</v>
      </c>
      <c r="E627" s="2">
        <f t="shared" si="19"/>
        <v>2304.0392106647896</v>
      </c>
    </row>
    <row r="628" spans="1:5" x14ac:dyDescent="0.25">
      <c r="A628" s="2">
        <v>621</v>
      </c>
      <c r="B628" s="4">
        <v>26845</v>
      </c>
      <c r="C628" s="3">
        <v>50.919052650413335</v>
      </c>
      <c r="D628" s="3">
        <f t="shared" si="18"/>
        <v>30</v>
      </c>
      <c r="E628" s="2">
        <f t="shared" si="19"/>
        <v>3029.8940420080662</v>
      </c>
    </row>
    <row r="629" spans="1:5" x14ac:dyDescent="0.25">
      <c r="A629" s="2">
        <v>622</v>
      </c>
      <c r="B629" s="4">
        <v>26876</v>
      </c>
      <c r="C629" s="3">
        <v>63.227743649777473</v>
      </c>
      <c r="D629" s="3">
        <f t="shared" si="18"/>
        <v>31</v>
      </c>
      <c r="E629" s="2">
        <f t="shared" si="19"/>
        <v>3887.7224194573914</v>
      </c>
    </row>
    <row r="630" spans="1:5" x14ac:dyDescent="0.25">
      <c r="A630" s="2">
        <v>623</v>
      </c>
      <c r="B630" s="4">
        <v>26907</v>
      </c>
      <c r="C630" s="3">
        <v>69.130193543730201</v>
      </c>
      <c r="D630" s="3">
        <f t="shared" si="18"/>
        <v>31</v>
      </c>
      <c r="E630" s="2">
        <f t="shared" si="19"/>
        <v>4250.6499170690313</v>
      </c>
    </row>
    <row r="631" spans="1:5" x14ac:dyDescent="0.25">
      <c r="A631" s="2">
        <v>624</v>
      </c>
      <c r="B631" s="4">
        <v>26937</v>
      </c>
      <c r="C631" s="3">
        <v>60.252670377326524</v>
      </c>
      <c r="D631" s="3">
        <f t="shared" si="18"/>
        <v>30</v>
      </c>
      <c r="E631" s="2">
        <f t="shared" si="19"/>
        <v>3585.2828654276946</v>
      </c>
    </row>
    <row r="632" spans="1:5" x14ac:dyDescent="0.25">
      <c r="A632" s="2">
        <v>625</v>
      </c>
      <c r="B632" s="4">
        <v>26968</v>
      </c>
      <c r="C632" s="3">
        <v>39.707380625001761</v>
      </c>
      <c r="D632" s="3">
        <f t="shared" si="18"/>
        <v>31</v>
      </c>
      <c r="E632" s="2">
        <f t="shared" si="19"/>
        <v>2441.5116681819263</v>
      </c>
    </row>
    <row r="633" spans="1:5" x14ac:dyDescent="0.25">
      <c r="A633" s="2">
        <v>626</v>
      </c>
      <c r="B633" s="4">
        <v>26998</v>
      </c>
      <c r="C633" s="3">
        <v>26.060205334574533</v>
      </c>
      <c r="D633" s="3">
        <f t="shared" si="18"/>
        <v>30</v>
      </c>
      <c r="E633" s="2">
        <f t="shared" si="19"/>
        <v>1550.6899042060877</v>
      </c>
    </row>
    <row r="634" spans="1:5" x14ac:dyDescent="0.25">
      <c r="A634" s="2">
        <v>627</v>
      </c>
      <c r="B634" s="4">
        <v>27029</v>
      </c>
      <c r="C634" s="3">
        <v>20.748001185172026</v>
      </c>
      <c r="D634" s="3">
        <f t="shared" si="18"/>
        <v>31</v>
      </c>
      <c r="E634" s="2">
        <f t="shared" si="19"/>
        <v>1275.7448662618172</v>
      </c>
    </row>
    <row r="635" spans="1:5" x14ac:dyDescent="0.25">
      <c r="A635" s="2">
        <v>628</v>
      </c>
      <c r="B635" s="4">
        <v>27060</v>
      </c>
      <c r="C635" s="3">
        <v>19.76425909197113</v>
      </c>
      <c r="D635" s="3">
        <f t="shared" si="18"/>
        <v>31</v>
      </c>
      <c r="E635" s="2">
        <f t="shared" si="19"/>
        <v>1215.2569226798778</v>
      </c>
    </row>
    <row r="636" spans="1:5" x14ac:dyDescent="0.25">
      <c r="A636" s="2">
        <v>629</v>
      </c>
      <c r="B636" s="4">
        <v>27088</v>
      </c>
      <c r="C636" s="3">
        <v>19.505548893665644</v>
      </c>
      <c r="D636" s="3">
        <f t="shared" si="18"/>
        <v>28</v>
      </c>
      <c r="E636" s="2">
        <f t="shared" si="19"/>
        <v>1083.2833765738276</v>
      </c>
    </row>
    <row r="637" spans="1:5" x14ac:dyDescent="0.25">
      <c r="A637" s="2">
        <v>630</v>
      </c>
      <c r="B637" s="4">
        <v>27119</v>
      </c>
      <c r="C637" s="3">
        <v>19.766467232373653</v>
      </c>
      <c r="D637" s="3">
        <f t="shared" si="18"/>
        <v>31</v>
      </c>
      <c r="E637" s="2">
        <f t="shared" si="19"/>
        <v>1215.3926959409916</v>
      </c>
    </row>
    <row r="638" spans="1:5" x14ac:dyDescent="0.25">
      <c r="A638" s="2">
        <v>631</v>
      </c>
      <c r="B638" s="4">
        <v>27149</v>
      </c>
      <c r="C638" s="3">
        <v>25.324812691034953</v>
      </c>
      <c r="D638" s="3">
        <f t="shared" si="18"/>
        <v>30</v>
      </c>
      <c r="E638" s="2">
        <f t="shared" si="19"/>
        <v>1506.9310031029063</v>
      </c>
    </row>
    <row r="639" spans="1:5" x14ac:dyDescent="0.25">
      <c r="A639" s="2">
        <v>632</v>
      </c>
      <c r="B639" s="4">
        <v>27180</v>
      </c>
      <c r="C639" s="3">
        <v>37.471605442263396</v>
      </c>
      <c r="D639" s="3">
        <f t="shared" si="18"/>
        <v>31</v>
      </c>
      <c r="E639" s="2">
        <f t="shared" si="19"/>
        <v>2304.039210664791</v>
      </c>
    </row>
    <row r="640" spans="1:5" x14ac:dyDescent="0.25">
      <c r="A640" s="2">
        <v>633</v>
      </c>
      <c r="B640" s="4">
        <v>27210</v>
      </c>
      <c r="C640" s="3">
        <v>50.919052650413335</v>
      </c>
      <c r="D640" s="3">
        <f t="shared" si="18"/>
        <v>30</v>
      </c>
      <c r="E640" s="2">
        <f t="shared" si="19"/>
        <v>3029.8940420080662</v>
      </c>
    </row>
    <row r="641" spans="1:5" x14ac:dyDescent="0.25">
      <c r="A641" s="2">
        <v>634</v>
      </c>
      <c r="B641" s="4">
        <v>27241</v>
      </c>
      <c r="C641" s="3">
        <v>63.227743649777452</v>
      </c>
      <c r="D641" s="3">
        <f t="shared" si="18"/>
        <v>31</v>
      </c>
      <c r="E641" s="2">
        <f t="shared" si="19"/>
        <v>3887.7224194573901</v>
      </c>
    </row>
    <row r="642" spans="1:5" x14ac:dyDescent="0.25">
      <c r="A642" s="2">
        <v>635</v>
      </c>
      <c r="B642" s="4">
        <v>27272</v>
      </c>
      <c r="C642" s="3">
        <v>69.130193543730201</v>
      </c>
      <c r="D642" s="3">
        <f t="shared" si="18"/>
        <v>31</v>
      </c>
      <c r="E642" s="2">
        <f t="shared" si="19"/>
        <v>4250.6499170690313</v>
      </c>
    </row>
    <row r="643" spans="1:5" x14ac:dyDescent="0.25">
      <c r="A643" s="2">
        <v>636</v>
      </c>
      <c r="B643" s="4">
        <v>27302</v>
      </c>
      <c r="C643" s="3">
        <v>60.252670377326524</v>
      </c>
      <c r="D643" s="3">
        <f t="shared" si="18"/>
        <v>30</v>
      </c>
      <c r="E643" s="2">
        <f t="shared" si="19"/>
        <v>3585.2828654276946</v>
      </c>
    </row>
    <row r="644" spans="1:5" x14ac:dyDescent="0.25">
      <c r="A644" s="2">
        <v>637</v>
      </c>
      <c r="B644" s="4">
        <v>27333</v>
      </c>
      <c r="C644" s="3">
        <v>39.707380625001761</v>
      </c>
      <c r="D644" s="3">
        <f t="shared" si="18"/>
        <v>31</v>
      </c>
      <c r="E644" s="2">
        <f t="shared" si="19"/>
        <v>2441.5116681819263</v>
      </c>
    </row>
    <row r="645" spans="1:5" x14ac:dyDescent="0.25">
      <c r="A645" s="2">
        <v>638</v>
      </c>
      <c r="B645" s="4">
        <v>27363</v>
      </c>
      <c r="C645" s="3">
        <v>26.060205334574533</v>
      </c>
      <c r="D645" s="3">
        <f t="shared" si="18"/>
        <v>30</v>
      </c>
      <c r="E645" s="2">
        <f t="shared" si="19"/>
        <v>1550.6899042060877</v>
      </c>
    </row>
    <row r="646" spans="1:5" x14ac:dyDescent="0.25">
      <c r="A646" s="2">
        <v>639</v>
      </c>
      <c r="B646" s="4">
        <v>27394</v>
      </c>
      <c r="C646" s="3">
        <v>20.748001185172029</v>
      </c>
      <c r="D646" s="3">
        <f t="shared" si="18"/>
        <v>31</v>
      </c>
      <c r="E646" s="2">
        <f t="shared" si="19"/>
        <v>1275.7448662618174</v>
      </c>
    </row>
    <row r="647" spans="1:5" x14ac:dyDescent="0.25">
      <c r="A647" s="2">
        <v>640</v>
      </c>
      <c r="B647" s="4">
        <v>27425</v>
      </c>
      <c r="C647" s="3">
        <v>19.764259091971134</v>
      </c>
      <c r="D647" s="3">
        <f t="shared" si="18"/>
        <v>31</v>
      </c>
      <c r="E647" s="2">
        <f t="shared" si="19"/>
        <v>1215.256922679878</v>
      </c>
    </row>
    <row r="648" spans="1:5" x14ac:dyDescent="0.25">
      <c r="A648" s="2">
        <v>641</v>
      </c>
      <c r="B648" s="4">
        <v>27453</v>
      </c>
      <c r="C648" s="3">
        <v>19.505548893665644</v>
      </c>
      <c r="D648" s="3">
        <f t="shared" si="18"/>
        <v>28</v>
      </c>
      <c r="E648" s="2">
        <f t="shared" si="19"/>
        <v>1083.2833765738276</v>
      </c>
    </row>
    <row r="649" spans="1:5" x14ac:dyDescent="0.25">
      <c r="A649" s="2">
        <v>642</v>
      </c>
      <c r="B649" s="4">
        <v>27484</v>
      </c>
      <c r="C649" s="3">
        <v>21.374017729940764</v>
      </c>
      <c r="D649" s="3">
        <f t="shared" ref="D649:D712" si="20">DAY(EOMONTH(B649,0))</f>
        <v>31</v>
      </c>
      <c r="E649" s="2">
        <f t="shared" ref="E649:E712" si="21">C649*D649*86400/43560</f>
        <v>1314.2371232294156</v>
      </c>
    </row>
    <row r="650" spans="1:5" x14ac:dyDescent="0.25">
      <c r="A650" s="2">
        <v>643</v>
      </c>
      <c r="B650" s="4">
        <v>27514</v>
      </c>
      <c r="C650" s="3">
        <v>26.245029168479082</v>
      </c>
      <c r="D650" s="3">
        <f t="shared" si="20"/>
        <v>30</v>
      </c>
      <c r="E650" s="2">
        <f t="shared" si="21"/>
        <v>1561.6876860582595</v>
      </c>
    </row>
    <row r="651" spans="1:5" x14ac:dyDescent="0.25">
      <c r="A651" s="2">
        <v>644</v>
      </c>
      <c r="B651" s="4">
        <v>27545</v>
      </c>
      <c r="C651" s="3">
        <v>37.471605442263389</v>
      </c>
      <c r="D651" s="3">
        <f t="shared" si="20"/>
        <v>31</v>
      </c>
      <c r="E651" s="2">
        <f t="shared" si="21"/>
        <v>2304.0392106647901</v>
      </c>
    </row>
    <row r="652" spans="1:5" x14ac:dyDescent="0.25">
      <c r="A652" s="2">
        <v>645</v>
      </c>
      <c r="B652" s="4">
        <v>27575</v>
      </c>
      <c r="C652" s="3">
        <v>50.919052650413349</v>
      </c>
      <c r="D652" s="3">
        <f t="shared" si="20"/>
        <v>30</v>
      </c>
      <c r="E652" s="2">
        <f t="shared" si="21"/>
        <v>3029.8940420080667</v>
      </c>
    </row>
    <row r="653" spans="1:5" x14ac:dyDescent="0.25">
      <c r="A653" s="2">
        <v>646</v>
      </c>
      <c r="B653" s="4">
        <v>27606</v>
      </c>
      <c r="C653" s="3">
        <v>63.227743649777501</v>
      </c>
      <c r="D653" s="3">
        <f t="shared" si="20"/>
        <v>31</v>
      </c>
      <c r="E653" s="2">
        <f t="shared" si="21"/>
        <v>3887.7224194573932</v>
      </c>
    </row>
    <row r="654" spans="1:5" x14ac:dyDescent="0.25">
      <c r="A654" s="2">
        <v>647</v>
      </c>
      <c r="B654" s="4">
        <v>27637</v>
      </c>
      <c r="C654" s="3">
        <v>69.130193543730172</v>
      </c>
      <c r="D654" s="3">
        <f t="shared" si="20"/>
        <v>31</v>
      </c>
      <c r="E654" s="2">
        <f t="shared" si="21"/>
        <v>4250.6499170690286</v>
      </c>
    </row>
    <row r="655" spans="1:5" x14ac:dyDescent="0.25">
      <c r="A655" s="2">
        <v>648</v>
      </c>
      <c r="B655" s="4">
        <v>27667</v>
      </c>
      <c r="C655" s="3">
        <v>60.252670377326538</v>
      </c>
      <c r="D655" s="3">
        <f t="shared" si="20"/>
        <v>30</v>
      </c>
      <c r="E655" s="2">
        <f t="shared" si="21"/>
        <v>3585.2828654276946</v>
      </c>
    </row>
    <row r="656" spans="1:5" x14ac:dyDescent="0.25">
      <c r="A656" s="2">
        <v>649</v>
      </c>
      <c r="B656" s="4">
        <v>27698</v>
      </c>
      <c r="C656" s="3">
        <v>39.707380625001761</v>
      </c>
      <c r="D656" s="3">
        <f t="shared" si="20"/>
        <v>31</v>
      </c>
      <c r="E656" s="2">
        <f t="shared" si="21"/>
        <v>2441.5116681819263</v>
      </c>
    </row>
    <row r="657" spans="1:5" x14ac:dyDescent="0.25">
      <c r="A657" s="2">
        <v>650</v>
      </c>
      <c r="B657" s="4">
        <v>27728</v>
      </c>
      <c r="C657" s="3">
        <v>26.06020533457454</v>
      </c>
      <c r="D657" s="3">
        <f t="shared" si="20"/>
        <v>30</v>
      </c>
      <c r="E657" s="2">
        <f t="shared" si="21"/>
        <v>1550.6899042060884</v>
      </c>
    </row>
    <row r="658" spans="1:5" x14ac:dyDescent="0.25">
      <c r="A658" s="2">
        <v>651</v>
      </c>
      <c r="B658" s="4">
        <v>27759</v>
      </c>
      <c r="C658" s="3">
        <v>20.748001185172026</v>
      </c>
      <c r="D658" s="3">
        <f t="shared" si="20"/>
        <v>31</v>
      </c>
      <c r="E658" s="2">
        <f t="shared" si="21"/>
        <v>1275.7448662618172</v>
      </c>
    </row>
    <row r="659" spans="1:5" x14ac:dyDescent="0.25">
      <c r="A659" s="2">
        <v>652</v>
      </c>
      <c r="B659" s="4">
        <v>27790</v>
      </c>
      <c r="C659" s="3">
        <v>3.7304226988715783</v>
      </c>
      <c r="D659" s="3">
        <f t="shared" si="20"/>
        <v>31</v>
      </c>
      <c r="E659" s="2">
        <f t="shared" si="21"/>
        <v>229.37475107111194</v>
      </c>
    </row>
    <row r="660" spans="1:5" x14ac:dyDescent="0.25">
      <c r="A660" s="2">
        <v>653</v>
      </c>
      <c r="B660" s="4">
        <v>27819</v>
      </c>
      <c r="C660" s="3">
        <v>2.3366695913845583</v>
      </c>
      <c r="D660" s="3">
        <f t="shared" si="20"/>
        <v>29</v>
      </c>
      <c r="E660" s="2">
        <f t="shared" si="21"/>
        <v>134.40677980195477</v>
      </c>
    </row>
    <row r="661" spans="1:5" x14ac:dyDescent="0.25">
      <c r="A661" s="2">
        <v>654</v>
      </c>
      <c r="B661" s="4">
        <v>27850</v>
      </c>
      <c r="C661" s="3">
        <v>4.7142480789594483</v>
      </c>
      <c r="D661" s="3">
        <f t="shared" si="20"/>
        <v>31</v>
      </c>
      <c r="E661" s="2">
        <f t="shared" si="21"/>
        <v>289.86781576411812</v>
      </c>
    </row>
    <row r="662" spans="1:5" x14ac:dyDescent="0.25">
      <c r="A662" s="2">
        <v>655</v>
      </c>
      <c r="B662" s="4">
        <v>27880</v>
      </c>
      <c r="C662" s="3">
        <v>13.991589521703665</v>
      </c>
      <c r="D662" s="3">
        <f t="shared" si="20"/>
        <v>30</v>
      </c>
      <c r="E662" s="2">
        <f t="shared" si="21"/>
        <v>832.55739302699487</v>
      </c>
    </row>
    <row r="663" spans="1:5" x14ac:dyDescent="0.25">
      <c r="A663" s="2">
        <v>656</v>
      </c>
      <c r="B663" s="4">
        <v>27911</v>
      </c>
      <c r="C663" s="3">
        <v>19.976633239831521</v>
      </c>
      <c r="D663" s="3">
        <f t="shared" si="20"/>
        <v>31</v>
      </c>
      <c r="E663" s="2">
        <f t="shared" si="21"/>
        <v>1228.3153000359218</v>
      </c>
    </row>
    <row r="664" spans="1:5" x14ac:dyDescent="0.25">
      <c r="A664" s="2">
        <v>657</v>
      </c>
      <c r="B664" s="4">
        <v>27941</v>
      </c>
      <c r="C664" s="3">
        <v>27.145654094919312</v>
      </c>
      <c r="D664" s="3">
        <f t="shared" si="20"/>
        <v>30</v>
      </c>
      <c r="E664" s="2">
        <f t="shared" si="21"/>
        <v>1615.2785907720581</v>
      </c>
    </row>
    <row r="665" spans="1:5" x14ac:dyDescent="0.25">
      <c r="A665" s="2">
        <v>658</v>
      </c>
      <c r="B665" s="4">
        <v>27972</v>
      </c>
      <c r="C665" s="3">
        <v>33.7075882008806</v>
      </c>
      <c r="D665" s="3">
        <f t="shared" si="20"/>
        <v>31</v>
      </c>
      <c r="E665" s="2">
        <f t="shared" si="21"/>
        <v>2072.5988116905096</v>
      </c>
    </row>
    <row r="666" spans="1:5" x14ac:dyDescent="0.25">
      <c r="A666" s="2">
        <v>659</v>
      </c>
      <c r="B666" s="4">
        <v>28003</v>
      </c>
      <c r="C666" s="3">
        <v>36.854266208302889</v>
      </c>
      <c r="D666" s="3">
        <f t="shared" si="20"/>
        <v>31</v>
      </c>
      <c r="E666" s="2">
        <f t="shared" si="21"/>
        <v>2266.0805007419294</v>
      </c>
    </row>
    <row r="667" spans="1:5" x14ac:dyDescent="0.25">
      <c r="A667" s="2">
        <v>660</v>
      </c>
      <c r="B667" s="4">
        <v>28033</v>
      </c>
      <c r="C667" s="3">
        <v>32.121535323670656</v>
      </c>
      <c r="D667" s="3">
        <f t="shared" si="20"/>
        <v>30</v>
      </c>
      <c r="E667" s="2">
        <f t="shared" si="21"/>
        <v>1911.3640853754441</v>
      </c>
    </row>
    <row r="668" spans="1:5" x14ac:dyDescent="0.25">
      <c r="A668" s="2">
        <v>661</v>
      </c>
      <c r="B668" s="4">
        <v>28064</v>
      </c>
      <c r="C668" s="3">
        <v>21.168556038578405</v>
      </c>
      <c r="D668" s="3">
        <f t="shared" si="20"/>
        <v>31</v>
      </c>
      <c r="E668" s="2">
        <f t="shared" si="21"/>
        <v>1301.603776256391</v>
      </c>
    </row>
    <row r="669" spans="1:5" x14ac:dyDescent="0.25">
      <c r="A669" s="2">
        <v>662</v>
      </c>
      <c r="B669" s="4">
        <v>28094</v>
      </c>
      <c r="C669" s="3">
        <v>13.893057369149407</v>
      </c>
      <c r="D669" s="3">
        <f t="shared" si="20"/>
        <v>30</v>
      </c>
      <c r="E669" s="2">
        <f t="shared" si="21"/>
        <v>826.6943227923615</v>
      </c>
    </row>
    <row r="670" spans="1:5" x14ac:dyDescent="0.25">
      <c r="A670" s="2">
        <v>663</v>
      </c>
      <c r="B670" s="4">
        <v>28125</v>
      </c>
      <c r="C670" s="3">
        <v>11.061047565052917</v>
      </c>
      <c r="D670" s="3">
        <f t="shared" si="20"/>
        <v>31</v>
      </c>
      <c r="E670" s="2">
        <f t="shared" si="21"/>
        <v>680.11730482639416</v>
      </c>
    </row>
    <row r="671" spans="1:5" x14ac:dyDescent="0.25">
      <c r="A671" s="2">
        <v>664</v>
      </c>
      <c r="B671" s="4">
        <v>28156</v>
      </c>
      <c r="C671" s="3">
        <v>2.1740685001168241</v>
      </c>
      <c r="D671" s="3">
        <f t="shared" si="20"/>
        <v>31</v>
      </c>
      <c r="E671" s="2">
        <f t="shared" si="21"/>
        <v>133.67826149478657</v>
      </c>
    </row>
    <row r="672" spans="1:5" x14ac:dyDescent="0.25">
      <c r="A672" s="2">
        <v>665</v>
      </c>
      <c r="B672" s="4">
        <v>28184</v>
      </c>
      <c r="C672" s="3">
        <v>2.1456103783032203</v>
      </c>
      <c r="D672" s="3">
        <f t="shared" si="20"/>
        <v>28</v>
      </c>
      <c r="E672" s="2">
        <f t="shared" si="21"/>
        <v>119.16117142312099</v>
      </c>
    </row>
    <row r="673" spans="1:5" x14ac:dyDescent="0.25">
      <c r="A673" s="2">
        <v>666</v>
      </c>
      <c r="B673" s="4">
        <v>28215</v>
      </c>
      <c r="C673" s="3">
        <v>2.8120129101343267</v>
      </c>
      <c r="D673" s="3">
        <f t="shared" si="20"/>
        <v>31</v>
      </c>
      <c r="E673" s="2">
        <f t="shared" si="21"/>
        <v>172.90393430908588</v>
      </c>
    </row>
    <row r="674" spans="1:5" x14ac:dyDescent="0.25">
      <c r="A674" s="2">
        <v>667</v>
      </c>
      <c r="B674" s="4">
        <v>28245</v>
      </c>
      <c r="C674" s="3">
        <v>2.8869532085326983</v>
      </c>
      <c r="D674" s="3">
        <f t="shared" si="20"/>
        <v>30</v>
      </c>
      <c r="E674" s="2">
        <f t="shared" si="21"/>
        <v>171.78564546640851</v>
      </c>
    </row>
    <row r="675" spans="1:5" x14ac:dyDescent="0.25">
      <c r="A675" s="2">
        <v>668</v>
      </c>
      <c r="B675" s="4">
        <v>28276</v>
      </c>
      <c r="C675" s="3">
        <v>4.1218765986489716</v>
      </c>
      <c r="D675" s="3">
        <f t="shared" si="20"/>
        <v>31</v>
      </c>
      <c r="E675" s="2">
        <f t="shared" si="21"/>
        <v>253.44431317312686</v>
      </c>
    </row>
    <row r="676" spans="1:5" x14ac:dyDescent="0.25">
      <c r="A676" s="2">
        <v>669</v>
      </c>
      <c r="B676" s="4">
        <v>28306</v>
      </c>
      <c r="C676" s="3">
        <v>5.6010957915454673</v>
      </c>
      <c r="D676" s="3">
        <f t="shared" si="20"/>
        <v>30</v>
      </c>
      <c r="E676" s="2">
        <f t="shared" si="21"/>
        <v>333.28834462088736</v>
      </c>
    </row>
    <row r="677" spans="1:5" x14ac:dyDescent="0.25">
      <c r="A677" s="2">
        <v>670</v>
      </c>
      <c r="B677" s="4">
        <v>28337</v>
      </c>
      <c r="C677" s="3">
        <v>6.9550518014755225</v>
      </c>
      <c r="D677" s="3">
        <f t="shared" si="20"/>
        <v>31</v>
      </c>
      <c r="E677" s="2">
        <f t="shared" si="21"/>
        <v>427.64946614031317</v>
      </c>
    </row>
    <row r="678" spans="1:5" x14ac:dyDescent="0.25">
      <c r="A678" s="2">
        <v>671</v>
      </c>
      <c r="B678" s="4">
        <v>28368</v>
      </c>
      <c r="C678" s="3">
        <v>7.604321289810323</v>
      </c>
      <c r="D678" s="3">
        <f t="shared" si="20"/>
        <v>31</v>
      </c>
      <c r="E678" s="2">
        <f t="shared" si="21"/>
        <v>467.57149087759342</v>
      </c>
    </row>
    <row r="679" spans="1:5" x14ac:dyDescent="0.25">
      <c r="A679" s="2">
        <v>672</v>
      </c>
      <c r="B679" s="4">
        <v>28398</v>
      </c>
      <c r="C679" s="3">
        <v>6.6277937415059194</v>
      </c>
      <c r="D679" s="3">
        <f t="shared" si="20"/>
        <v>30</v>
      </c>
      <c r="E679" s="2">
        <f t="shared" si="21"/>
        <v>394.38111519704643</v>
      </c>
    </row>
    <row r="680" spans="1:5" x14ac:dyDescent="0.25">
      <c r="A680" s="2">
        <v>673</v>
      </c>
      <c r="B680" s="4">
        <v>28429</v>
      </c>
      <c r="C680" s="3">
        <v>4.367811868750195</v>
      </c>
      <c r="D680" s="3">
        <f t="shared" si="20"/>
        <v>31</v>
      </c>
      <c r="E680" s="2">
        <f t="shared" si="21"/>
        <v>268.56628350001193</v>
      </c>
    </row>
    <row r="681" spans="1:5" x14ac:dyDescent="0.25">
      <c r="A681" s="2">
        <v>674</v>
      </c>
      <c r="B681" s="4">
        <v>28459</v>
      </c>
      <c r="C681" s="3">
        <v>2.8666225868031994</v>
      </c>
      <c r="D681" s="3">
        <f t="shared" si="20"/>
        <v>30</v>
      </c>
      <c r="E681" s="2">
        <f t="shared" si="21"/>
        <v>170.57588946266972</v>
      </c>
    </row>
    <row r="682" spans="1:5" x14ac:dyDescent="0.25">
      <c r="A682" s="2">
        <v>675</v>
      </c>
      <c r="B682" s="4">
        <v>28490</v>
      </c>
      <c r="C682" s="3">
        <v>2.2822801303689233</v>
      </c>
      <c r="D682" s="3">
        <f t="shared" si="20"/>
        <v>31</v>
      </c>
      <c r="E682" s="2">
        <f t="shared" si="21"/>
        <v>140.33193528879994</v>
      </c>
    </row>
    <row r="683" spans="1:5" x14ac:dyDescent="0.25">
      <c r="A683" s="2">
        <v>676</v>
      </c>
      <c r="B683" s="4">
        <v>28521</v>
      </c>
      <c r="C683" s="3">
        <v>2.1740685001168245</v>
      </c>
      <c r="D683" s="3">
        <f t="shared" si="20"/>
        <v>31</v>
      </c>
      <c r="E683" s="2">
        <f t="shared" si="21"/>
        <v>133.67826149478657</v>
      </c>
    </row>
    <row r="684" spans="1:5" x14ac:dyDescent="0.25">
      <c r="A684" s="2">
        <v>677</v>
      </c>
      <c r="B684" s="4">
        <v>28549</v>
      </c>
      <c r="C684" s="3">
        <v>11.31757526048076</v>
      </c>
      <c r="D684" s="3">
        <f t="shared" si="20"/>
        <v>28</v>
      </c>
      <c r="E684" s="2">
        <f t="shared" si="21"/>
        <v>628.54632851595625</v>
      </c>
    </row>
    <row r="685" spans="1:5" x14ac:dyDescent="0.25">
      <c r="A685" s="2">
        <v>678</v>
      </c>
      <c r="B685" s="4">
        <v>28580</v>
      </c>
      <c r="C685" s="3">
        <v>17.797363864775882</v>
      </c>
      <c r="D685" s="3">
        <f t="shared" si="20"/>
        <v>31</v>
      </c>
      <c r="E685" s="2">
        <f t="shared" si="21"/>
        <v>1094.3172492060542</v>
      </c>
    </row>
    <row r="686" spans="1:5" x14ac:dyDescent="0.25">
      <c r="A686" s="2">
        <v>679</v>
      </c>
      <c r="B686" s="4">
        <v>28610</v>
      </c>
      <c r="C686" s="3">
        <v>26.245029168479068</v>
      </c>
      <c r="D686" s="3">
        <f t="shared" si="20"/>
        <v>30</v>
      </c>
      <c r="E686" s="2">
        <f t="shared" si="21"/>
        <v>1561.6876860582588</v>
      </c>
    </row>
    <row r="687" spans="1:5" x14ac:dyDescent="0.25">
      <c r="A687" s="2">
        <v>680</v>
      </c>
      <c r="B687" s="4">
        <v>28641</v>
      </c>
      <c r="C687" s="3">
        <v>37.471605442263389</v>
      </c>
      <c r="D687" s="3">
        <f t="shared" si="20"/>
        <v>31</v>
      </c>
      <c r="E687" s="2">
        <f t="shared" si="21"/>
        <v>2304.0392106647901</v>
      </c>
    </row>
    <row r="688" spans="1:5" x14ac:dyDescent="0.25">
      <c r="A688" s="2">
        <v>681</v>
      </c>
      <c r="B688" s="4">
        <v>28671</v>
      </c>
      <c r="C688" s="3">
        <v>50.919052650413349</v>
      </c>
      <c r="D688" s="3">
        <f t="shared" si="20"/>
        <v>30</v>
      </c>
      <c r="E688" s="2">
        <f t="shared" si="21"/>
        <v>3029.8940420080667</v>
      </c>
    </row>
    <row r="689" spans="1:5" x14ac:dyDescent="0.25">
      <c r="A689" s="2">
        <v>682</v>
      </c>
      <c r="B689" s="4">
        <v>28702</v>
      </c>
      <c r="C689" s="3">
        <v>63.22774364977748</v>
      </c>
      <c r="D689" s="3">
        <f t="shared" si="20"/>
        <v>31</v>
      </c>
      <c r="E689" s="2">
        <f t="shared" si="21"/>
        <v>3887.7224194573919</v>
      </c>
    </row>
    <row r="690" spans="1:5" x14ac:dyDescent="0.25">
      <c r="A690" s="2">
        <v>683</v>
      </c>
      <c r="B690" s="4">
        <v>28733</v>
      </c>
      <c r="C690" s="3">
        <v>69.130193543730172</v>
      </c>
      <c r="D690" s="3">
        <f t="shared" si="20"/>
        <v>31</v>
      </c>
      <c r="E690" s="2">
        <f t="shared" si="21"/>
        <v>4250.6499170690286</v>
      </c>
    </row>
    <row r="691" spans="1:5" x14ac:dyDescent="0.25">
      <c r="A691" s="2">
        <v>684</v>
      </c>
      <c r="B691" s="4">
        <v>28763</v>
      </c>
      <c r="C691" s="3">
        <v>60.252670377326517</v>
      </c>
      <c r="D691" s="3">
        <f t="shared" si="20"/>
        <v>30</v>
      </c>
      <c r="E691" s="2">
        <f t="shared" si="21"/>
        <v>3585.2828654276937</v>
      </c>
    </row>
    <row r="692" spans="1:5" x14ac:dyDescent="0.25">
      <c r="A692" s="2">
        <v>685</v>
      </c>
      <c r="B692" s="4">
        <v>28794</v>
      </c>
      <c r="C692" s="3">
        <v>39.707380625001761</v>
      </c>
      <c r="D692" s="3">
        <f t="shared" si="20"/>
        <v>31</v>
      </c>
      <c r="E692" s="2">
        <f t="shared" si="21"/>
        <v>2441.5116681819263</v>
      </c>
    </row>
    <row r="693" spans="1:5" x14ac:dyDescent="0.25">
      <c r="A693" s="2">
        <v>686</v>
      </c>
      <c r="B693" s="4">
        <v>28824</v>
      </c>
      <c r="C693" s="3">
        <v>26.060205334574544</v>
      </c>
      <c r="D693" s="3">
        <f t="shared" si="20"/>
        <v>30</v>
      </c>
      <c r="E693" s="2">
        <f t="shared" si="21"/>
        <v>1550.6899042060884</v>
      </c>
    </row>
    <row r="694" spans="1:5" x14ac:dyDescent="0.25">
      <c r="A694" s="2">
        <v>687</v>
      </c>
      <c r="B694" s="4">
        <v>28855</v>
      </c>
      <c r="C694" s="3">
        <v>20.748001185172026</v>
      </c>
      <c r="D694" s="3">
        <f t="shared" si="20"/>
        <v>31</v>
      </c>
      <c r="E694" s="2">
        <f t="shared" si="21"/>
        <v>1275.7448662618172</v>
      </c>
    </row>
    <row r="695" spans="1:5" x14ac:dyDescent="0.25">
      <c r="A695" s="2">
        <v>688</v>
      </c>
      <c r="B695" s="4">
        <v>28886</v>
      </c>
      <c r="C695" s="3">
        <v>2.174068500116825</v>
      </c>
      <c r="D695" s="3">
        <f t="shared" si="20"/>
        <v>31</v>
      </c>
      <c r="E695" s="2">
        <f t="shared" si="21"/>
        <v>133.67826149478657</v>
      </c>
    </row>
    <row r="696" spans="1:5" x14ac:dyDescent="0.25">
      <c r="A696" s="2">
        <v>689</v>
      </c>
      <c r="B696" s="4">
        <v>28914</v>
      </c>
      <c r="C696" s="3">
        <v>2.8375766070536863</v>
      </c>
      <c r="D696" s="3">
        <f t="shared" si="20"/>
        <v>28</v>
      </c>
      <c r="E696" s="2">
        <f t="shared" si="21"/>
        <v>157.59103140000636</v>
      </c>
    </row>
    <row r="697" spans="1:5" x14ac:dyDescent="0.25">
      <c r="A697" s="2">
        <v>690</v>
      </c>
      <c r="B697" s="4">
        <v>28945</v>
      </c>
      <c r="C697" s="3">
        <v>11.936355930751994</v>
      </c>
      <c r="D697" s="3">
        <f t="shared" si="20"/>
        <v>31</v>
      </c>
      <c r="E697" s="2">
        <f t="shared" si="21"/>
        <v>733.93791838673417</v>
      </c>
    </row>
    <row r="698" spans="1:5" x14ac:dyDescent="0.25">
      <c r="A698" s="2">
        <v>691</v>
      </c>
      <c r="B698" s="4">
        <v>28975</v>
      </c>
      <c r="C698" s="3">
        <v>26.245029168479068</v>
      </c>
      <c r="D698" s="3">
        <f t="shared" si="20"/>
        <v>30</v>
      </c>
      <c r="E698" s="2">
        <f t="shared" si="21"/>
        <v>1561.6876860582588</v>
      </c>
    </row>
    <row r="699" spans="1:5" x14ac:dyDescent="0.25">
      <c r="A699" s="2">
        <v>692</v>
      </c>
      <c r="B699" s="4">
        <v>29006</v>
      </c>
      <c r="C699" s="3">
        <v>37.47160544226341</v>
      </c>
      <c r="D699" s="3">
        <f t="shared" si="20"/>
        <v>31</v>
      </c>
      <c r="E699" s="2">
        <f t="shared" si="21"/>
        <v>2304.0392106647914</v>
      </c>
    </row>
    <row r="700" spans="1:5" x14ac:dyDescent="0.25">
      <c r="A700" s="2">
        <v>693</v>
      </c>
      <c r="B700" s="4">
        <v>29036</v>
      </c>
      <c r="C700" s="3">
        <v>50.919052650413349</v>
      </c>
      <c r="D700" s="3">
        <f t="shared" si="20"/>
        <v>30</v>
      </c>
      <c r="E700" s="2">
        <f t="shared" si="21"/>
        <v>3029.8940420080667</v>
      </c>
    </row>
    <row r="701" spans="1:5" x14ac:dyDescent="0.25">
      <c r="A701" s="2">
        <v>694</v>
      </c>
      <c r="B701" s="4">
        <v>29067</v>
      </c>
      <c r="C701" s="3">
        <v>63.227743649777452</v>
      </c>
      <c r="D701" s="3">
        <f t="shared" si="20"/>
        <v>31</v>
      </c>
      <c r="E701" s="2">
        <f t="shared" si="21"/>
        <v>3887.7224194573901</v>
      </c>
    </row>
    <row r="702" spans="1:5" x14ac:dyDescent="0.25">
      <c r="A702" s="2">
        <v>695</v>
      </c>
      <c r="B702" s="4">
        <v>29098</v>
      </c>
      <c r="C702" s="3">
        <v>69.13019354373013</v>
      </c>
      <c r="D702" s="3">
        <f t="shared" si="20"/>
        <v>31</v>
      </c>
      <c r="E702" s="2">
        <f t="shared" si="21"/>
        <v>4250.6499170690258</v>
      </c>
    </row>
    <row r="703" spans="1:5" x14ac:dyDescent="0.25">
      <c r="A703" s="2">
        <v>696</v>
      </c>
      <c r="B703" s="4">
        <v>29128</v>
      </c>
      <c r="C703" s="3">
        <v>60.252670377326524</v>
      </c>
      <c r="D703" s="3">
        <f t="shared" si="20"/>
        <v>30</v>
      </c>
      <c r="E703" s="2">
        <f t="shared" si="21"/>
        <v>3585.2828654276946</v>
      </c>
    </row>
    <row r="704" spans="1:5" x14ac:dyDescent="0.25">
      <c r="A704" s="2">
        <v>697</v>
      </c>
      <c r="B704" s="4">
        <v>29159</v>
      </c>
      <c r="C704" s="3">
        <v>39.707380625001747</v>
      </c>
      <c r="D704" s="3">
        <f t="shared" si="20"/>
        <v>31</v>
      </c>
      <c r="E704" s="2">
        <f t="shared" si="21"/>
        <v>2441.5116681819254</v>
      </c>
    </row>
    <row r="705" spans="1:5" x14ac:dyDescent="0.25">
      <c r="A705" s="2">
        <v>698</v>
      </c>
      <c r="B705" s="4">
        <v>29189</v>
      </c>
      <c r="C705" s="3">
        <v>26.060205334574526</v>
      </c>
      <c r="D705" s="3">
        <f t="shared" si="20"/>
        <v>30</v>
      </c>
      <c r="E705" s="2">
        <f t="shared" si="21"/>
        <v>1550.6899042060877</v>
      </c>
    </row>
    <row r="706" spans="1:5" x14ac:dyDescent="0.25">
      <c r="A706" s="2">
        <v>699</v>
      </c>
      <c r="B706" s="4">
        <v>29220</v>
      </c>
      <c r="C706" s="3">
        <v>20.748001185172029</v>
      </c>
      <c r="D706" s="3">
        <f t="shared" si="20"/>
        <v>31</v>
      </c>
      <c r="E706" s="2">
        <f t="shared" si="21"/>
        <v>1275.7448662618174</v>
      </c>
    </row>
    <row r="707" spans="1:5" x14ac:dyDescent="0.25">
      <c r="A707" s="2">
        <v>700</v>
      </c>
      <c r="B707" s="4">
        <v>29251</v>
      </c>
      <c r="C707" s="3">
        <v>14.427460754789312</v>
      </c>
      <c r="D707" s="3">
        <f t="shared" si="20"/>
        <v>31</v>
      </c>
      <c r="E707" s="2">
        <f t="shared" si="21"/>
        <v>887.10998360026849</v>
      </c>
    </row>
    <row r="708" spans="1:5" x14ac:dyDescent="0.25">
      <c r="A708" s="2">
        <v>701</v>
      </c>
      <c r="B708" s="4">
        <v>29280</v>
      </c>
      <c r="C708" s="3">
        <v>18.832943759401314</v>
      </c>
      <c r="D708" s="3">
        <f t="shared" si="20"/>
        <v>29</v>
      </c>
      <c r="E708" s="2">
        <f t="shared" si="21"/>
        <v>1083.2833765738276</v>
      </c>
    </row>
    <row r="709" spans="1:5" x14ac:dyDescent="0.25">
      <c r="A709" s="2">
        <v>702</v>
      </c>
      <c r="B709" s="4">
        <v>29311</v>
      </c>
      <c r="C709" s="3">
        <v>21.374017729940761</v>
      </c>
      <c r="D709" s="3">
        <f t="shared" si="20"/>
        <v>31</v>
      </c>
      <c r="E709" s="2">
        <f t="shared" si="21"/>
        <v>1314.2371232294154</v>
      </c>
    </row>
    <row r="710" spans="1:5" x14ac:dyDescent="0.25">
      <c r="A710" s="2">
        <v>703</v>
      </c>
      <c r="B710" s="4">
        <v>29341</v>
      </c>
      <c r="C710" s="3">
        <v>26.245029168479075</v>
      </c>
      <c r="D710" s="3">
        <f t="shared" si="20"/>
        <v>30</v>
      </c>
      <c r="E710" s="2">
        <f t="shared" si="21"/>
        <v>1561.687686058259</v>
      </c>
    </row>
    <row r="711" spans="1:5" x14ac:dyDescent="0.25">
      <c r="A711" s="2">
        <v>704</v>
      </c>
      <c r="B711" s="4">
        <v>29372</v>
      </c>
      <c r="C711" s="3">
        <v>37.471605442263403</v>
      </c>
      <c r="D711" s="3">
        <f t="shared" si="20"/>
        <v>31</v>
      </c>
      <c r="E711" s="2">
        <f t="shared" si="21"/>
        <v>2304.039210664791</v>
      </c>
    </row>
    <row r="712" spans="1:5" x14ac:dyDescent="0.25">
      <c r="A712" s="2">
        <v>705</v>
      </c>
      <c r="B712" s="4">
        <v>29402</v>
      </c>
      <c r="C712" s="3">
        <v>50.919052650413327</v>
      </c>
      <c r="D712" s="3">
        <f t="shared" si="20"/>
        <v>30</v>
      </c>
      <c r="E712" s="2">
        <f t="shared" si="21"/>
        <v>3029.8940420080662</v>
      </c>
    </row>
    <row r="713" spans="1:5" x14ac:dyDescent="0.25">
      <c r="A713" s="2">
        <v>706</v>
      </c>
      <c r="B713" s="4">
        <v>29433</v>
      </c>
      <c r="C713" s="3">
        <v>63.227743649777452</v>
      </c>
      <c r="D713" s="3">
        <f t="shared" ref="D713:D776" si="22">DAY(EOMONTH(B713,0))</f>
        <v>31</v>
      </c>
      <c r="E713" s="2">
        <f t="shared" ref="E713:E776" si="23">C713*D713*86400/43560</f>
        <v>3887.7224194573901</v>
      </c>
    </row>
    <row r="714" spans="1:5" x14ac:dyDescent="0.25">
      <c r="A714" s="2">
        <v>707</v>
      </c>
      <c r="B714" s="4">
        <v>29464</v>
      </c>
      <c r="C714" s="3">
        <v>69.130193543730144</v>
      </c>
      <c r="D714" s="3">
        <f t="shared" si="22"/>
        <v>31</v>
      </c>
      <c r="E714" s="2">
        <f t="shared" si="23"/>
        <v>4250.6499170690277</v>
      </c>
    </row>
    <row r="715" spans="1:5" x14ac:dyDescent="0.25">
      <c r="A715" s="2">
        <v>708</v>
      </c>
      <c r="B715" s="4">
        <v>29494</v>
      </c>
      <c r="C715" s="3">
        <v>60.25267037732651</v>
      </c>
      <c r="D715" s="3">
        <f t="shared" si="22"/>
        <v>30</v>
      </c>
      <c r="E715" s="2">
        <f t="shared" si="23"/>
        <v>3585.2828654276932</v>
      </c>
    </row>
    <row r="716" spans="1:5" x14ac:dyDescent="0.25">
      <c r="A716" s="2">
        <v>709</v>
      </c>
      <c r="B716" s="4">
        <v>29525</v>
      </c>
      <c r="C716" s="3">
        <v>39.707380625001754</v>
      </c>
      <c r="D716" s="3">
        <f t="shared" si="22"/>
        <v>31</v>
      </c>
      <c r="E716" s="2">
        <f t="shared" si="23"/>
        <v>2441.5116681819259</v>
      </c>
    </row>
    <row r="717" spans="1:5" x14ac:dyDescent="0.25">
      <c r="A717" s="2">
        <v>710</v>
      </c>
      <c r="B717" s="4">
        <v>29555</v>
      </c>
      <c r="C717" s="3">
        <v>26.060205334574533</v>
      </c>
      <c r="D717" s="3">
        <f t="shared" si="22"/>
        <v>30</v>
      </c>
      <c r="E717" s="2">
        <f t="shared" si="23"/>
        <v>1550.6899042060877</v>
      </c>
    </row>
    <row r="718" spans="1:5" x14ac:dyDescent="0.25">
      <c r="A718" s="2">
        <v>711</v>
      </c>
      <c r="B718" s="4">
        <v>29586</v>
      </c>
      <c r="C718" s="3">
        <v>20.748001185172026</v>
      </c>
      <c r="D718" s="3">
        <f t="shared" si="22"/>
        <v>31</v>
      </c>
      <c r="E718" s="2">
        <f t="shared" si="23"/>
        <v>1275.7448662618172</v>
      </c>
    </row>
    <row r="719" spans="1:5" x14ac:dyDescent="0.25">
      <c r="A719" s="2">
        <v>712</v>
      </c>
      <c r="B719" s="4">
        <v>29617</v>
      </c>
      <c r="C719" s="3">
        <v>2.174068500116825</v>
      </c>
      <c r="D719" s="3">
        <f t="shared" si="22"/>
        <v>31</v>
      </c>
      <c r="E719" s="2">
        <f t="shared" si="23"/>
        <v>133.67826149478657</v>
      </c>
    </row>
    <row r="720" spans="1:5" x14ac:dyDescent="0.25">
      <c r="A720" s="2">
        <v>713</v>
      </c>
      <c r="B720" s="4">
        <v>29645</v>
      </c>
      <c r="C720" s="3">
        <v>2.1456103783032217</v>
      </c>
      <c r="D720" s="3">
        <f t="shared" si="22"/>
        <v>28</v>
      </c>
      <c r="E720" s="2">
        <f t="shared" si="23"/>
        <v>119.16117142312108</v>
      </c>
    </row>
    <row r="721" spans="1:5" x14ac:dyDescent="0.25">
      <c r="A721" s="2">
        <v>714</v>
      </c>
      <c r="B721" s="4">
        <v>29676</v>
      </c>
      <c r="C721" s="3">
        <v>3.4921060584100561</v>
      </c>
      <c r="D721" s="3">
        <f t="shared" si="22"/>
        <v>31</v>
      </c>
      <c r="E721" s="2">
        <f t="shared" si="23"/>
        <v>214.72123202124641</v>
      </c>
    </row>
    <row r="722" spans="1:5" x14ac:dyDescent="0.25">
      <c r="A722" s="2">
        <v>715</v>
      </c>
      <c r="B722" s="4">
        <v>29706</v>
      </c>
      <c r="C722" s="3">
        <v>15.50896594291925</v>
      </c>
      <c r="D722" s="3">
        <f t="shared" si="22"/>
        <v>30</v>
      </c>
      <c r="E722" s="2">
        <f t="shared" si="23"/>
        <v>922.84756023982322</v>
      </c>
    </row>
    <row r="723" spans="1:5" x14ac:dyDescent="0.25">
      <c r="A723" s="2">
        <v>716</v>
      </c>
      <c r="B723" s="4">
        <v>29737</v>
      </c>
      <c r="C723" s="3">
        <v>22.143082749115063</v>
      </c>
      <c r="D723" s="3">
        <f t="shared" si="22"/>
        <v>31</v>
      </c>
      <c r="E723" s="2">
        <f t="shared" si="23"/>
        <v>1361.5250880447611</v>
      </c>
    </row>
    <row r="724" spans="1:5" x14ac:dyDescent="0.25">
      <c r="A724" s="2">
        <v>717</v>
      </c>
      <c r="B724" s="4">
        <v>29767</v>
      </c>
      <c r="C724" s="3">
        <v>30.089578042817479</v>
      </c>
      <c r="D724" s="3">
        <f t="shared" si="22"/>
        <v>30</v>
      </c>
      <c r="E724" s="2">
        <f t="shared" si="23"/>
        <v>1790.4542306469905</v>
      </c>
    </row>
    <row r="725" spans="1:5" x14ac:dyDescent="0.25">
      <c r="A725" s="2">
        <v>718</v>
      </c>
      <c r="B725" s="4">
        <v>29798</v>
      </c>
      <c r="C725" s="3">
        <v>37.363148526797936</v>
      </c>
      <c r="D725" s="3">
        <f t="shared" si="22"/>
        <v>31</v>
      </c>
      <c r="E725" s="2">
        <f t="shared" si="23"/>
        <v>2297.3704548708815</v>
      </c>
    </row>
    <row r="726" spans="1:5" x14ac:dyDescent="0.25">
      <c r="A726" s="2">
        <v>719</v>
      </c>
      <c r="B726" s="4">
        <v>29829</v>
      </c>
      <c r="C726" s="3">
        <v>40.851081186253424</v>
      </c>
      <c r="D726" s="3">
        <f t="shared" si="22"/>
        <v>31</v>
      </c>
      <c r="E726" s="2">
        <f t="shared" si="23"/>
        <v>2511.8350745927728</v>
      </c>
    </row>
    <row r="727" spans="1:5" x14ac:dyDescent="0.25">
      <c r="A727" s="2">
        <v>720</v>
      </c>
      <c r="B727" s="4">
        <v>29859</v>
      </c>
      <c r="C727" s="3">
        <v>35.60508951440611</v>
      </c>
      <c r="D727" s="3">
        <f t="shared" si="22"/>
        <v>30</v>
      </c>
      <c r="E727" s="2">
        <f t="shared" si="23"/>
        <v>2118.6499545762313</v>
      </c>
    </row>
    <row r="728" spans="1:5" x14ac:dyDescent="0.25">
      <c r="A728" s="2">
        <v>721</v>
      </c>
      <c r="B728" s="4">
        <v>29890</v>
      </c>
      <c r="C728" s="3">
        <v>23.464268598920043</v>
      </c>
      <c r="D728" s="3">
        <f t="shared" si="22"/>
        <v>31</v>
      </c>
      <c r="E728" s="2">
        <f t="shared" si="23"/>
        <v>1442.7616394707861</v>
      </c>
    </row>
    <row r="729" spans="1:5" x14ac:dyDescent="0.25">
      <c r="A729" s="2">
        <v>722</v>
      </c>
      <c r="B729" s="4">
        <v>29920</v>
      </c>
      <c r="C729" s="3">
        <v>15.399748059141549</v>
      </c>
      <c r="D729" s="3">
        <f t="shared" si="22"/>
        <v>30</v>
      </c>
      <c r="E729" s="2">
        <f t="shared" si="23"/>
        <v>916.34864484148045</v>
      </c>
    </row>
    <row r="730" spans="1:5" x14ac:dyDescent="0.25">
      <c r="A730" s="2">
        <v>723</v>
      </c>
      <c r="B730" s="4">
        <v>29951</v>
      </c>
      <c r="C730" s="3">
        <v>12.260609111875052</v>
      </c>
      <c r="D730" s="3">
        <f t="shared" si="22"/>
        <v>31</v>
      </c>
      <c r="E730" s="2">
        <f t="shared" si="23"/>
        <v>753.87546935826765</v>
      </c>
    </row>
    <row r="731" spans="1:5" x14ac:dyDescent="0.25">
      <c r="A731" s="2">
        <v>724</v>
      </c>
      <c r="B731" s="4">
        <v>29982</v>
      </c>
      <c r="C731" s="3">
        <v>19.764259091971134</v>
      </c>
      <c r="D731" s="3">
        <f t="shared" si="22"/>
        <v>31</v>
      </c>
      <c r="E731" s="2">
        <f t="shared" si="23"/>
        <v>1215.256922679878</v>
      </c>
    </row>
    <row r="732" spans="1:5" x14ac:dyDescent="0.25">
      <c r="A732" s="2">
        <v>725</v>
      </c>
      <c r="B732" s="4">
        <v>30010</v>
      </c>
      <c r="C732" s="3">
        <v>19.505548893665647</v>
      </c>
      <c r="D732" s="3">
        <f t="shared" si="22"/>
        <v>28</v>
      </c>
      <c r="E732" s="2">
        <f t="shared" si="23"/>
        <v>1083.2833765738276</v>
      </c>
    </row>
    <row r="733" spans="1:5" x14ac:dyDescent="0.25">
      <c r="A733" s="2">
        <v>726</v>
      </c>
      <c r="B733" s="4">
        <v>30041</v>
      </c>
      <c r="C733" s="3">
        <v>21.374017729940761</v>
      </c>
      <c r="D733" s="3">
        <f t="shared" si="22"/>
        <v>31</v>
      </c>
      <c r="E733" s="2">
        <f t="shared" si="23"/>
        <v>1314.2371232294154</v>
      </c>
    </row>
    <row r="734" spans="1:5" x14ac:dyDescent="0.25">
      <c r="A734" s="2">
        <v>727</v>
      </c>
      <c r="B734" s="4">
        <v>30071</v>
      </c>
      <c r="C734" s="3">
        <v>26.245029168479064</v>
      </c>
      <c r="D734" s="3">
        <f t="shared" si="22"/>
        <v>30</v>
      </c>
      <c r="E734" s="2">
        <f t="shared" si="23"/>
        <v>1561.6876860582584</v>
      </c>
    </row>
    <row r="735" spans="1:5" x14ac:dyDescent="0.25">
      <c r="A735" s="2">
        <v>728</v>
      </c>
      <c r="B735" s="4">
        <v>30102</v>
      </c>
      <c r="C735" s="3">
        <v>37.471605442263403</v>
      </c>
      <c r="D735" s="3">
        <f t="shared" si="22"/>
        <v>31</v>
      </c>
      <c r="E735" s="2">
        <f t="shared" si="23"/>
        <v>2304.039210664791</v>
      </c>
    </row>
    <row r="736" spans="1:5" x14ac:dyDescent="0.25">
      <c r="A736" s="2">
        <v>729</v>
      </c>
      <c r="B736" s="4">
        <v>30132</v>
      </c>
      <c r="C736" s="3">
        <v>50.919052650413342</v>
      </c>
      <c r="D736" s="3">
        <f t="shared" si="22"/>
        <v>30</v>
      </c>
      <c r="E736" s="2">
        <f t="shared" si="23"/>
        <v>3029.8940420080662</v>
      </c>
    </row>
    <row r="737" spans="1:5" x14ac:dyDescent="0.25">
      <c r="A737" s="2">
        <v>730</v>
      </c>
      <c r="B737" s="4">
        <v>30163</v>
      </c>
      <c r="C737" s="3">
        <v>63.227743649777466</v>
      </c>
      <c r="D737" s="3">
        <f t="shared" si="22"/>
        <v>31</v>
      </c>
      <c r="E737" s="2">
        <f t="shared" si="23"/>
        <v>3887.7224194573914</v>
      </c>
    </row>
    <row r="738" spans="1:5" x14ac:dyDescent="0.25">
      <c r="A738" s="2">
        <v>731</v>
      </c>
      <c r="B738" s="4">
        <v>30194</v>
      </c>
      <c r="C738" s="3">
        <v>69.130193543730186</v>
      </c>
      <c r="D738" s="3">
        <f t="shared" si="22"/>
        <v>31</v>
      </c>
      <c r="E738" s="2">
        <f t="shared" si="23"/>
        <v>4250.6499170690304</v>
      </c>
    </row>
    <row r="739" spans="1:5" x14ac:dyDescent="0.25">
      <c r="A739" s="2">
        <v>732</v>
      </c>
      <c r="B739" s="4">
        <v>30224</v>
      </c>
      <c r="C739" s="3">
        <v>60.252670377326503</v>
      </c>
      <c r="D739" s="3">
        <f t="shared" si="22"/>
        <v>30</v>
      </c>
      <c r="E739" s="2">
        <f t="shared" si="23"/>
        <v>3585.2828654276932</v>
      </c>
    </row>
    <row r="740" spans="1:5" x14ac:dyDescent="0.25">
      <c r="A740" s="2">
        <v>733</v>
      </c>
      <c r="B740" s="4">
        <v>30255</v>
      </c>
      <c r="C740" s="3">
        <v>39.707380625001768</v>
      </c>
      <c r="D740" s="3">
        <f t="shared" si="22"/>
        <v>31</v>
      </c>
      <c r="E740" s="2">
        <f t="shared" si="23"/>
        <v>2441.5116681819268</v>
      </c>
    </row>
    <row r="741" spans="1:5" x14ac:dyDescent="0.25">
      <c r="A741" s="2">
        <v>734</v>
      </c>
      <c r="B741" s="4">
        <v>30285</v>
      </c>
      <c r="C741" s="3">
        <v>26.06020533457453</v>
      </c>
      <c r="D741" s="3">
        <f t="shared" si="22"/>
        <v>30</v>
      </c>
      <c r="E741" s="2">
        <f t="shared" si="23"/>
        <v>1550.6899042060877</v>
      </c>
    </row>
    <row r="742" spans="1:5" x14ac:dyDescent="0.25">
      <c r="A742" s="2">
        <v>735</v>
      </c>
      <c r="B742" s="4">
        <v>30316</v>
      </c>
      <c r="C742" s="3">
        <v>20.748001185172026</v>
      </c>
      <c r="D742" s="3">
        <f t="shared" si="22"/>
        <v>31</v>
      </c>
      <c r="E742" s="2">
        <f t="shared" si="23"/>
        <v>1275.7448662618172</v>
      </c>
    </row>
    <row r="743" spans="1:5" x14ac:dyDescent="0.25">
      <c r="A743" s="2">
        <v>736</v>
      </c>
      <c r="B743" s="4">
        <v>30347</v>
      </c>
      <c r="C743" s="3">
        <v>19.76425909197113</v>
      </c>
      <c r="D743" s="3">
        <f t="shared" si="22"/>
        <v>31</v>
      </c>
      <c r="E743" s="2">
        <f t="shared" si="23"/>
        <v>1215.2569226798778</v>
      </c>
    </row>
    <row r="744" spans="1:5" x14ac:dyDescent="0.25">
      <c r="A744" s="2">
        <v>737</v>
      </c>
      <c r="B744" s="4">
        <v>30375</v>
      </c>
      <c r="C744" s="3">
        <v>19.505548893665644</v>
      </c>
      <c r="D744" s="3">
        <f t="shared" si="22"/>
        <v>28</v>
      </c>
      <c r="E744" s="2">
        <f t="shared" si="23"/>
        <v>1083.2833765738276</v>
      </c>
    </row>
    <row r="745" spans="1:5" x14ac:dyDescent="0.25">
      <c r="A745" s="2">
        <v>738</v>
      </c>
      <c r="B745" s="4">
        <v>30406</v>
      </c>
      <c r="C745" s="3">
        <v>21.374017729940764</v>
      </c>
      <c r="D745" s="3">
        <f t="shared" si="22"/>
        <v>31</v>
      </c>
      <c r="E745" s="2">
        <f t="shared" si="23"/>
        <v>1314.2371232294156</v>
      </c>
    </row>
    <row r="746" spans="1:5" x14ac:dyDescent="0.25">
      <c r="A746" s="2">
        <v>739</v>
      </c>
      <c r="B746" s="4">
        <v>30436</v>
      </c>
      <c r="C746" s="3">
        <v>26.245029168479071</v>
      </c>
      <c r="D746" s="3">
        <f t="shared" si="22"/>
        <v>30</v>
      </c>
      <c r="E746" s="2">
        <f t="shared" si="23"/>
        <v>1561.687686058259</v>
      </c>
    </row>
    <row r="747" spans="1:5" x14ac:dyDescent="0.25">
      <c r="A747" s="2">
        <v>740</v>
      </c>
      <c r="B747" s="4">
        <v>30467</v>
      </c>
      <c r="C747" s="3">
        <v>37.471605442263396</v>
      </c>
      <c r="D747" s="3">
        <f t="shared" si="22"/>
        <v>31</v>
      </c>
      <c r="E747" s="2">
        <f t="shared" si="23"/>
        <v>2304.039210664791</v>
      </c>
    </row>
    <row r="748" spans="1:5" x14ac:dyDescent="0.25">
      <c r="A748" s="2">
        <v>741</v>
      </c>
      <c r="B748" s="4">
        <v>30497</v>
      </c>
      <c r="C748" s="3">
        <v>50.919052650413335</v>
      </c>
      <c r="D748" s="3">
        <f t="shared" si="22"/>
        <v>30</v>
      </c>
      <c r="E748" s="2">
        <f t="shared" si="23"/>
        <v>3029.8940420080662</v>
      </c>
    </row>
    <row r="749" spans="1:5" x14ac:dyDescent="0.25">
      <c r="A749" s="2">
        <v>742</v>
      </c>
      <c r="B749" s="4">
        <v>30528</v>
      </c>
      <c r="C749" s="3">
        <v>63.22774364977748</v>
      </c>
      <c r="D749" s="3">
        <f t="shared" si="22"/>
        <v>31</v>
      </c>
      <c r="E749" s="2">
        <f t="shared" si="23"/>
        <v>3887.7224194573919</v>
      </c>
    </row>
    <row r="750" spans="1:5" x14ac:dyDescent="0.25">
      <c r="A750" s="2">
        <v>743</v>
      </c>
      <c r="B750" s="4">
        <v>30559</v>
      </c>
      <c r="C750" s="3">
        <v>69.130193543730172</v>
      </c>
      <c r="D750" s="3">
        <f t="shared" si="22"/>
        <v>31</v>
      </c>
      <c r="E750" s="2">
        <f t="shared" si="23"/>
        <v>4250.6499170690286</v>
      </c>
    </row>
    <row r="751" spans="1:5" x14ac:dyDescent="0.25">
      <c r="A751" s="2">
        <v>744</v>
      </c>
      <c r="B751" s="4">
        <v>30589</v>
      </c>
      <c r="C751" s="3">
        <v>60.252670377326517</v>
      </c>
      <c r="D751" s="3">
        <f t="shared" si="22"/>
        <v>30</v>
      </c>
      <c r="E751" s="2">
        <f t="shared" si="23"/>
        <v>3585.2828654276937</v>
      </c>
    </row>
    <row r="752" spans="1:5" x14ac:dyDescent="0.25">
      <c r="A752" s="2">
        <v>745</v>
      </c>
      <c r="B752" s="4">
        <v>30620</v>
      </c>
      <c r="C752" s="3">
        <v>39.707380625001761</v>
      </c>
      <c r="D752" s="3">
        <f t="shared" si="22"/>
        <v>31</v>
      </c>
      <c r="E752" s="2">
        <f t="shared" si="23"/>
        <v>2441.5116681819263</v>
      </c>
    </row>
    <row r="753" spans="1:5" x14ac:dyDescent="0.25">
      <c r="A753" s="2">
        <v>746</v>
      </c>
      <c r="B753" s="4">
        <v>30650</v>
      </c>
      <c r="C753" s="3">
        <v>26.06020533457453</v>
      </c>
      <c r="D753" s="3">
        <f t="shared" si="22"/>
        <v>30</v>
      </c>
      <c r="E753" s="2">
        <f t="shared" si="23"/>
        <v>1550.6899042060877</v>
      </c>
    </row>
    <row r="754" spans="1:5" x14ac:dyDescent="0.25">
      <c r="A754" s="2">
        <v>747</v>
      </c>
      <c r="B754" s="4">
        <v>30681</v>
      </c>
      <c r="C754" s="3">
        <v>20.748001185172026</v>
      </c>
      <c r="D754" s="3">
        <f t="shared" si="22"/>
        <v>31</v>
      </c>
      <c r="E754" s="2">
        <f t="shared" si="23"/>
        <v>1275.7448662618172</v>
      </c>
    </row>
    <row r="755" spans="1:5" x14ac:dyDescent="0.25">
      <c r="A755" s="2">
        <v>748</v>
      </c>
      <c r="B755" s="4">
        <v>30712</v>
      </c>
      <c r="C755" s="3">
        <v>19.764259091971134</v>
      </c>
      <c r="D755" s="3">
        <f t="shared" si="22"/>
        <v>31</v>
      </c>
      <c r="E755" s="2">
        <f t="shared" si="23"/>
        <v>1215.256922679878</v>
      </c>
    </row>
    <row r="756" spans="1:5" x14ac:dyDescent="0.25">
      <c r="A756" s="2">
        <v>749</v>
      </c>
      <c r="B756" s="4">
        <v>30741</v>
      </c>
      <c r="C756" s="3">
        <v>18.83294375940131</v>
      </c>
      <c r="D756" s="3">
        <f t="shared" si="22"/>
        <v>29</v>
      </c>
      <c r="E756" s="2">
        <f t="shared" si="23"/>
        <v>1083.2833765738274</v>
      </c>
    </row>
    <row r="757" spans="1:5" x14ac:dyDescent="0.25">
      <c r="A757" s="2">
        <v>750</v>
      </c>
      <c r="B757" s="4">
        <v>30772</v>
      </c>
      <c r="C757" s="3">
        <v>21.374017729940764</v>
      </c>
      <c r="D757" s="3">
        <f t="shared" si="22"/>
        <v>31</v>
      </c>
      <c r="E757" s="2">
        <f t="shared" si="23"/>
        <v>1314.2371232294156</v>
      </c>
    </row>
    <row r="758" spans="1:5" x14ac:dyDescent="0.25">
      <c r="A758" s="2">
        <v>751</v>
      </c>
      <c r="B758" s="4">
        <v>30802</v>
      </c>
      <c r="C758" s="3">
        <v>26.245029168479064</v>
      </c>
      <c r="D758" s="3">
        <f t="shared" si="22"/>
        <v>30</v>
      </c>
      <c r="E758" s="2">
        <f t="shared" si="23"/>
        <v>1561.6876860582584</v>
      </c>
    </row>
    <row r="759" spans="1:5" x14ac:dyDescent="0.25">
      <c r="A759" s="2">
        <v>752</v>
      </c>
      <c r="B759" s="4">
        <v>30833</v>
      </c>
      <c r="C759" s="3">
        <v>37.471605442263403</v>
      </c>
      <c r="D759" s="3">
        <f t="shared" si="22"/>
        <v>31</v>
      </c>
      <c r="E759" s="2">
        <f t="shared" si="23"/>
        <v>2304.039210664791</v>
      </c>
    </row>
    <row r="760" spans="1:5" x14ac:dyDescent="0.25">
      <c r="A760" s="2">
        <v>753</v>
      </c>
      <c r="B760" s="4">
        <v>30863</v>
      </c>
      <c r="C760" s="3">
        <v>50.919052650413349</v>
      </c>
      <c r="D760" s="3">
        <f t="shared" si="22"/>
        <v>30</v>
      </c>
      <c r="E760" s="2">
        <f t="shared" si="23"/>
        <v>3029.8940420080667</v>
      </c>
    </row>
    <row r="761" spans="1:5" x14ac:dyDescent="0.25">
      <c r="A761" s="2">
        <v>754</v>
      </c>
      <c r="B761" s="4">
        <v>30894</v>
      </c>
      <c r="C761" s="3">
        <v>63.227743649777494</v>
      </c>
      <c r="D761" s="3">
        <f t="shared" si="22"/>
        <v>31</v>
      </c>
      <c r="E761" s="2">
        <f t="shared" si="23"/>
        <v>3887.7224194573928</v>
      </c>
    </row>
    <row r="762" spans="1:5" x14ac:dyDescent="0.25">
      <c r="A762" s="2">
        <v>755</v>
      </c>
      <c r="B762" s="4">
        <v>30925</v>
      </c>
      <c r="C762" s="3">
        <v>69.130193543730186</v>
      </c>
      <c r="D762" s="3">
        <f t="shared" si="22"/>
        <v>31</v>
      </c>
      <c r="E762" s="2">
        <f t="shared" si="23"/>
        <v>4250.6499170690304</v>
      </c>
    </row>
    <row r="763" spans="1:5" x14ac:dyDescent="0.25">
      <c r="A763" s="2">
        <v>756</v>
      </c>
      <c r="B763" s="4">
        <v>30955</v>
      </c>
      <c r="C763" s="3">
        <v>60.252670377326552</v>
      </c>
      <c r="D763" s="3">
        <f t="shared" si="22"/>
        <v>30</v>
      </c>
      <c r="E763" s="2">
        <f t="shared" si="23"/>
        <v>3585.2828654276959</v>
      </c>
    </row>
    <row r="764" spans="1:5" x14ac:dyDescent="0.25">
      <c r="A764" s="2">
        <v>757</v>
      </c>
      <c r="B764" s="4">
        <v>30986</v>
      </c>
      <c r="C764" s="3">
        <v>39.707380625001775</v>
      </c>
      <c r="D764" s="3">
        <f t="shared" si="22"/>
        <v>31</v>
      </c>
      <c r="E764" s="2">
        <f t="shared" si="23"/>
        <v>2441.5116681819272</v>
      </c>
    </row>
    <row r="765" spans="1:5" x14ac:dyDescent="0.25">
      <c r="A765" s="2">
        <v>758</v>
      </c>
      <c r="B765" s="4">
        <v>31016</v>
      </c>
      <c r="C765" s="3">
        <v>26.060205334574537</v>
      </c>
      <c r="D765" s="3">
        <f t="shared" si="22"/>
        <v>30</v>
      </c>
      <c r="E765" s="2">
        <f t="shared" si="23"/>
        <v>1550.6899042060882</v>
      </c>
    </row>
    <row r="766" spans="1:5" x14ac:dyDescent="0.25">
      <c r="A766" s="2">
        <v>759</v>
      </c>
      <c r="B766" s="4">
        <v>31047</v>
      </c>
      <c r="C766" s="3">
        <v>20.748001185172026</v>
      </c>
      <c r="D766" s="3">
        <f t="shared" si="22"/>
        <v>31</v>
      </c>
      <c r="E766" s="2">
        <f t="shared" si="23"/>
        <v>1275.7448662618172</v>
      </c>
    </row>
    <row r="767" spans="1:5" x14ac:dyDescent="0.25">
      <c r="A767" s="2">
        <v>760</v>
      </c>
      <c r="B767" s="4">
        <v>31078</v>
      </c>
      <c r="C767" s="3">
        <v>13.612770916501963</v>
      </c>
      <c r="D767" s="3">
        <f t="shared" si="22"/>
        <v>31</v>
      </c>
      <c r="E767" s="2">
        <f t="shared" si="23"/>
        <v>837.01665800640171</v>
      </c>
    </row>
    <row r="768" spans="1:5" x14ac:dyDescent="0.25">
      <c r="A768" s="2">
        <v>761</v>
      </c>
      <c r="B768" s="4">
        <v>31106</v>
      </c>
      <c r="C768" s="3">
        <v>5.1819864758479408</v>
      </c>
      <c r="D768" s="3">
        <f t="shared" si="22"/>
        <v>28</v>
      </c>
      <c r="E768" s="2">
        <f t="shared" si="23"/>
        <v>287.79296791486081</v>
      </c>
    </row>
    <row r="769" spans="1:5" x14ac:dyDescent="0.25">
      <c r="A769" s="2">
        <v>762</v>
      </c>
      <c r="B769" s="4">
        <v>31137</v>
      </c>
      <c r="C769" s="3">
        <v>4.5877734224103888</v>
      </c>
      <c r="D769" s="3">
        <f t="shared" si="22"/>
        <v>31</v>
      </c>
      <c r="E769" s="2">
        <f t="shared" si="23"/>
        <v>282.09119225399417</v>
      </c>
    </row>
    <row r="770" spans="1:5" x14ac:dyDescent="0.25">
      <c r="A770" s="2">
        <v>763</v>
      </c>
      <c r="B770" s="4">
        <v>31167</v>
      </c>
      <c r="C770" s="3">
        <v>21.478865016755016</v>
      </c>
      <c r="D770" s="3">
        <f t="shared" si="22"/>
        <v>30</v>
      </c>
      <c r="E770" s="2">
        <f t="shared" si="23"/>
        <v>1278.0812241374886</v>
      </c>
    </row>
    <row r="771" spans="1:5" x14ac:dyDescent="0.25">
      <c r="A771" s="2">
        <v>764</v>
      </c>
      <c r="B771" s="4">
        <v>31198</v>
      </c>
      <c r="C771" s="3">
        <v>30.66666644143492</v>
      </c>
      <c r="D771" s="3">
        <f t="shared" si="22"/>
        <v>31</v>
      </c>
      <c r="E771" s="2">
        <f t="shared" si="23"/>
        <v>1885.6198208617834</v>
      </c>
    </row>
    <row r="772" spans="1:5" x14ac:dyDescent="0.25">
      <c r="A772" s="2">
        <v>765</v>
      </c>
      <c r="B772" s="4">
        <v>31228</v>
      </c>
      <c r="C772" s="3">
        <v>41.672022981510352</v>
      </c>
      <c r="D772" s="3">
        <f t="shared" si="22"/>
        <v>30</v>
      </c>
      <c r="E772" s="2">
        <f t="shared" si="23"/>
        <v>2479.6575658419379</v>
      </c>
    </row>
    <row r="773" spans="1:5" x14ac:dyDescent="0.25">
      <c r="A773" s="2">
        <v>766</v>
      </c>
      <c r="B773" s="4">
        <v>31259</v>
      </c>
      <c r="C773" s="3">
        <v>51.745424341102392</v>
      </c>
      <c r="D773" s="3">
        <f t="shared" si="22"/>
        <v>31</v>
      </c>
      <c r="E773" s="2">
        <f t="shared" si="23"/>
        <v>3181.7021247752218</v>
      </c>
    </row>
    <row r="774" spans="1:5" x14ac:dyDescent="0.25">
      <c r="A774" s="2">
        <v>767</v>
      </c>
      <c r="B774" s="4">
        <v>31290</v>
      </c>
      <c r="C774" s="3">
        <v>56.575974298830531</v>
      </c>
      <c r="D774" s="3">
        <f t="shared" si="22"/>
        <v>31</v>
      </c>
      <c r="E774" s="2">
        <f t="shared" si="23"/>
        <v>3478.7210643247863</v>
      </c>
    </row>
    <row r="775" spans="1:5" x14ac:dyDescent="0.25">
      <c r="A775" s="2">
        <v>768</v>
      </c>
      <c r="B775" s="4">
        <v>31320</v>
      </c>
      <c r="C775" s="3">
        <v>49.310631953419474</v>
      </c>
      <c r="D775" s="3">
        <f t="shared" si="22"/>
        <v>30</v>
      </c>
      <c r="E775" s="2">
        <f t="shared" si="23"/>
        <v>2934.1863641704149</v>
      </c>
    </row>
    <row r="776" spans="1:5" x14ac:dyDescent="0.25">
      <c r="A776" s="2">
        <v>769</v>
      </c>
      <c r="B776" s="4">
        <v>31351</v>
      </c>
      <c r="C776" s="3">
        <v>32.496419155732688</v>
      </c>
      <c r="D776" s="3">
        <f t="shared" si="22"/>
        <v>31</v>
      </c>
      <c r="E776" s="2">
        <f t="shared" si="23"/>
        <v>1998.1269299062083</v>
      </c>
    </row>
    <row r="777" spans="1:5" x14ac:dyDescent="0.25">
      <c r="A777" s="2">
        <v>770</v>
      </c>
      <c r="B777" s="4">
        <v>31381</v>
      </c>
      <c r="C777" s="3">
        <v>21.32760566189469</v>
      </c>
      <c r="D777" s="3">
        <f t="shared" ref="D777:D840" si="24">DAY(EOMONTH(B777,0))</f>
        <v>30</v>
      </c>
      <c r="E777" s="2">
        <f t="shared" ref="E777:E840" si="25">C777*D777*86400/43560</f>
        <v>1269.0806674846428</v>
      </c>
    </row>
    <row r="778" spans="1:5" x14ac:dyDescent="0.25">
      <c r="A778" s="2">
        <v>771</v>
      </c>
      <c r="B778" s="4">
        <v>31412</v>
      </c>
      <c r="C778" s="3">
        <v>16.980111317956244</v>
      </c>
      <c r="D778" s="3">
        <f t="shared" si="24"/>
        <v>31</v>
      </c>
      <c r="E778" s="2">
        <f t="shared" si="25"/>
        <v>1044.0663488065659</v>
      </c>
    </row>
    <row r="779" spans="1:5" x14ac:dyDescent="0.25">
      <c r="A779" s="2">
        <v>772</v>
      </c>
      <c r="B779" s="4">
        <v>31443</v>
      </c>
      <c r="C779" s="3">
        <v>2.1740685001168236</v>
      </c>
      <c r="D779" s="3">
        <f t="shared" si="24"/>
        <v>31</v>
      </c>
      <c r="E779" s="2">
        <f t="shared" si="25"/>
        <v>133.67826149478651</v>
      </c>
    </row>
    <row r="780" spans="1:5" x14ac:dyDescent="0.25">
      <c r="A780" s="2">
        <v>773</v>
      </c>
      <c r="B780" s="4">
        <v>31471</v>
      </c>
      <c r="C780" s="3">
        <v>2.2304301215424718</v>
      </c>
      <c r="D780" s="3">
        <f t="shared" si="24"/>
        <v>28</v>
      </c>
      <c r="E780" s="2">
        <f t="shared" si="25"/>
        <v>123.87182162616041</v>
      </c>
    </row>
    <row r="781" spans="1:5" x14ac:dyDescent="0.25">
      <c r="A781" s="2">
        <v>774</v>
      </c>
      <c r="B781" s="4">
        <v>31502</v>
      </c>
      <c r="C781" s="3">
        <v>21.374017729940757</v>
      </c>
      <c r="D781" s="3">
        <f t="shared" si="24"/>
        <v>31</v>
      </c>
      <c r="E781" s="2">
        <f t="shared" si="25"/>
        <v>1314.2371232294151</v>
      </c>
    </row>
    <row r="782" spans="1:5" x14ac:dyDescent="0.25">
      <c r="A782" s="2">
        <v>775</v>
      </c>
      <c r="B782" s="4">
        <v>31532</v>
      </c>
      <c r="C782" s="3">
        <v>26.245029168479078</v>
      </c>
      <c r="D782" s="3">
        <f t="shared" si="24"/>
        <v>30</v>
      </c>
      <c r="E782" s="2">
        <f t="shared" si="25"/>
        <v>1561.6876860582595</v>
      </c>
    </row>
    <row r="783" spans="1:5" x14ac:dyDescent="0.25">
      <c r="A783" s="2">
        <v>776</v>
      </c>
      <c r="B783" s="4">
        <v>31563</v>
      </c>
      <c r="C783" s="3">
        <v>37.471605442263375</v>
      </c>
      <c r="D783" s="3">
        <f t="shared" si="24"/>
        <v>31</v>
      </c>
      <c r="E783" s="2">
        <f t="shared" si="25"/>
        <v>2304.0392106647896</v>
      </c>
    </row>
    <row r="784" spans="1:5" x14ac:dyDescent="0.25">
      <c r="A784" s="2">
        <v>777</v>
      </c>
      <c r="B784" s="4">
        <v>31593</v>
      </c>
      <c r="C784" s="3">
        <v>50.91905265041332</v>
      </c>
      <c r="D784" s="3">
        <f t="shared" si="24"/>
        <v>30</v>
      </c>
      <c r="E784" s="2">
        <f t="shared" si="25"/>
        <v>3029.8940420080653</v>
      </c>
    </row>
    <row r="785" spans="1:5" x14ac:dyDescent="0.25">
      <c r="A785" s="2">
        <v>778</v>
      </c>
      <c r="B785" s="4">
        <v>31624</v>
      </c>
      <c r="C785" s="3">
        <v>63.227743649777473</v>
      </c>
      <c r="D785" s="3">
        <f t="shared" si="24"/>
        <v>31</v>
      </c>
      <c r="E785" s="2">
        <f t="shared" si="25"/>
        <v>3887.7224194573914</v>
      </c>
    </row>
    <row r="786" spans="1:5" x14ac:dyDescent="0.25">
      <c r="A786" s="2">
        <v>779</v>
      </c>
      <c r="B786" s="4">
        <v>31655</v>
      </c>
      <c r="C786" s="3">
        <v>69.130193543730186</v>
      </c>
      <c r="D786" s="3">
        <f t="shared" si="24"/>
        <v>31</v>
      </c>
      <c r="E786" s="2">
        <f t="shared" si="25"/>
        <v>4250.6499170690304</v>
      </c>
    </row>
    <row r="787" spans="1:5" x14ac:dyDescent="0.25">
      <c r="A787" s="2">
        <v>780</v>
      </c>
      <c r="B787" s="4">
        <v>31685</v>
      </c>
      <c r="C787" s="3">
        <v>60.252670377326524</v>
      </c>
      <c r="D787" s="3">
        <f t="shared" si="24"/>
        <v>30</v>
      </c>
      <c r="E787" s="2">
        <f t="shared" si="25"/>
        <v>3585.2828654276946</v>
      </c>
    </row>
    <row r="788" spans="1:5" x14ac:dyDescent="0.25">
      <c r="A788" s="2">
        <v>781</v>
      </c>
      <c r="B788" s="4">
        <v>31716</v>
      </c>
      <c r="C788" s="3">
        <v>39.707380625001754</v>
      </c>
      <c r="D788" s="3">
        <f t="shared" si="24"/>
        <v>31</v>
      </c>
      <c r="E788" s="2">
        <f t="shared" si="25"/>
        <v>2441.5116681819259</v>
      </c>
    </row>
    <row r="789" spans="1:5" x14ac:dyDescent="0.25">
      <c r="A789" s="2">
        <v>782</v>
      </c>
      <c r="B789" s="4">
        <v>31746</v>
      </c>
      <c r="C789" s="3">
        <v>26.060205334574533</v>
      </c>
      <c r="D789" s="3">
        <f t="shared" si="24"/>
        <v>30</v>
      </c>
      <c r="E789" s="2">
        <f t="shared" si="25"/>
        <v>1550.6899042060877</v>
      </c>
    </row>
    <row r="790" spans="1:5" x14ac:dyDescent="0.25">
      <c r="A790" s="2">
        <v>783</v>
      </c>
      <c r="B790" s="4">
        <v>31777</v>
      </c>
      <c r="C790" s="3">
        <v>20.748001185172022</v>
      </c>
      <c r="D790" s="3">
        <f t="shared" si="24"/>
        <v>31</v>
      </c>
      <c r="E790" s="2">
        <f t="shared" si="25"/>
        <v>1275.7448662618169</v>
      </c>
    </row>
    <row r="791" spans="1:5" x14ac:dyDescent="0.25">
      <c r="A791" s="2">
        <v>784</v>
      </c>
      <c r="B791" s="4">
        <v>31808</v>
      </c>
      <c r="C791" s="3">
        <v>2.1740685001168241</v>
      </c>
      <c r="D791" s="3">
        <f t="shared" si="24"/>
        <v>31</v>
      </c>
      <c r="E791" s="2">
        <f t="shared" si="25"/>
        <v>133.67826149478657</v>
      </c>
    </row>
    <row r="792" spans="1:5" x14ac:dyDescent="0.25">
      <c r="A792" s="2">
        <v>785</v>
      </c>
      <c r="B792" s="4">
        <v>31836</v>
      </c>
      <c r="C792" s="3">
        <v>2.1456103783032212</v>
      </c>
      <c r="D792" s="3">
        <f t="shared" si="24"/>
        <v>28</v>
      </c>
      <c r="E792" s="2">
        <f t="shared" si="25"/>
        <v>119.16117142312103</v>
      </c>
    </row>
    <row r="793" spans="1:5" x14ac:dyDescent="0.25">
      <c r="A793" s="2">
        <v>786</v>
      </c>
      <c r="B793" s="4">
        <v>31867</v>
      </c>
      <c r="C793" s="3">
        <v>3.8341828374256415</v>
      </c>
      <c r="D793" s="3">
        <f t="shared" si="24"/>
        <v>31</v>
      </c>
      <c r="E793" s="2">
        <f t="shared" si="25"/>
        <v>235.75471330947744</v>
      </c>
    </row>
    <row r="794" spans="1:5" x14ac:dyDescent="0.25">
      <c r="A794" s="2">
        <v>787</v>
      </c>
      <c r="B794" s="4">
        <v>31897</v>
      </c>
      <c r="C794" s="3">
        <v>6.8338954719659082</v>
      </c>
      <c r="D794" s="3">
        <f t="shared" si="24"/>
        <v>30</v>
      </c>
      <c r="E794" s="2">
        <f t="shared" si="25"/>
        <v>406.64501981945904</v>
      </c>
    </row>
    <row r="795" spans="1:5" x14ac:dyDescent="0.25">
      <c r="A795" s="2">
        <v>788</v>
      </c>
      <c r="B795" s="4">
        <v>31928</v>
      </c>
      <c r="C795" s="3">
        <v>9.7571632751977155</v>
      </c>
      <c r="D795" s="3">
        <f t="shared" si="24"/>
        <v>31</v>
      </c>
      <c r="E795" s="2">
        <f t="shared" si="25"/>
        <v>599.94458485513223</v>
      </c>
    </row>
    <row r="796" spans="1:5" x14ac:dyDescent="0.25">
      <c r="A796" s="2">
        <v>789</v>
      </c>
      <c r="B796" s="4">
        <v>31958</v>
      </c>
      <c r="C796" s="3">
        <v>13.258719626891498</v>
      </c>
      <c r="D796" s="3">
        <f t="shared" si="24"/>
        <v>30</v>
      </c>
      <c r="E796" s="2">
        <f t="shared" si="25"/>
        <v>788.94860589767598</v>
      </c>
    </row>
    <row r="797" spans="1:5" x14ac:dyDescent="0.25">
      <c r="A797" s="2">
        <v>790</v>
      </c>
      <c r="B797" s="4">
        <v>31989</v>
      </c>
      <c r="C797" s="3">
        <v>16.463757317891975</v>
      </c>
      <c r="D797" s="3">
        <f t="shared" si="24"/>
        <v>31</v>
      </c>
      <c r="E797" s="2">
        <f t="shared" si="25"/>
        <v>1012.3169788852587</v>
      </c>
    </row>
    <row r="798" spans="1:5" x14ac:dyDescent="0.25">
      <c r="A798" s="2">
        <v>791</v>
      </c>
      <c r="B798" s="4">
        <v>32020</v>
      </c>
      <c r="C798" s="3">
        <v>18.000685524176248</v>
      </c>
      <c r="D798" s="3">
        <f t="shared" si="24"/>
        <v>31</v>
      </c>
      <c r="E798" s="2">
        <f t="shared" si="25"/>
        <v>1106.8190107427381</v>
      </c>
    </row>
    <row r="799" spans="1:5" x14ac:dyDescent="0.25">
      <c r="A799" s="2">
        <v>792</v>
      </c>
      <c r="B799" s="4">
        <v>32050</v>
      </c>
      <c r="C799" s="3">
        <v>15.689083392599199</v>
      </c>
      <c r="D799" s="3">
        <f t="shared" si="24"/>
        <v>30</v>
      </c>
      <c r="E799" s="2">
        <f t="shared" si="25"/>
        <v>933.56529278276219</v>
      </c>
    </row>
    <row r="800" spans="1:5" x14ac:dyDescent="0.25">
      <c r="A800" s="2">
        <v>793</v>
      </c>
      <c r="B800" s="4">
        <v>32081</v>
      </c>
      <c r="C800" s="3">
        <v>10.339332713820411</v>
      </c>
      <c r="D800" s="3">
        <f t="shared" si="24"/>
        <v>31</v>
      </c>
      <c r="E800" s="2">
        <f t="shared" si="25"/>
        <v>635.74078835391617</v>
      </c>
    </row>
    <row r="801" spans="1:5" x14ac:dyDescent="0.25">
      <c r="A801" s="2">
        <v>794</v>
      </c>
      <c r="B801" s="4">
        <v>32111</v>
      </c>
      <c r="C801" s="3">
        <v>6.7857695295817972</v>
      </c>
      <c r="D801" s="3">
        <f t="shared" si="24"/>
        <v>30</v>
      </c>
      <c r="E801" s="2">
        <f t="shared" si="25"/>
        <v>403.78132738007389</v>
      </c>
    </row>
    <row r="802" spans="1:5" x14ac:dyDescent="0.25">
      <c r="A802" s="2">
        <v>795</v>
      </c>
      <c r="B802" s="4">
        <v>32142</v>
      </c>
      <c r="C802" s="3">
        <v>5.4025343405593693</v>
      </c>
      <c r="D802" s="3">
        <f t="shared" si="24"/>
        <v>31</v>
      </c>
      <c r="E802" s="2">
        <f t="shared" si="25"/>
        <v>332.188888378196</v>
      </c>
    </row>
    <row r="803" spans="1:5" x14ac:dyDescent="0.25">
      <c r="A803" s="2">
        <v>796</v>
      </c>
      <c r="B803" s="4">
        <v>32173</v>
      </c>
      <c r="C803" s="3">
        <v>2.174068500116825</v>
      </c>
      <c r="D803" s="3">
        <f t="shared" si="24"/>
        <v>31</v>
      </c>
      <c r="E803" s="2">
        <f t="shared" si="25"/>
        <v>133.67826149478657</v>
      </c>
    </row>
    <row r="804" spans="1:5" x14ac:dyDescent="0.25">
      <c r="A804" s="2">
        <v>797</v>
      </c>
      <c r="B804" s="4">
        <v>32202</v>
      </c>
      <c r="C804" s="3">
        <v>2.0716238135341465</v>
      </c>
      <c r="D804" s="3">
        <f t="shared" si="24"/>
        <v>29</v>
      </c>
      <c r="E804" s="2">
        <f t="shared" si="25"/>
        <v>119.16117142312116</v>
      </c>
    </row>
    <row r="805" spans="1:5" x14ac:dyDescent="0.25">
      <c r="A805" s="2">
        <v>798</v>
      </c>
      <c r="B805" s="4">
        <v>32233</v>
      </c>
      <c r="C805" s="3">
        <v>4.4803504596580188</v>
      </c>
      <c r="D805" s="3">
        <f t="shared" si="24"/>
        <v>31</v>
      </c>
      <c r="E805" s="2">
        <f t="shared" si="25"/>
        <v>275.48601173434429</v>
      </c>
    </row>
    <row r="806" spans="1:5" x14ac:dyDescent="0.25">
      <c r="A806" s="2">
        <v>799</v>
      </c>
      <c r="B806" s="4">
        <v>32263</v>
      </c>
      <c r="C806" s="3">
        <v>3.5580155090258079</v>
      </c>
      <c r="D806" s="3">
        <f t="shared" si="24"/>
        <v>30</v>
      </c>
      <c r="E806" s="2">
        <f t="shared" si="25"/>
        <v>211.71662533046131</v>
      </c>
    </row>
    <row r="807" spans="1:5" x14ac:dyDescent="0.25">
      <c r="A807" s="2">
        <v>800</v>
      </c>
      <c r="B807" s="4">
        <v>32294</v>
      </c>
      <c r="C807" s="3">
        <v>5.0799925751957264</v>
      </c>
      <c r="D807" s="3">
        <f t="shared" si="24"/>
        <v>31</v>
      </c>
      <c r="E807" s="2">
        <f t="shared" si="25"/>
        <v>312.35656825996864</v>
      </c>
    </row>
    <row r="808" spans="1:5" x14ac:dyDescent="0.25">
      <c r="A808" s="2">
        <v>801</v>
      </c>
      <c r="B808" s="4">
        <v>32324</v>
      </c>
      <c r="C808" s="3">
        <v>6.9030511595949315</v>
      </c>
      <c r="D808" s="3">
        <f t="shared" si="24"/>
        <v>30</v>
      </c>
      <c r="E808" s="2">
        <f t="shared" si="25"/>
        <v>410.76006900069012</v>
      </c>
    </row>
    <row r="809" spans="1:5" x14ac:dyDescent="0.25">
      <c r="A809" s="2">
        <v>802</v>
      </c>
      <c r="B809" s="4">
        <v>32355</v>
      </c>
      <c r="C809" s="3">
        <v>8.5717295668623272</v>
      </c>
      <c r="D809" s="3">
        <f t="shared" si="24"/>
        <v>31</v>
      </c>
      <c r="E809" s="2">
        <f t="shared" si="25"/>
        <v>527.05510725170018</v>
      </c>
    </row>
    <row r="810" spans="1:5" x14ac:dyDescent="0.25">
      <c r="A810" s="2">
        <v>803</v>
      </c>
      <c r="B810" s="4">
        <v>32386</v>
      </c>
      <c r="C810" s="3">
        <v>9.3719195048927357</v>
      </c>
      <c r="D810" s="3">
        <f t="shared" si="24"/>
        <v>31</v>
      </c>
      <c r="E810" s="2">
        <f t="shared" si="25"/>
        <v>576.25686873059465</v>
      </c>
    </row>
    <row r="811" spans="1:5" x14ac:dyDescent="0.25">
      <c r="A811" s="2">
        <v>804</v>
      </c>
      <c r="B811" s="4">
        <v>32416</v>
      </c>
      <c r="C811" s="3">
        <v>8.1684015013488072</v>
      </c>
      <c r="D811" s="3">
        <f t="shared" si="24"/>
        <v>30</v>
      </c>
      <c r="E811" s="2">
        <f t="shared" si="25"/>
        <v>486.05364305546618</v>
      </c>
    </row>
    <row r="812" spans="1:5" x14ac:dyDescent="0.25">
      <c r="A812" s="2">
        <v>805</v>
      </c>
      <c r="B812" s="4">
        <v>32447</v>
      </c>
      <c r="C812" s="3">
        <v>5.383094649261329</v>
      </c>
      <c r="D812" s="3">
        <f t="shared" si="24"/>
        <v>31</v>
      </c>
      <c r="E812" s="2">
        <f t="shared" si="25"/>
        <v>330.99358835127515</v>
      </c>
    </row>
    <row r="813" spans="1:5" x14ac:dyDescent="0.25">
      <c r="A813" s="2">
        <v>806</v>
      </c>
      <c r="B813" s="4">
        <v>32477</v>
      </c>
      <c r="C813" s="3">
        <v>3.5329591045063671</v>
      </c>
      <c r="D813" s="3">
        <f t="shared" si="24"/>
        <v>30</v>
      </c>
      <c r="E813" s="2">
        <f t="shared" si="25"/>
        <v>210.22566572269292</v>
      </c>
    </row>
    <row r="814" spans="1:5" x14ac:dyDescent="0.25">
      <c r="A814" s="2">
        <v>807</v>
      </c>
      <c r="B814" s="4">
        <v>32508</v>
      </c>
      <c r="C814" s="3">
        <v>2.8127882626546898</v>
      </c>
      <c r="D814" s="3">
        <f t="shared" si="24"/>
        <v>31</v>
      </c>
      <c r="E814" s="2">
        <f t="shared" si="25"/>
        <v>172.95160887728011</v>
      </c>
    </row>
    <row r="815" spans="1:5" x14ac:dyDescent="0.25">
      <c r="A815" s="2">
        <v>808</v>
      </c>
      <c r="B815" s="4">
        <v>32539</v>
      </c>
      <c r="C815" s="3">
        <v>3.2768636943488247</v>
      </c>
      <c r="D815" s="3">
        <f t="shared" si="24"/>
        <v>31</v>
      </c>
      <c r="E815" s="2">
        <f t="shared" si="25"/>
        <v>201.48649492525004</v>
      </c>
    </row>
    <row r="816" spans="1:5" x14ac:dyDescent="0.25">
      <c r="A816" s="2">
        <v>809</v>
      </c>
      <c r="B816" s="4">
        <v>32567</v>
      </c>
      <c r="C816" s="3">
        <v>2.7805144418742636</v>
      </c>
      <c r="D816" s="3">
        <f t="shared" si="24"/>
        <v>28</v>
      </c>
      <c r="E816" s="2">
        <f t="shared" si="25"/>
        <v>154.42195908590952</v>
      </c>
    </row>
    <row r="817" spans="1:5" x14ac:dyDescent="0.25">
      <c r="A817" s="2">
        <v>810</v>
      </c>
      <c r="B817" s="4">
        <v>32598</v>
      </c>
      <c r="C817" s="3">
        <v>13.672426450985011</v>
      </c>
      <c r="D817" s="3">
        <f t="shared" si="24"/>
        <v>31</v>
      </c>
      <c r="E817" s="2">
        <f t="shared" si="25"/>
        <v>840.68473384568983</v>
      </c>
    </row>
    <row r="818" spans="1:5" x14ac:dyDescent="0.25">
      <c r="A818" s="2">
        <v>811</v>
      </c>
      <c r="B818" s="4">
        <v>32628</v>
      </c>
      <c r="C818" s="3">
        <v>26.245029168479078</v>
      </c>
      <c r="D818" s="3">
        <f t="shared" si="24"/>
        <v>30</v>
      </c>
      <c r="E818" s="2">
        <f t="shared" si="25"/>
        <v>1561.6876860582595</v>
      </c>
    </row>
    <row r="819" spans="1:5" x14ac:dyDescent="0.25">
      <c r="A819" s="2">
        <v>812</v>
      </c>
      <c r="B819" s="4">
        <v>32659</v>
      </c>
      <c r="C819" s="3">
        <v>37.471605442263382</v>
      </c>
      <c r="D819" s="3">
        <f t="shared" si="24"/>
        <v>31</v>
      </c>
      <c r="E819" s="2">
        <f t="shared" si="25"/>
        <v>2304.0392106647896</v>
      </c>
    </row>
    <row r="820" spans="1:5" x14ac:dyDescent="0.25">
      <c r="A820" s="2">
        <v>813</v>
      </c>
      <c r="B820" s="4">
        <v>32689</v>
      </c>
      <c r="C820" s="3">
        <v>50.919052650413342</v>
      </c>
      <c r="D820" s="3">
        <f t="shared" si="24"/>
        <v>30</v>
      </c>
      <c r="E820" s="2">
        <f t="shared" si="25"/>
        <v>3029.8940420080662</v>
      </c>
    </row>
    <row r="821" spans="1:5" x14ac:dyDescent="0.25">
      <c r="A821" s="2">
        <v>814</v>
      </c>
      <c r="B821" s="4">
        <v>32720</v>
      </c>
      <c r="C821" s="3">
        <v>63.227743649777487</v>
      </c>
      <c r="D821" s="3">
        <f t="shared" si="24"/>
        <v>31</v>
      </c>
      <c r="E821" s="2">
        <f t="shared" si="25"/>
        <v>3887.7224194573928</v>
      </c>
    </row>
    <row r="822" spans="1:5" x14ac:dyDescent="0.25">
      <c r="A822" s="2">
        <v>815</v>
      </c>
      <c r="B822" s="4">
        <v>32751</v>
      </c>
      <c r="C822" s="3">
        <v>69.130193543730186</v>
      </c>
      <c r="D822" s="3">
        <f t="shared" si="24"/>
        <v>31</v>
      </c>
      <c r="E822" s="2">
        <f t="shared" si="25"/>
        <v>4250.6499170690304</v>
      </c>
    </row>
    <row r="823" spans="1:5" x14ac:dyDescent="0.25">
      <c r="A823" s="2">
        <v>816</v>
      </c>
      <c r="B823" s="4">
        <v>32781</v>
      </c>
      <c r="C823" s="3">
        <v>60.252670377326524</v>
      </c>
      <c r="D823" s="3">
        <f t="shared" si="24"/>
        <v>30</v>
      </c>
      <c r="E823" s="2">
        <f t="shared" si="25"/>
        <v>3585.2828654276946</v>
      </c>
    </row>
    <row r="824" spans="1:5" x14ac:dyDescent="0.25">
      <c r="A824" s="2">
        <v>817</v>
      </c>
      <c r="B824" s="4">
        <v>32812</v>
      </c>
      <c r="C824" s="3">
        <v>39.707380625001761</v>
      </c>
      <c r="D824" s="3">
        <f t="shared" si="24"/>
        <v>31</v>
      </c>
      <c r="E824" s="2">
        <f t="shared" si="25"/>
        <v>2441.5116681819263</v>
      </c>
    </row>
    <row r="825" spans="1:5" x14ac:dyDescent="0.25">
      <c r="A825" s="2">
        <v>818</v>
      </c>
      <c r="B825" s="4">
        <v>32842</v>
      </c>
      <c r="C825" s="3">
        <v>26.060205334574537</v>
      </c>
      <c r="D825" s="3">
        <f t="shared" si="24"/>
        <v>30</v>
      </c>
      <c r="E825" s="2">
        <f t="shared" si="25"/>
        <v>1550.6899042060882</v>
      </c>
    </row>
    <row r="826" spans="1:5" x14ac:dyDescent="0.25">
      <c r="A826" s="2">
        <v>819</v>
      </c>
      <c r="B826" s="4">
        <v>32873</v>
      </c>
      <c r="C826" s="3">
        <v>20.748001185172029</v>
      </c>
      <c r="D826" s="3">
        <f t="shared" si="24"/>
        <v>31</v>
      </c>
      <c r="E826" s="2">
        <f t="shared" si="25"/>
        <v>1275.7448662618174</v>
      </c>
    </row>
    <row r="827" spans="1:5" x14ac:dyDescent="0.25">
      <c r="A827" s="2">
        <v>820</v>
      </c>
      <c r="B827" s="4">
        <v>32904</v>
      </c>
      <c r="C827" s="3">
        <v>2.1740685001168258</v>
      </c>
      <c r="D827" s="3">
        <f t="shared" si="24"/>
        <v>31</v>
      </c>
      <c r="E827" s="2">
        <f t="shared" si="25"/>
        <v>133.67826149478663</v>
      </c>
    </row>
    <row r="828" spans="1:5" x14ac:dyDescent="0.25">
      <c r="A828" s="2">
        <v>821</v>
      </c>
      <c r="B828" s="4">
        <v>32932</v>
      </c>
      <c r="C828" s="3">
        <v>2.1456103783032208</v>
      </c>
      <c r="D828" s="3">
        <f t="shared" si="24"/>
        <v>28</v>
      </c>
      <c r="E828" s="2">
        <f t="shared" si="25"/>
        <v>119.16117142312102</v>
      </c>
    </row>
    <row r="829" spans="1:5" x14ac:dyDescent="0.25">
      <c r="A829" s="2">
        <v>822</v>
      </c>
      <c r="B829" s="4">
        <v>32963</v>
      </c>
      <c r="C829" s="3">
        <v>2.9990891690315538</v>
      </c>
      <c r="D829" s="3">
        <f t="shared" si="24"/>
        <v>31</v>
      </c>
      <c r="E829" s="2">
        <f t="shared" si="25"/>
        <v>184.40680510408893</v>
      </c>
    </row>
    <row r="830" spans="1:5" x14ac:dyDescent="0.25">
      <c r="A830" s="2">
        <v>823</v>
      </c>
      <c r="B830" s="4">
        <v>32993</v>
      </c>
      <c r="C830" s="3">
        <v>3.3999819834083018</v>
      </c>
      <c r="D830" s="3">
        <f t="shared" si="24"/>
        <v>30</v>
      </c>
      <c r="E830" s="2">
        <f t="shared" si="25"/>
        <v>202.31297752512208</v>
      </c>
    </row>
    <row r="831" spans="1:5" x14ac:dyDescent="0.25">
      <c r="A831" s="2">
        <v>824</v>
      </c>
      <c r="B831" s="4">
        <v>33024</v>
      </c>
      <c r="C831" s="3">
        <v>4.854358613024286</v>
      </c>
      <c r="D831" s="3">
        <f t="shared" si="24"/>
        <v>31</v>
      </c>
      <c r="E831" s="2">
        <f t="shared" si="25"/>
        <v>298.48287670165854</v>
      </c>
    </row>
    <row r="832" spans="1:5" x14ac:dyDescent="0.25">
      <c r="A832" s="2">
        <v>825</v>
      </c>
      <c r="B832" s="4">
        <v>33054</v>
      </c>
      <c r="C832" s="3">
        <v>6.596443864179439</v>
      </c>
      <c r="D832" s="3">
        <f t="shared" si="24"/>
        <v>30</v>
      </c>
      <c r="E832" s="2">
        <f t="shared" si="25"/>
        <v>392.51566795117321</v>
      </c>
    </row>
    <row r="833" spans="1:5" x14ac:dyDescent="0.25">
      <c r="A833" s="2">
        <v>826</v>
      </c>
      <c r="B833" s="4">
        <v>33085</v>
      </c>
      <c r="C833" s="3">
        <v>8.1910059189033095</v>
      </c>
      <c r="D833" s="3">
        <f t="shared" si="24"/>
        <v>31</v>
      </c>
      <c r="E833" s="2">
        <f t="shared" si="25"/>
        <v>503.64532261686469</v>
      </c>
    </row>
    <row r="834" spans="1:5" x14ac:dyDescent="0.25">
      <c r="A834" s="2">
        <v>827</v>
      </c>
      <c r="B834" s="4">
        <v>33116</v>
      </c>
      <c r="C834" s="3">
        <v>8.9556544612456381</v>
      </c>
      <c r="D834" s="3">
        <f t="shared" si="24"/>
        <v>31</v>
      </c>
      <c r="E834" s="2">
        <f t="shared" si="25"/>
        <v>550.66172885675667</v>
      </c>
    </row>
    <row r="835" spans="1:5" x14ac:dyDescent="0.25">
      <c r="A835" s="2">
        <v>828</v>
      </c>
      <c r="B835" s="4">
        <v>33146</v>
      </c>
      <c r="C835" s="3">
        <v>7.8055921530919399</v>
      </c>
      <c r="D835" s="3">
        <f t="shared" si="24"/>
        <v>30</v>
      </c>
      <c r="E835" s="2">
        <f t="shared" si="25"/>
        <v>464.4649876219998</v>
      </c>
    </row>
    <row r="836" spans="1:5" x14ac:dyDescent="0.25">
      <c r="A836" s="2">
        <v>829</v>
      </c>
      <c r="B836" s="4">
        <v>33177</v>
      </c>
      <c r="C836" s="3">
        <v>5.1439980449892335</v>
      </c>
      <c r="D836" s="3">
        <f t="shared" si="24"/>
        <v>31</v>
      </c>
      <c r="E836" s="2">
        <f t="shared" si="25"/>
        <v>316.29211119603218</v>
      </c>
    </row>
    <row r="837" spans="1:5" x14ac:dyDescent="0.25">
      <c r="A837" s="2">
        <v>830</v>
      </c>
      <c r="B837" s="4">
        <v>33207</v>
      </c>
      <c r="C837" s="3">
        <v>3.3760384891433151</v>
      </c>
      <c r="D837" s="3">
        <f t="shared" si="24"/>
        <v>30</v>
      </c>
      <c r="E837" s="2">
        <f t="shared" si="25"/>
        <v>200.88824067629645</v>
      </c>
    </row>
    <row r="838" spans="1:5" x14ac:dyDescent="0.25">
      <c r="A838" s="2">
        <v>831</v>
      </c>
      <c r="B838" s="4">
        <v>33238</v>
      </c>
      <c r="C838" s="3">
        <v>2.6878548988637689</v>
      </c>
      <c r="D838" s="3">
        <f t="shared" si="24"/>
        <v>31</v>
      </c>
      <c r="E838" s="2">
        <f t="shared" si="25"/>
        <v>165.26975576484659</v>
      </c>
    </row>
    <row r="839" spans="1:5" x14ac:dyDescent="0.25">
      <c r="A839" s="2">
        <v>832</v>
      </c>
      <c r="B839" s="4">
        <v>33269</v>
      </c>
      <c r="C839" s="3">
        <v>2.1740685001168245</v>
      </c>
      <c r="D839" s="3">
        <f t="shared" si="24"/>
        <v>31</v>
      </c>
      <c r="E839" s="2">
        <f t="shared" si="25"/>
        <v>133.67826149478657</v>
      </c>
    </row>
    <row r="840" spans="1:5" x14ac:dyDescent="0.25">
      <c r="A840" s="2">
        <v>833</v>
      </c>
      <c r="B840" s="4">
        <v>33297</v>
      </c>
      <c r="C840" s="3">
        <v>2.1456103783032217</v>
      </c>
      <c r="D840" s="3">
        <f t="shared" si="24"/>
        <v>28</v>
      </c>
      <c r="E840" s="2">
        <f t="shared" si="25"/>
        <v>119.16117142312108</v>
      </c>
    </row>
    <row r="841" spans="1:5" x14ac:dyDescent="0.25">
      <c r="A841" s="2">
        <v>834</v>
      </c>
      <c r="B841" s="4">
        <v>33328</v>
      </c>
      <c r="C841" s="3">
        <v>3.5055177038719902</v>
      </c>
      <c r="D841" s="3">
        <f t="shared" ref="D841:D904" si="26">DAY(EOMONTH(B841,0))</f>
        <v>31</v>
      </c>
      <c r="E841" s="2">
        <f t="shared" ref="E841:E904" si="27">C841*D841*86400/43560</f>
        <v>215.54588195708769</v>
      </c>
    </row>
    <row r="842" spans="1:5" x14ac:dyDescent="0.25">
      <c r="A842" s="2">
        <v>835</v>
      </c>
      <c r="B842" s="4">
        <v>33358</v>
      </c>
      <c r="C842" s="3">
        <v>3.6127051977398685</v>
      </c>
      <c r="D842" s="3">
        <f t="shared" si="26"/>
        <v>30</v>
      </c>
      <c r="E842" s="2">
        <f t="shared" si="27"/>
        <v>214.97088779939713</v>
      </c>
    </row>
    <row r="843" spans="1:5" x14ac:dyDescent="0.25">
      <c r="A843" s="2">
        <v>836</v>
      </c>
      <c r="B843" s="4">
        <v>33389</v>
      </c>
      <c r="C843" s="3">
        <v>5.1580763305601804</v>
      </c>
      <c r="D843" s="3">
        <f t="shared" si="26"/>
        <v>31</v>
      </c>
      <c r="E843" s="2">
        <f t="shared" si="27"/>
        <v>317.15775123444411</v>
      </c>
    </row>
    <row r="844" spans="1:5" x14ac:dyDescent="0.25">
      <c r="A844" s="2">
        <v>837</v>
      </c>
      <c r="B844" s="4">
        <v>33419</v>
      </c>
      <c r="C844" s="3">
        <v>7.0091568575992786</v>
      </c>
      <c r="D844" s="3">
        <f t="shared" si="26"/>
        <v>30</v>
      </c>
      <c r="E844" s="2">
        <f t="shared" si="27"/>
        <v>417.07379648524631</v>
      </c>
    </row>
    <row r="845" spans="1:5" x14ac:dyDescent="0.25">
      <c r="A845" s="2">
        <v>838</v>
      </c>
      <c r="B845" s="4">
        <v>33450</v>
      </c>
      <c r="C845" s="3">
        <v>8.7034842544300481</v>
      </c>
      <c r="D845" s="3">
        <f t="shared" si="26"/>
        <v>31</v>
      </c>
      <c r="E845" s="2">
        <f t="shared" si="27"/>
        <v>535.15638721454184</v>
      </c>
    </row>
    <row r="846" spans="1:5" x14ac:dyDescent="0.25">
      <c r="A846" s="2">
        <v>839</v>
      </c>
      <c r="B846" s="4">
        <v>33481</v>
      </c>
      <c r="C846" s="3">
        <v>9.5159737843290078</v>
      </c>
      <c r="D846" s="3">
        <f t="shared" si="26"/>
        <v>31</v>
      </c>
      <c r="E846" s="2">
        <f t="shared" si="27"/>
        <v>585.11442111907286</v>
      </c>
    </row>
    <row r="847" spans="1:5" x14ac:dyDescent="0.25">
      <c r="A847" s="2">
        <v>840</v>
      </c>
      <c r="B847" s="4">
        <v>33511</v>
      </c>
      <c r="C847" s="3">
        <v>8.293956697571808</v>
      </c>
      <c r="D847" s="3">
        <f t="shared" si="26"/>
        <v>30</v>
      </c>
      <c r="E847" s="2">
        <f t="shared" si="27"/>
        <v>493.5246960538596</v>
      </c>
    </row>
    <row r="848" spans="1:5" x14ac:dyDescent="0.25">
      <c r="A848" s="2">
        <v>841</v>
      </c>
      <c r="B848" s="4">
        <v>33542</v>
      </c>
      <c r="C848" s="3">
        <v>5.4658373382517507</v>
      </c>
      <c r="D848" s="3">
        <f t="shared" si="26"/>
        <v>31</v>
      </c>
      <c r="E848" s="2">
        <f t="shared" si="27"/>
        <v>336.0812379883721</v>
      </c>
    </row>
    <row r="849" spans="1:5" x14ac:dyDescent="0.25">
      <c r="A849" s="2">
        <v>842</v>
      </c>
      <c r="B849" s="4">
        <v>33572</v>
      </c>
      <c r="C849" s="3">
        <v>3.5872636552242625</v>
      </c>
      <c r="D849" s="3">
        <f t="shared" si="26"/>
        <v>30</v>
      </c>
      <c r="E849" s="2">
        <f t="shared" si="27"/>
        <v>213.45701088937759</v>
      </c>
    </row>
    <row r="850" spans="1:5" x14ac:dyDescent="0.25">
      <c r="A850" s="2">
        <v>843</v>
      </c>
      <c r="B850" s="4">
        <v>33603</v>
      </c>
      <c r="C850" s="3">
        <v>2.8560231822644888</v>
      </c>
      <c r="D850" s="3">
        <f t="shared" si="26"/>
        <v>31</v>
      </c>
      <c r="E850" s="2">
        <f t="shared" si="27"/>
        <v>175.61002046320493</v>
      </c>
    </row>
    <row r="851" spans="1:5" x14ac:dyDescent="0.25">
      <c r="A851" s="2">
        <v>844</v>
      </c>
      <c r="B851" s="4">
        <v>33634</v>
      </c>
      <c r="C851" s="3">
        <v>2.1740685001168245</v>
      </c>
      <c r="D851" s="3">
        <f t="shared" si="26"/>
        <v>31</v>
      </c>
      <c r="E851" s="2">
        <f t="shared" si="27"/>
        <v>133.67826149478657</v>
      </c>
    </row>
    <row r="852" spans="1:5" x14ac:dyDescent="0.25">
      <c r="A852" s="2">
        <v>845</v>
      </c>
      <c r="B852" s="4">
        <v>33663</v>
      </c>
      <c r="C852" s="3">
        <v>2.0716238135341447</v>
      </c>
      <c r="D852" s="3">
        <f t="shared" si="26"/>
        <v>29</v>
      </c>
      <c r="E852" s="2">
        <f t="shared" si="27"/>
        <v>119.16117142312103</v>
      </c>
    </row>
    <row r="853" spans="1:5" x14ac:dyDescent="0.25">
      <c r="A853" s="2">
        <v>846</v>
      </c>
      <c r="B853" s="4">
        <v>33694</v>
      </c>
      <c r="C853" s="3">
        <v>10.665205316564087</v>
      </c>
      <c r="D853" s="3">
        <f t="shared" si="26"/>
        <v>31</v>
      </c>
      <c r="E853" s="2">
        <f t="shared" si="27"/>
        <v>655.77791367964301</v>
      </c>
    </row>
    <row r="854" spans="1:5" x14ac:dyDescent="0.25">
      <c r="A854" s="2">
        <v>847</v>
      </c>
      <c r="B854" s="4">
        <v>33724</v>
      </c>
      <c r="C854" s="3">
        <v>4.5451516512642671</v>
      </c>
      <c r="D854" s="3">
        <f t="shared" si="26"/>
        <v>30</v>
      </c>
      <c r="E854" s="2">
        <f t="shared" si="27"/>
        <v>270.45530486861759</v>
      </c>
    </row>
    <row r="855" spans="1:5" x14ac:dyDescent="0.25">
      <c r="A855" s="2">
        <v>848</v>
      </c>
      <c r="B855" s="4">
        <v>33755</v>
      </c>
      <c r="C855" s="3">
        <v>6.4893861713050764</v>
      </c>
      <c r="D855" s="3">
        <f t="shared" si="26"/>
        <v>31</v>
      </c>
      <c r="E855" s="2">
        <f t="shared" si="27"/>
        <v>399.01680259925428</v>
      </c>
    </row>
    <row r="856" spans="1:5" x14ac:dyDescent="0.25">
      <c r="A856" s="2">
        <v>849</v>
      </c>
      <c r="B856" s="4">
        <v>33785</v>
      </c>
      <c r="C856" s="3">
        <v>8.8182342930217512</v>
      </c>
      <c r="D856" s="3">
        <f t="shared" si="26"/>
        <v>30</v>
      </c>
      <c r="E856" s="2">
        <f t="shared" si="27"/>
        <v>524.72137941947608</v>
      </c>
    </row>
    <row r="857" spans="1:5" x14ac:dyDescent="0.25">
      <c r="A857" s="2">
        <v>850</v>
      </c>
      <c r="B857" s="4">
        <v>33816</v>
      </c>
      <c r="C857" s="3">
        <v>10.949870987403965</v>
      </c>
      <c r="D857" s="3">
        <f t="shared" si="26"/>
        <v>31</v>
      </c>
      <c r="E857" s="2">
        <f t="shared" si="27"/>
        <v>673.28132352302066</v>
      </c>
    </row>
    <row r="858" spans="1:5" x14ac:dyDescent="0.25">
      <c r="A858" s="2">
        <v>851</v>
      </c>
      <c r="B858" s="4">
        <v>33847</v>
      </c>
      <c r="C858" s="3">
        <v>11.972065693677115</v>
      </c>
      <c r="D858" s="3">
        <f t="shared" si="26"/>
        <v>31</v>
      </c>
      <c r="E858" s="2">
        <f t="shared" si="27"/>
        <v>736.13362612361766</v>
      </c>
    </row>
    <row r="859" spans="1:5" x14ac:dyDescent="0.25">
      <c r="A859" s="2">
        <v>852</v>
      </c>
      <c r="B859" s="4">
        <v>33877</v>
      </c>
      <c r="C859" s="3">
        <v>10.434643547186335</v>
      </c>
      <c r="D859" s="3">
        <f t="shared" si="26"/>
        <v>30</v>
      </c>
      <c r="E859" s="2">
        <f t="shared" si="27"/>
        <v>620.90440941935219</v>
      </c>
    </row>
    <row r="860" spans="1:5" x14ac:dyDescent="0.25">
      <c r="A860" s="2">
        <v>853</v>
      </c>
      <c r="B860" s="4">
        <v>33908</v>
      </c>
      <c r="C860" s="3">
        <v>6.8765809120098709</v>
      </c>
      <c r="D860" s="3">
        <f t="shared" si="26"/>
        <v>31</v>
      </c>
      <c r="E860" s="2">
        <f t="shared" si="27"/>
        <v>422.82447921779703</v>
      </c>
    </row>
    <row r="861" spans="1:5" x14ac:dyDescent="0.25">
      <c r="A861" s="2">
        <v>854</v>
      </c>
      <c r="B861" s="4">
        <v>33938</v>
      </c>
      <c r="C861" s="3">
        <v>4.5131435956255563</v>
      </c>
      <c r="D861" s="3">
        <f t="shared" si="26"/>
        <v>30</v>
      </c>
      <c r="E861" s="2">
        <f t="shared" si="27"/>
        <v>268.55069329342155</v>
      </c>
    </row>
    <row r="862" spans="1:5" x14ac:dyDescent="0.25">
      <c r="A862" s="2">
        <v>855</v>
      </c>
      <c r="B862" s="4">
        <v>33969</v>
      </c>
      <c r="C862" s="3">
        <v>3.5931684907585293</v>
      </c>
      <c r="D862" s="3">
        <f t="shared" si="26"/>
        <v>31</v>
      </c>
      <c r="E862" s="2">
        <f t="shared" si="27"/>
        <v>220.9353187706071</v>
      </c>
    </row>
    <row r="863" spans="1:5" x14ac:dyDescent="0.25">
      <c r="A863" s="2">
        <v>856</v>
      </c>
      <c r="B863" s="4">
        <v>34000</v>
      </c>
      <c r="C863" s="3">
        <v>2.2058786834776751</v>
      </c>
      <c r="D863" s="3">
        <f t="shared" si="26"/>
        <v>31</v>
      </c>
      <c r="E863" s="2">
        <f t="shared" si="27"/>
        <v>135.63419343036281</v>
      </c>
    </row>
    <row r="864" spans="1:5" x14ac:dyDescent="0.25">
      <c r="A864" s="2">
        <v>857</v>
      </c>
      <c r="B864" s="4">
        <v>34028</v>
      </c>
      <c r="C864" s="3">
        <v>14.993235106622931</v>
      </c>
      <c r="D864" s="3">
        <f t="shared" si="26"/>
        <v>28</v>
      </c>
      <c r="E864" s="2">
        <f t="shared" si="27"/>
        <v>832.68214807029835</v>
      </c>
    </row>
    <row r="865" spans="1:5" x14ac:dyDescent="0.25">
      <c r="A865" s="2">
        <v>858</v>
      </c>
      <c r="B865" s="4">
        <v>34059</v>
      </c>
      <c r="C865" s="3">
        <v>21.374017729940768</v>
      </c>
      <c r="D865" s="3">
        <f t="shared" si="26"/>
        <v>31</v>
      </c>
      <c r="E865" s="2">
        <f t="shared" si="27"/>
        <v>1314.2371232294158</v>
      </c>
    </row>
    <row r="866" spans="1:5" x14ac:dyDescent="0.25">
      <c r="A866" s="2">
        <v>859</v>
      </c>
      <c r="B866" s="4">
        <v>34089</v>
      </c>
      <c r="C866" s="3">
        <v>26.245029168479086</v>
      </c>
      <c r="D866" s="3">
        <f t="shared" si="26"/>
        <v>30</v>
      </c>
      <c r="E866" s="2">
        <f t="shared" si="27"/>
        <v>1561.6876860582595</v>
      </c>
    </row>
    <row r="867" spans="1:5" x14ac:dyDescent="0.25">
      <c r="A867" s="2">
        <v>860</v>
      </c>
      <c r="B867" s="4">
        <v>34120</v>
      </c>
      <c r="C867" s="3">
        <v>37.471605442263403</v>
      </c>
      <c r="D867" s="3">
        <f t="shared" si="26"/>
        <v>31</v>
      </c>
      <c r="E867" s="2">
        <f t="shared" si="27"/>
        <v>2304.039210664791</v>
      </c>
    </row>
    <row r="868" spans="1:5" x14ac:dyDescent="0.25">
      <c r="A868" s="2">
        <v>861</v>
      </c>
      <c r="B868" s="4">
        <v>34150</v>
      </c>
      <c r="C868" s="3">
        <v>50.919052650413335</v>
      </c>
      <c r="D868" s="3">
        <f t="shared" si="26"/>
        <v>30</v>
      </c>
      <c r="E868" s="2">
        <f t="shared" si="27"/>
        <v>3029.8940420080662</v>
      </c>
    </row>
    <row r="869" spans="1:5" x14ac:dyDescent="0.25">
      <c r="A869" s="2">
        <v>862</v>
      </c>
      <c r="B869" s="4">
        <v>34181</v>
      </c>
      <c r="C869" s="3">
        <v>63.227743649777487</v>
      </c>
      <c r="D869" s="3">
        <f t="shared" si="26"/>
        <v>31</v>
      </c>
      <c r="E869" s="2">
        <f t="shared" si="27"/>
        <v>3887.7224194573928</v>
      </c>
    </row>
    <row r="870" spans="1:5" x14ac:dyDescent="0.25">
      <c r="A870" s="2">
        <v>863</v>
      </c>
      <c r="B870" s="4">
        <v>34212</v>
      </c>
      <c r="C870" s="3">
        <v>69.130193543730186</v>
      </c>
      <c r="D870" s="3">
        <f t="shared" si="26"/>
        <v>31</v>
      </c>
      <c r="E870" s="2">
        <f t="shared" si="27"/>
        <v>4250.6499170690304</v>
      </c>
    </row>
    <row r="871" spans="1:5" x14ac:dyDescent="0.25">
      <c r="A871" s="2">
        <v>864</v>
      </c>
      <c r="B871" s="4">
        <v>34242</v>
      </c>
      <c r="C871" s="3">
        <v>60.252670377326517</v>
      </c>
      <c r="D871" s="3">
        <f t="shared" si="26"/>
        <v>30</v>
      </c>
      <c r="E871" s="2">
        <f t="shared" si="27"/>
        <v>3585.2828654276937</v>
      </c>
    </row>
    <row r="872" spans="1:5" x14ac:dyDescent="0.25">
      <c r="A872" s="2">
        <v>865</v>
      </c>
      <c r="B872" s="4">
        <v>34273</v>
      </c>
      <c r="C872" s="3">
        <v>39.707380625001754</v>
      </c>
      <c r="D872" s="3">
        <f t="shared" si="26"/>
        <v>31</v>
      </c>
      <c r="E872" s="2">
        <f t="shared" si="27"/>
        <v>2441.5116681819259</v>
      </c>
    </row>
    <row r="873" spans="1:5" x14ac:dyDescent="0.25">
      <c r="A873" s="2">
        <v>866</v>
      </c>
      <c r="B873" s="4">
        <v>34303</v>
      </c>
      <c r="C873" s="3">
        <v>26.06020533457454</v>
      </c>
      <c r="D873" s="3">
        <f t="shared" si="26"/>
        <v>30</v>
      </c>
      <c r="E873" s="2">
        <f t="shared" si="27"/>
        <v>1550.6899042060884</v>
      </c>
    </row>
    <row r="874" spans="1:5" x14ac:dyDescent="0.25">
      <c r="A874" s="2">
        <v>867</v>
      </c>
      <c r="B874" s="4">
        <v>34334</v>
      </c>
      <c r="C874" s="3">
        <v>20.748001185172026</v>
      </c>
      <c r="D874" s="3">
        <f t="shared" si="26"/>
        <v>31</v>
      </c>
      <c r="E874" s="2">
        <f t="shared" si="27"/>
        <v>1275.7448662618172</v>
      </c>
    </row>
    <row r="875" spans="1:5" x14ac:dyDescent="0.25">
      <c r="A875" s="2">
        <v>868</v>
      </c>
      <c r="B875" s="4">
        <v>34365</v>
      </c>
      <c r="C875" s="3">
        <v>2.2665913363980668</v>
      </c>
      <c r="D875" s="3">
        <f t="shared" si="26"/>
        <v>31</v>
      </c>
      <c r="E875" s="2">
        <f t="shared" si="27"/>
        <v>139.3672689487737</v>
      </c>
    </row>
    <row r="876" spans="1:5" x14ac:dyDescent="0.25">
      <c r="A876" s="2">
        <v>869</v>
      </c>
      <c r="B876" s="4">
        <v>34393</v>
      </c>
      <c r="C876" s="3">
        <v>2.1456103783032208</v>
      </c>
      <c r="D876" s="3">
        <f t="shared" si="26"/>
        <v>28</v>
      </c>
      <c r="E876" s="2">
        <f t="shared" si="27"/>
        <v>119.16117142312102</v>
      </c>
    </row>
    <row r="877" spans="1:5" x14ac:dyDescent="0.25">
      <c r="A877" s="2">
        <v>870</v>
      </c>
      <c r="B877" s="4">
        <v>34424</v>
      </c>
      <c r="C877" s="3">
        <v>4.5186565708287816</v>
      </c>
      <c r="D877" s="3">
        <f t="shared" si="26"/>
        <v>31</v>
      </c>
      <c r="E877" s="2">
        <f t="shared" si="27"/>
        <v>277.84136270219943</v>
      </c>
    </row>
    <row r="878" spans="1:5" x14ac:dyDescent="0.25">
      <c r="A878" s="2">
        <v>871</v>
      </c>
      <c r="B878" s="4">
        <v>34454</v>
      </c>
      <c r="C878" s="3">
        <v>9.3022510346860123</v>
      </c>
      <c r="D878" s="3">
        <f t="shared" si="26"/>
        <v>30</v>
      </c>
      <c r="E878" s="2">
        <f t="shared" si="27"/>
        <v>553.52237561768015</v>
      </c>
    </row>
    <row r="879" spans="1:5" x14ac:dyDescent="0.25">
      <c r="A879" s="2">
        <v>872</v>
      </c>
      <c r="B879" s="4">
        <v>34485</v>
      </c>
      <c r="C879" s="3">
        <v>13.281382857645362</v>
      </c>
      <c r="D879" s="3">
        <f t="shared" si="26"/>
        <v>31</v>
      </c>
      <c r="E879" s="2">
        <f t="shared" si="27"/>
        <v>816.64040050315282</v>
      </c>
    </row>
    <row r="880" spans="1:5" x14ac:dyDescent="0.25">
      <c r="A880" s="2">
        <v>873</v>
      </c>
      <c r="B880" s="4">
        <v>34515</v>
      </c>
      <c r="C880" s="3">
        <v>18.047677034835154</v>
      </c>
      <c r="D880" s="3">
        <f t="shared" si="26"/>
        <v>30</v>
      </c>
      <c r="E880" s="2">
        <f t="shared" si="27"/>
        <v>1073.9113607505215</v>
      </c>
    </row>
    <row r="881" spans="1:5" x14ac:dyDescent="0.25">
      <c r="A881" s="2">
        <v>874</v>
      </c>
      <c r="B881" s="4">
        <v>34546</v>
      </c>
      <c r="C881" s="3">
        <v>22.410352071294287</v>
      </c>
      <c r="D881" s="3">
        <f t="shared" si="26"/>
        <v>31</v>
      </c>
      <c r="E881" s="2">
        <f t="shared" si="27"/>
        <v>1377.9588381027231</v>
      </c>
    </row>
    <row r="882" spans="1:5" x14ac:dyDescent="0.25">
      <c r="A882" s="2">
        <v>875</v>
      </c>
      <c r="B882" s="4">
        <v>34577</v>
      </c>
      <c r="C882" s="3">
        <v>24.502408067145389</v>
      </c>
      <c r="D882" s="3">
        <f t="shared" si="26"/>
        <v>31</v>
      </c>
      <c r="E882" s="2">
        <f t="shared" si="27"/>
        <v>1506.5943472691049</v>
      </c>
    </row>
    <row r="883" spans="1:5" x14ac:dyDescent="0.25">
      <c r="A883" s="2">
        <v>876</v>
      </c>
      <c r="B883" s="4">
        <v>34607</v>
      </c>
      <c r="C883" s="3">
        <v>21.355871306602978</v>
      </c>
      <c r="D883" s="3">
        <f t="shared" si="26"/>
        <v>30</v>
      </c>
      <c r="E883" s="2">
        <f t="shared" si="27"/>
        <v>1270.7625901449705</v>
      </c>
    </row>
    <row r="884" spans="1:5" x14ac:dyDescent="0.25">
      <c r="A884" s="2">
        <v>877</v>
      </c>
      <c r="B884" s="4">
        <v>34638</v>
      </c>
      <c r="C884" s="3">
        <v>14.073827852598219</v>
      </c>
      <c r="D884" s="3">
        <f t="shared" si="26"/>
        <v>31</v>
      </c>
      <c r="E884" s="2">
        <f t="shared" si="27"/>
        <v>865.36594399446903</v>
      </c>
    </row>
    <row r="885" spans="1:5" x14ac:dyDescent="0.25">
      <c r="A885" s="2">
        <v>878</v>
      </c>
      <c r="B885" s="4">
        <v>34668</v>
      </c>
      <c r="C885" s="3">
        <v>9.2367423362907299</v>
      </c>
      <c r="D885" s="3">
        <f t="shared" si="26"/>
        <v>30</v>
      </c>
      <c r="E885" s="2">
        <f t="shared" si="27"/>
        <v>549.62433736605999</v>
      </c>
    </row>
    <row r="886" spans="1:5" x14ac:dyDescent="0.25">
      <c r="A886" s="2">
        <v>879</v>
      </c>
      <c r="B886" s="4">
        <v>34699</v>
      </c>
      <c r="C886" s="3">
        <v>7.3538922076807776</v>
      </c>
      <c r="D886" s="3">
        <f t="shared" si="26"/>
        <v>31</v>
      </c>
      <c r="E886" s="2">
        <f t="shared" si="27"/>
        <v>452.17320681938003</v>
      </c>
    </row>
    <row r="887" spans="1:5" x14ac:dyDescent="0.25">
      <c r="A887" s="2">
        <v>880</v>
      </c>
      <c r="B887" s="4">
        <v>34730</v>
      </c>
      <c r="C887" s="3">
        <v>2.1740685001168245</v>
      </c>
      <c r="D887" s="3">
        <f t="shared" si="26"/>
        <v>31</v>
      </c>
      <c r="E887" s="2">
        <f t="shared" si="27"/>
        <v>133.67826149478657</v>
      </c>
    </row>
    <row r="888" spans="1:5" x14ac:dyDescent="0.25">
      <c r="A888" s="2">
        <v>881</v>
      </c>
      <c r="B888" s="4">
        <v>34758</v>
      </c>
      <c r="C888" s="3">
        <v>19.50554889366564</v>
      </c>
      <c r="D888" s="3">
        <f t="shared" si="26"/>
        <v>28</v>
      </c>
      <c r="E888" s="2">
        <f t="shared" si="27"/>
        <v>1083.2833765738274</v>
      </c>
    </row>
    <row r="889" spans="1:5" x14ac:dyDescent="0.25">
      <c r="A889" s="2">
        <v>882</v>
      </c>
      <c r="B889" s="4">
        <v>34789</v>
      </c>
      <c r="C889" s="3">
        <v>20.428488419978933</v>
      </c>
      <c r="D889" s="3">
        <f t="shared" si="26"/>
        <v>31</v>
      </c>
      <c r="E889" s="2">
        <f t="shared" si="27"/>
        <v>1256.0987921044898</v>
      </c>
    </row>
    <row r="890" spans="1:5" x14ac:dyDescent="0.25">
      <c r="A890" s="2">
        <v>883</v>
      </c>
      <c r="B890" s="4">
        <v>34819</v>
      </c>
      <c r="C890" s="3">
        <v>26.245029168479071</v>
      </c>
      <c r="D890" s="3">
        <f t="shared" si="26"/>
        <v>30</v>
      </c>
      <c r="E890" s="2">
        <f t="shared" si="27"/>
        <v>1561.687686058259</v>
      </c>
    </row>
    <row r="891" spans="1:5" x14ac:dyDescent="0.25">
      <c r="A891" s="2">
        <v>884</v>
      </c>
      <c r="B891" s="4">
        <v>34850</v>
      </c>
      <c r="C891" s="3">
        <v>37.471605442263389</v>
      </c>
      <c r="D891" s="3">
        <f t="shared" si="26"/>
        <v>31</v>
      </c>
      <c r="E891" s="2">
        <f t="shared" si="27"/>
        <v>2304.0392106647901</v>
      </c>
    </row>
    <row r="892" spans="1:5" x14ac:dyDescent="0.25">
      <c r="A892" s="2">
        <v>885</v>
      </c>
      <c r="B892" s="4">
        <v>34880</v>
      </c>
      <c r="C892" s="3">
        <v>50.919052650413327</v>
      </c>
      <c r="D892" s="3">
        <f t="shared" si="26"/>
        <v>30</v>
      </c>
      <c r="E892" s="2">
        <f t="shared" si="27"/>
        <v>3029.8940420080662</v>
      </c>
    </row>
    <row r="893" spans="1:5" x14ac:dyDescent="0.25">
      <c r="A893" s="2">
        <v>886</v>
      </c>
      <c r="B893" s="4">
        <v>34911</v>
      </c>
      <c r="C893" s="3">
        <v>63.227743649777459</v>
      </c>
      <c r="D893" s="3">
        <f t="shared" si="26"/>
        <v>31</v>
      </c>
      <c r="E893" s="2">
        <f t="shared" si="27"/>
        <v>3887.7224194573905</v>
      </c>
    </row>
    <row r="894" spans="1:5" x14ac:dyDescent="0.25">
      <c r="A894" s="2">
        <v>887</v>
      </c>
      <c r="B894" s="4">
        <v>34942</v>
      </c>
      <c r="C894" s="3">
        <v>69.130193543730172</v>
      </c>
      <c r="D894" s="3">
        <f t="shared" si="26"/>
        <v>31</v>
      </c>
      <c r="E894" s="2">
        <f t="shared" si="27"/>
        <v>4250.6499170690286</v>
      </c>
    </row>
    <row r="895" spans="1:5" x14ac:dyDescent="0.25">
      <c r="A895" s="2">
        <v>888</v>
      </c>
      <c r="B895" s="4">
        <v>34972</v>
      </c>
      <c r="C895" s="3">
        <v>60.252670377326538</v>
      </c>
      <c r="D895" s="3">
        <f t="shared" si="26"/>
        <v>30</v>
      </c>
      <c r="E895" s="2">
        <f t="shared" si="27"/>
        <v>3585.2828654276946</v>
      </c>
    </row>
    <row r="896" spans="1:5" x14ac:dyDescent="0.25">
      <c r="A896" s="2">
        <v>889</v>
      </c>
      <c r="B896" s="4">
        <v>35003</v>
      </c>
      <c r="C896" s="3">
        <v>39.707380625001761</v>
      </c>
      <c r="D896" s="3">
        <f t="shared" si="26"/>
        <v>31</v>
      </c>
      <c r="E896" s="2">
        <f t="shared" si="27"/>
        <v>2441.5116681819263</v>
      </c>
    </row>
    <row r="897" spans="1:5" x14ac:dyDescent="0.25">
      <c r="A897" s="2">
        <v>890</v>
      </c>
      <c r="B897" s="4">
        <v>35033</v>
      </c>
      <c r="C897" s="3">
        <v>26.060205334574551</v>
      </c>
      <c r="D897" s="3">
        <f t="shared" si="26"/>
        <v>30</v>
      </c>
      <c r="E897" s="2">
        <f t="shared" si="27"/>
        <v>1550.6899042060888</v>
      </c>
    </row>
    <row r="898" spans="1:5" x14ac:dyDescent="0.25">
      <c r="A898" s="2">
        <v>891</v>
      </c>
      <c r="B898" s="4">
        <v>35064</v>
      </c>
      <c r="C898" s="3">
        <v>20.748001185172026</v>
      </c>
      <c r="D898" s="3">
        <f t="shared" si="26"/>
        <v>31</v>
      </c>
      <c r="E898" s="2">
        <f t="shared" si="27"/>
        <v>1275.7448662618172</v>
      </c>
    </row>
    <row r="899" spans="1:5" x14ac:dyDescent="0.25">
      <c r="A899" s="2">
        <v>892</v>
      </c>
      <c r="B899" s="4">
        <v>35095</v>
      </c>
      <c r="C899" s="3">
        <v>15.105528879677895</v>
      </c>
      <c r="D899" s="3">
        <f t="shared" si="26"/>
        <v>31</v>
      </c>
      <c r="E899" s="2">
        <f t="shared" si="27"/>
        <v>928.80276747771529</v>
      </c>
    </row>
    <row r="900" spans="1:5" x14ac:dyDescent="0.25">
      <c r="A900" s="2">
        <v>893</v>
      </c>
      <c r="B900" s="4">
        <v>35124</v>
      </c>
      <c r="C900" s="3">
        <v>18.832943759401314</v>
      </c>
      <c r="D900" s="3">
        <f t="shared" si="26"/>
        <v>29</v>
      </c>
      <c r="E900" s="2">
        <f t="shared" si="27"/>
        <v>1083.2833765738276</v>
      </c>
    </row>
    <row r="901" spans="1:5" x14ac:dyDescent="0.25">
      <c r="A901" s="2">
        <v>894</v>
      </c>
      <c r="B901" s="4">
        <v>35155</v>
      </c>
      <c r="C901" s="3">
        <v>21.374017729940768</v>
      </c>
      <c r="D901" s="3">
        <f t="shared" si="26"/>
        <v>31</v>
      </c>
      <c r="E901" s="2">
        <f t="shared" si="27"/>
        <v>1314.2371232294158</v>
      </c>
    </row>
    <row r="902" spans="1:5" x14ac:dyDescent="0.25">
      <c r="A902" s="2">
        <v>895</v>
      </c>
      <c r="B902" s="4">
        <v>35185</v>
      </c>
      <c r="C902" s="3">
        <v>26.245029168479078</v>
      </c>
      <c r="D902" s="3">
        <f t="shared" si="26"/>
        <v>30</v>
      </c>
      <c r="E902" s="2">
        <f t="shared" si="27"/>
        <v>1561.6876860582595</v>
      </c>
    </row>
    <row r="903" spans="1:5" x14ac:dyDescent="0.25">
      <c r="A903" s="2">
        <v>896</v>
      </c>
      <c r="B903" s="4">
        <v>35216</v>
      </c>
      <c r="C903" s="3">
        <v>37.47160544226341</v>
      </c>
      <c r="D903" s="3">
        <f t="shared" si="26"/>
        <v>31</v>
      </c>
      <c r="E903" s="2">
        <f t="shared" si="27"/>
        <v>2304.0392106647914</v>
      </c>
    </row>
    <row r="904" spans="1:5" x14ac:dyDescent="0.25">
      <c r="A904" s="2">
        <v>897</v>
      </c>
      <c r="B904" s="4">
        <v>35246</v>
      </c>
      <c r="C904" s="3">
        <v>50.919052650413335</v>
      </c>
      <c r="D904" s="3">
        <f t="shared" si="26"/>
        <v>30</v>
      </c>
      <c r="E904" s="2">
        <f t="shared" si="27"/>
        <v>3029.8940420080662</v>
      </c>
    </row>
    <row r="905" spans="1:5" x14ac:dyDescent="0.25">
      <c r="A905" s="2">
        <v>898</v>
      </c>
      <c r="B905" s="4">
        <v>35277</v>
      </c>
      <c r="C905" s="3">
        <v>63.227743649777487</v>
      </c>
      <c r="D905" s="3">
        <f t="shared" ref="D905:D968" si="28">DAY(EOMONTH(B905,0))</f>
        <v>31</v>
      </c>
      <c r="E905" s="2">
        <f t="shared" ref="E905:E968" si="29">C905*D905*86400/43560</f>
        <v>3887.7224194573928</v>
      </c>
    </row>
    <row r="906" spans="1:5" x14ac:dyDescent="0.25">
      <c r="A906" s="2">
        <v>899</v>
      </c>
      <c r="B906" s="4">
        <v>35308</v>
      </c>
      <c r="C906" s="3">
        <v>69.130193543730201</v>
      </c>
      <c r="D906" s="3">
        <f t="shared" si="28"/>
        <v>31</v>
      </c>
      <c r="E906" s="2">
        <f t="shared" si="29"/>
        <v>4250.6499170690313</v>
      </c>
    </row>
    <row r="907" spans="1:5" x14ac:dyDescent="0.25">
      <c r="A907" s="2">
        <v>900</v>
      </c>
      <c r="B907" s="4">
        <v>35338</v>
      </c>
      <c r="C907" s="3">
        <v>60.252670377326552</v>
      </c>
      <c r="D907" s="3">
        <f t="shared" si="28"/>
        <v>30</v>
      </c>
      <c r="E907" s="2">
        <f t="shared" si="29"/>
        <v>3585.2828654276959</v>
      </c>
    </row>
    <row r="908" spans="1:5" x14ac:dyDescent="0.25">
      <c r="A908" s="2">
        <v>901</v>
      </c>
      <c r="B908" s="4">
        <v>35369</v>
      </c>
      <c r="C908" s="3">
        <v>39.707380625001761</v>
      </c>
      <c r="D908" s="3">
        <f t="shared" si="28"/>
        <v>31</v>
      </c>
      <c r="E908" s="2">
        <f t="shared" si="29"/>
        <v>2441.5116681819263</v>
      </c>
    </row>
    <row r="909" spans="1:5" x14ac:dyDescent="0.25">
      <c r="A909" s="2">
        <v>902</v>
      </c>
      <c r="B909" s="4">
        <v>35399</v>
      </c>
      <c r="C909" s="3">
        <v>26.060205334574544</v>
      </c>
      <c r="D909" s="3">
        <f t="shared" si="28"/>
        <v>30</v>
      </c>
      <c r="E909" s="2">
        <f t="shared" si="29"/>
        <v>1550.6899042060884</v>
      </c>
    </row>
    <row r="910" spans="1:5" x14ac:dyDescent="0.25">
      <c r="A910" s="2">
        <v>903</v>
      </c>
      <c r="B910" s="4">
        <v>35430</v>
      </c>
      <c r="C910" s="3">
        <v>20.748001185172033</v>
      </c>
      <c r="D910" s="3">
        <f t="shared" si="28"/>
        <v>31</v>
      </c>
      <c r="E910" s="2">
        <f t="shared" si="29"/>
        <v>1275.7448662618176</v>
      </c>
    </row>
    <row r="911" spans="1:5" x14ac:dyDescent="0.25">
      <c r="A911" s="2">
        <v>904</v>
      </c>
      <c r="B911" s="4">
        <v>35461</v>
      </c>
      <c r="C911" s="3">
        <v>19.764259091971134</v>
      </c>
      <c r="D911" s="3">
        <f t="shared" si="28"/>
        <v>31</v>
      </c>
      <c r="E911" s="2">
        <f t="shared" si="29"/>
        <v>1215.256922679878</v>
      </c>
    </row>
    <row r="912" spans="1:5" x14ac:dyDescent="0.25">
      <c r="A912" s="2">
        <v>905</v>
      </c>
      <c r="B912" s="4">
        <v>35489</v>
      </c>
      <c r="C912" s="3">
        <v>19.505548893665637</v>
      </c>
      <c r="D912" s="3">
        <f t="shared" si="28"/>
        <v>28</v>
      </c>
      <c r="E912" s="2">
        <f t="shared" si="29"/>
        <v>1083.2833765738271</v>
      </c>
    </row>
    <row r="913" spans="1:5" x14ac:dyDescent="0.25">
      <c r="A913" s="2">
        <v>906</v>
      </c>
      <c r="B913" s="4">
        <v>35520</v>
      </c>
      <c r="C913" s="3">
        <v>21.374017729940764</v>
      </c>
      <c r="D913" s="3">
        <f t="shared" si="28"/>
        <v>31</v>
      </c>
      <c r="E913" s="2">
        <f t="shared" si="29"/>
        <v>1314.2371232294156</v>
      </c>
    </row>
    <row r="914" spans="1:5" x14ac:dyDescent="0.25">
      <c r="A914" s="2">
        <v>907</v>
      </c>
      <c r="B914" s="4">
        <v>35550</v>
      </c>
      <c r="C914" s="3">
        <v>26.245029168479068</v>
      </c>
      <c r="D914" s="3">
        <f t="shared" si="28"/>
        <v>30</v>
      </c>
      <c r="E914" s="2">
        <f t="shared" si="29"/>
        <v>1561.6876860582588</v>
      </c>
    </row>
    <row r="915" spans="1:5" x14ac:dyDescent="0.25">
      <c r="A915" s="2">
        <v>908</v>
      </c>
      <c r="B915" s="4">
        <v>35581</v>
      </c>
      <c r="C915" s="3">
        <v>37.471605442263396</v>
      </c>
      <c r="D915" s="3">
        <f t="shared" si="28"/>
        <v>31</v>
      </c>
      <c r="E915" s="2">
        <f t="shared" si="29"/>
        <v>2304.039210664791</v>
      </c>
    </row>
    <row r="916" spans="1:5" x14ac:dyDescent="0.25">
      <c r="A916" s="2">
        <v>909</v>
      </c>
      <c r="B916" s="4">
        <v>35611</v>
      </c>
      <c r="C916" s="3">
        <v>50.919052650413342</v>
      </c>
      <c r="D916" s="3">
        <f t="shared" si="28"/>
        <v>30</v>
      </c>
      <c r="E916" s="2">
        <f t="shared" si="29"/>
        <v>3029.8940420080662</v>
      </c>
    </row>
    <row r="917" spans="1:5" x14ac:dyDescent="0.25">
      <c r="A917" s="2">
        <v>910</v>
      </c>
      <c r="B917" s="4">
        <v>35642</v>
      </c>
      <c r="C917" s="3">
        <v>63.227743649777466</v>
      </c>
      <c r="D917" s="3">
        <f t="shared" si="28"/>
        <v>31</v>
      </c>
      <c r="E917" s="2">
        <f t="shared" si="29"/>
        <v>3887.7224194573914</v>
      </c>
    </row>
    <row r="918" spans="1:5" x14ac:dyDescent="0.25">
      <c r="A918" s="2">
        <v>911</v>
      </c>
      <c r="B918" s="4">
        <v>35673</v>
      </c>
      <c r="C918" s="3">
        <v>69.130193543730201</v>
      </c>
      <c r="D918" s="3">
        <f t="shared" si="28"/>
        <v>31</v>
      </c>
      <c r="E918" s="2">
        <f t="shared" si="29"/>
        <v>4250.6499170690313</v>
      </c>
    </row>
    <row r="919" spans="1:5" x14ac:dyDescent="0.25">
      <c r="A919" s="2">
        <v>912</v>
      </c>
      <c r="B919" s="4">
        <v>35703</v>
      </c>
      <c r="C919" s="3">
        <v>60.252670377326538</v>
      </c>
      <c r="D919" s="3">
        <f t="shared" si="28"/>
        <v>30</v>
      </c>
      <c r="E919" s="2">
        <f t="shared" si="29"/>
        <v>3585.2828654276946</v>
      </c>
    </row>
    <row r="920" spans="1:5" x14ac:dyDescent="0.25">
      <c r="A920" s="2">
        <v>913</v>
      </c>
      <c r="B920" s="4">
        <v>35734</v>
      </c>
      <c r="C920" s="3">
        <v>39.707380625001761</v>
      </c>
      <c r="D920" s="3">
        <f t="shared" si="28"/>
        <v>31</v>
      </c>
      <c r="E920" s="2">
        <f t="shared" si="29"/>
        <v>2441.5116681819263</v>
      </c>
    </row>
    <row r="921" spans="1:5" x14ac:dyDescent="0.25">
      <c r="A921" s="2">
        <v>914</v>
      </c>
      <c r="B921" s="4">
        <v>35764</v>
      </c>
      <c r="C921" s="3">
        <v>26.060205334574537</v>
      </c>
      <c r="D921" s="3">
        <f t="shared" si="28"/>
        <v>30</v>
      </c>
      <c r="E921" s="2">
        <f t="shared" si="29"/>
        <v>1550.6899042060882</v>
      </c>
    </row>
    <row r="922" spans="1:5" x14ac:dyDescent="0.25">
      <c r="A922" s="2">
        <v>915</v>
      </c>
      <c r="B922" s="4">
        <v>35795</v>
      </c>
      <c r="C922" s="3">
        <v>20.748001185172029</v>
      </c>
      <c r="D922" s="3">
        <f t="shared" si="28"/>
        <v>31</v>
      </c>
      <c r="E922" s="2">
        <f t="shared" si="29"/>
        <v>1275.7448662618174</v>
      </c>
    </row>
    <row r="923" spans="1:5" x14ac:dyDescent="0.25">
      <c r="A923" s="2">
        <v>916</v>
      </c>
      <c r="B923" s="4">
        <v>35826</v>
      </c>
      <c r="C923" s="3">
        <v>3.9208085625250262</v>
      </c>
      <c r="D923" s="3">
        <f t="shared" si="28"/>
        <v>31</v>
      </c>
      <c r="E923" s="2">
        <f t="shared" si="29"/>
        <v>241.08112153046443</v>
      </c>
    </row>
    <row r="924" spans="1:5" x14ac:dyDescent="0.25">
      <c r="A924" s="2">
        <v>917</v>
      </c>
      <c r="B924" s="4">
        <v>35854</v>
      </c>
      <c r="C924" s="3">
        <v>19.505548893665644</v>
      </c>
      <c r="D924" s="3">
        <f t="shared" si="28"/>
        <v>28</v>
      </c>
      <c r="E924" s="2">
        <f t="shared" si="29"/>
        <v>1083.2833765738276</v>
      </c>
    </row>
    <row r="925" spans="1:5" x14ac:dyDescent="0.25">
      <c r="A925" s="2">
        <v>918</v>
      </c>
      <c r="B925" s="4">
        <v>35885</v>
      </c>
      <c r="C925" s="3">
        <v>21.374017729940761</v>
      </c>
      <c r="D925" s="3">
        <f t="shared" si="28"/>
        <v>31</v>
      </c>
      <c r="E925" s="2">
        <f t="shared" si="29"/>
        <v>1314.2371232294154</v>
      </c>
    </row>
    <row r="926" spans="1:5" x14ac:dyDescent="0.25">
      <c r="A926" s="2">
        <v>919</v>
      </c>
      <c r="B926" s="4">
        <v>35915</v>
      </c>
      <c r="C926" s="3">
        <v>26.245029168479082</v>
      </c>
      <c r="D926" s="3">
        <f t="shared" si="28"/>
        <v>30</v>
      </c>
      <c r="E926" s="2">
        <f t="shared" si="29"/>
        <v>1561.6876860582595</v>
      </c>
    </row>
    <row r="927" spans="1:5" x14ac:dyDescent="0.25">
      <c r="A927" s="2">
        <v>920</v>
      </c>
      <c r="B927" s="4">
        <v>35946</v>
      </c>
      <c r="C927" s="3">
        <v>37.471605442263396</v>
      </c>
      <c r="D927" s="3">
        <f t="shared" si="28"/>
        <v>31</v>
      </c>
      <c r="E927" s="2">
        <f t="shared" si="29"/>
        <v>2304.039210664791</v>
      </c>
    </row>
    <row r="928" spans="1:5" x14ac:dyDescent="0.25">
      <c r="A928" s="2">
        <v>921</v>
      </c>
      <c r="B928" s="4">
        <v>35976</v>
      </c>
      <c r="C928" s="3">
        <v>50.919052650413335</v>
      </c>
      <c r="D928" s="3">
        <f t="shared" si="28"/>
        <v>30</v>
      </c>
      <c r="E928" s="2">
        <f t="shared" si="29"/>
        <v>3029.8940420080662</v>
      </c>
    </row>
    <row r="929" spans="1:5" x14ac:dyDescent="0.25">
      <c r="A929" s="2">
        <v>922</v>
      </c>
      <c r="B929" s="4">
        <v>36007</v>
      </c>
      <c r="C929" s="3">
        <v>63.227743649777445</v>
      </c>
      <c r="D929" s="3">
        <f t="shared" si="28"/>
        <v>31</v>
      </c>
      <c r="E929" s="2">
        <f t="shared" si="29"/>
        <v>3887.7224194573901</v>
      </c>
    </row>
    <row r="930" spans="1:5" x14ac:dyDescent="0.25">
      <c r="A930" s="2">
        <v>923</v>
      </c>
      <c r="B930" s="4">
        <v>36038</v>
      </c>
      <c r="C930" s="3">
        <v>69.13019354373013</v>
      </c>
      <c r="D930" s="3">
        <f t="shared" si="28"/>
        <v>31</v>
      </c>
      <c r="E930" s="2">
        <f t="shared" si="29"/>
        <v>4250.6499170690258</v>
      </c>
    </row>
    <row r="931" spans="1:5" x14ac:dyDescent="0.25">
      <c r="A931" s="2">
        <v>924</v>
      </c>
      <c r="B931" s="4">
        <v>36068</v>
      </c>
      <c r="C931" s="3">
        <v>60.25267037732651</v>
      </c>
      <c r="D931" s="3">
        <f t="shared" si="28"/>
        <v>30</v>
      </c>
      <c r="E931" s="2">
        <f t="shared" si="29"/>
        <v>3585.2828654276932</v>
      </c>
    </row>
    <row r="932" spans="1:5" x14ac:dyDescent="0.25">
      <c r="A932" s="2">
        <v>925</v>
      </c>
      <c r="B932" s="4">
        <v>36099</v>
      </c>
      <c r="C932" s="3">
        <v>39.707380625001747</v>
      </c>
      <c r="D932" s="3">
        <f t="shared" si="28"/>
        <v>31</v>
      </c>
      <c r="E932" s="2">
        <f t="shared" si="29"/>
        <v>2441.5116681819254</v>
      </c>
    </row>
    <row r="933" spans="1:5" x14ac:dyDescent="0.25">
      <c r="A933" s="2">
        <v>926</v>
      </c>
      <c r="B933" s="4">
        <v>36129</v>
      </c>
      <c r="C933" s="3">
        <v>26.060205334574519</v>
      </c>
      <c r="D933" s="3">
        <f t="shared" si="28"/>
        <v>30</v>
      </c>
      <c r="E933" s="2">
        <f t="shared" si="29"/>
        <v>1550.689904206087</v>
      </c>
    </row>
    <row r="934" spans="1:5" x14ac:dyDescent="0.25">
      <c r="A934" s="2">
        <v>927</v>
      </c>
      <c r="B934" s="4">
        <v>36160</v>
      </c>
      <c r="C934" s="3">
        <v>20.748001185172019</v>
      </c>
      <c r="D934" s="3">
        <f t="shared" si="28"/>
        <v>31</v>
      </c>
      <c r="E934" s="2">
        <f t="shared" si="29"/>
        <v>1275.7448662618167</v>
      </c>
    </row>
    <row r="935" spans="1:5" x14ac:dyDescent="0.25">
      <c r="A935" s="2">
        <v>928</v>
      </c>
      <c r="B935" s="4">
        <v>36191</v>
      </c>
      <c r="C935" s="3">
        <v>19.764259091971134</v>
      </c>
      <c r="D935" s="3">
        <f t="shared" si="28"/>
        <v>31</v>
      </c>
      <c r="E935" s="2">
        <f t="shared" si="29"/>
        <v>1215.256922679878</v>
      </c>
    </row>
    <row r="936" spans="1:5" x14ac:dyDescent="0.25">
      <c r="A936" s="2">
        <v>929</v>
      </c>
      <c r="B936" s="4">
        <v>36219</v>
      </c>
      <c r="C936" s="3">
        <v>19.50554889366564</v>
      </c>
      <c r="D936" s="3">
        <f t="shared" si="28"/>
        <v>28</v>
      </c>
      <c r="E936" s="2">
        <f t="shared" si="29"/>
        <v>1083.2833765738274</v>
      </c>
    </row>
    <row r="937" spans="1:5" x14ac:dyDescent="0.25">
      <c r="A937" s="2">
        <v>930</v>
      </c>
      <c r="B937" s="4">
        <v>36250</v>
      </c>
      <c r="C937" s="3">
        <v>21.374017729940761</v>
      </c>
      <c r="D937" s="3">
        <f t="shared" si="28"/>
        <v>31</v>
      </c>
      <c r="E937" s="2">
        <f t="shared" si="29"/>
        <v>1314.2371232294154</v>
      </c>
    </row>
    <row r="938" spans="1:5" x14ac:dyDescent="0.25">
      <c r="A938" s="2">
        <v>931</v>
      </c>
      <c r="B938" s="4">
        <v>36280</v>
      </c>
      <c r="C938" s="3">
        <v>26.245029168479068</v>
      </c>
      <c r="D938" s="3">
        <f t="shared" si="28"/>
        <v>30</v>
      </c>
      <c r="E938" s="2">
        <f t="shared" si="29"/>
        <v>1561.6876860582588</v>
      </c>
    </row>
    <row r="939" spans="1:5" x14ac:dyDescent="0.25">
      <c r="A939" s="2">
        <v>932</v>
      </c>
      <c r="B939" s="4">
        <v>36311</v>
      </c>
      <c r="C939" s="3">
        <v>37.471605442263389</v>
      </c>
      <c r="D939" s="3">
        <f t="shared" si="28"/>
        <v>31</v>
      </c>
      <c r="E939" s="2">
        <f t="shared" si="29"/>
        <v>2304.0392106647901</v>
      </c>
    </row>
    <row r="940" spans="1:5" x14ac:dyDescent="0.25">
      <c r="A940" s="2">
        <v>933</v>
      </c>
      <c r="B940" s="4">
        <v>36341</v>
      </c>
      <c r="C940" s="3">
        <v>50.919052650413356</v>
      </c>
      <c r="D940" s="3">
        <f t="shared" si="28"/>
        <v>30</v>
      </c>
      <c r="E940" s="2">
        <f t="shared" si="29"/>
        <v>3029.8940420080676</v>
      </c>
    </row>
    <row r="941" spans="1:5" x14ac:dyDescent="0.25">
      <c r="A941" s="2">
        <v>934</v>
      </c>
      <c r="B941" s="4">
        <v>36372</v>
      </c>
      <c r="C941" s="3">
        <v>63.227743649777487</v>
      </c>
      <c r="D941" s="3">
        <f t="shared" si="28"/>
        <v>31</v>
      </c>
      <c r="E941" s="2">
        <f t="shared" si="29"/>
        <v>3887.7224194573928</v>
      </c>
    </row>
    <row r="942" spans="1:5" x14ac:dyDescent="0.25">
      <c r="A942" s="2">
        <v>935</v>
      </c>
      <c r="B942" s="4">
        <v>36403</v>
      </c>
      <c r="C942" s="3">
        <v>69.130193543730186</v>
      </c>
      <c r="D942" s="3">
        <f t="shared" si="28"/>
        <v>31</v>
      </c>
      <c r="E942" s="2">
        <f t="shared" si="29"/>
        <v>4250.6499170690304</v>
      </c>
    </row>
    <row r="943" spans="1:5" x14ac:dyDescent="0.25">
      <c r="A943" s="2">
        <v>936</v>
      </c>
      <c r="B943" s="4">
        <v>36433</v>
      </c>
      <c r="C943" s="3">
        <v>60.252670377326545</v>
      </c>
      <c r="D943" s="3">
        <f t="shared" si="28"/>
        <v>30</v>
      </c>
      <c r="E943" s="2">
        <f t="shared" si="29"/>
        <v>3585.282865427695</v>
      </c>
    </row>
    <row r="944" spans="1:5" x14ac:dyDescent="0.25">
      <c r="A944" s="2">
        <v>937</v>
      </c>
      <c r="B944" s="4">
        <v>36464</v>
      </c>
      <c r="C944" s="3">
        <v>39.707380625001768</v>
      </c>
      <c r="D944" s="3">
        <f t="shared" si="28"/>
        <v>31</v>
      </c>
      <c r="E944" s="2">
        <f t="shared" si="29"/>
        <v>2441.5116681819268</v>
      </c>
    </row>
    <row r="945" spans="1:5" x14ac:dyDescent="0.25">
      <c r="A945" s="2">
        <v>938</v>
      </c>
      <c r="B945" s="4">
        <v>36494</v>
      </c>
      <c r="C945" s="3">
        <v>26.060205334574533</v>
      </c>
      <c r="D945" s="3">
        <f t="shared" si="28"/>
        <v>30</v>
      </c>
      <c r="E945" s="2">
        <f t="shared" si="29"/>
        <v>1550.6899042060877</v>
      </c>
    </row>
    <row r="946" spans="1:5" x14ac:dyDescent="0.25">
      <c r="A946" s="2">
        <v>939</v>
      </c>
      <c r="B946" s="4">
        <v>36525</v>
      </c>
      <c r="C946" s="3">
        <v>20.748001185172033</v>
      </c>
      <c r="D946" s="3">
        <f t="shared" si="28"/>
        <v>31</v>
      </c>
      <c r="E946" s="2">
        <f t="shared" si="29"/>
        <v>1275.7448662618176</v>
      </c>
    </row>
    <row r="947" spans="1:5" x14ac:dyDescent="0.25">
      <c r="A947" s="2">
        <v>940</v>
      </c>
      <c r="B947" s="4">
        <v>36556</v>
      </c>
      <c r="C947" s="3">
        <v>3.8623677391734081</v>
      </c>
      <c r="D947" s="3">
        <f t="shared" si="28"/>
        <v>31</v>
      </c>
      <c r="E947" s="2">
        <f t="shared" si="29"/>
        <v>237.48773536735666</v>
      </c>
    </row>
    <row r="948" spans="1:5" x14ac:dyDescent="0.25">
      <c r="A948" s="2">
        <v>941</v>
      </c>
      <c r="B948" s="4">
        <v>36585</v>
      </c>
      <c r="C948" s="3">
        <v>12.119161430276446</v>
      </c>
      <c r="D948" s="3">
        <f t="shared" si="28"/>
        <v>29</v>
      </c>
      <c r="E948" s="2">
        <f t="shared" si="29"/>
        <v>697.10217813821532</v>
      </c>
    </row>
    <row r="949" spans="1:5" x14ac:dyDescent="0.25">
      <c r="A949" s="2">
        <v>942</v>
      </c>
      <c r="B949" s="4">
        <v>36616</v>
      </c>
      <c r="C949" s="3">
        <v>21.374017729940764</v>
      </c>
      <c r="D949" s="3">
        <f t="shared" si="28"/>
        <v>31</v>
      </c>
      <c r="E949" s="2">
        <f t="shared" si="29"/>
        <v>1314.2371232294156</v>
      </c>
    </row>
    <row r="950" spans="1:5" x14ac:dyDescent="0.25">
      <c r="A950" s="2">
        <v>943</v>
      </c>
      <c r="B950" s="4">
        <v>36646</v>
      </c>
      <c r="C950" s="3">
        <v>26.245029168479082</v>
      </c>
      <c r="D950" s="3">
        <f t="shared" si="28"/>
        <v>30</v>
      </c>
      <c r="E950" s="2">
        <f t="shared" si="29"/>
        <v>1561.6876860582595</v>
      </c>
    </row>
    <row r="951" spans="1:5" x14ac:dyDescent="0.25">
      <c r="A951" s="2">
        <v>944</v>
      </c>
      <c r="B951" s="4">
        <v>36677</v>
      </c>
      <c r="C951" s="3">
        <v>37.471605442263389</v>
      </c>
      <c r="D951" s="3">
        <f t="shared" si="28"/>
        <v>31</v>
      </c>
      <c r="E951" s="2">
        <f t="shared" si="29"/>
        <v>2304.0392106647901</v>
      </c>
    </row>
    <row r="952" spans="1:5" x14ac:dyDescent="0.25">
      <c r="A952" s="2">
        <v>945</v>
      </c>
      <c r="B952" s="4">
        <v>36707</v>
      </c>
      <c r="C952" s="3">
        <v>50.919052650413342</v>
      </c>
      <c r="D952" s="3">
        <f t="shared" si="28"/>
        <v>30</v>
      </c>
      <c r="E952" s="2">
        <f t="shared" si="29"/>
        <v>3029.8940420080662</v>
      </c>
    </row>
    <row r="953" spans="1:5" x14ac:dyDescent="0.25">
      <c r="A953" s="2">
        <v>946</v>
      </c>
      <c r="B953" s="4">
        <v>36738</v>
      </c>
      <c r="C953" s="3">
        <v>63.227743649777466</v>
      </c>
      <c r="D953" s="3">
        <f t="shared" si="28"/>
        <v>31</v>
      </c>
      <c r="E953" s="2">
        <f t="shared" si="29"/>
        <v>3887.7224194573914</v>
      </c>
    </row>
    <row r="954" spans="1:5" x14ac:dyDescent="0.25">
      <c r="A954" s="2">
        <v>947</v>
      </c>
      <c r="B954" s="4">
        <v>36769</v>
      </c>
      <c r="C954" s="3">
        <v>69.130193543730172</v>
      </c>
      <c r="D954" s="3">
        <f t="shared" si="28"/>
        <v>31</v>
      </c>
      <c r="E954" s="2">
        <f t="shared" si="29"/>
        <v>4250.6499170690286</v>
      </c>
    </row>
    <row r="955" spans="1:5" x14ac:dyDescent="0.25">
      <c r="A955" s="2">
        <v>948</v>
      </c>
      <c r="B955" s="4">
        <v>36799</v>
      </c>
      <c r="C955" s="3">
        <v>60.252670377326517</v>
      </c>
      <c r="D955" s="3">
        <f t="shared" si="28"/>
        <v>30</v>
      </c>
      <c r="E955" s="2">
        <f t="shared" si="29"/>
        <v>3585.2828654276937</v>
      </c>
    </row>
    <row r="956" spans="1:5" x14ac:dyDescent="0.25">
      <c r="A956" s="2">
        <v>949</v>
      </c>
      <c r="B956" s="4">
        <v>36830</v>
      </c>
      <c r="C956" s="3">
        <v>39.707380625001754</v>
      </c>
      <c r="D956" s="3">
        <f t="shared" si="28"/>
        <v>31</v>
      </c>
      <c r="E956" s="2">
        <f t="shared" si="29"/>
        <v>2441.5116681819259</v>
      </c>
    </row>
    <row r="957" spans="1:5" x14ac:dyDescent="0.25">
      <c r="A957" s="2">
        <v>950</v>
      </c>
      <c r="B957" s="4">
        <v>36860</v>
      </c>
      <c r="C957" s="3">
        <v>26.060205334574537</v>
      </c>
      <c r="D957" s="3">
        <f t="shared" si="28"/>
        <v>30</v>
      </c>
      <c r="E957" s="2">
        <f t="shared" si="29"/>
        <v>1550.6899042060882</v>
      </c>
    </row>
    <row r="958" spans="1:5" x14ac:dyDescent="0.25">
      <c r="A958" s="2">
        <v>951</v>
      </c>
      <c r="B958" s="4">
        <v>36891</v>
      </c>
      <c r="C958" s="3">
        <v>20.748001185172033</v>
      </c>
      <c r="D958" s="3">
        <f t="shared" si="28"/>
        <v>31</v>
      </c>
      <c r="E958" s="2">
        <f t="shared" si="29"/>
        <v>1275.7448662618176</v>
      </c>
    </row>
    <row r="959" spans="1:5" x14ac:dyDescent="0.25">
      <c r="A959" s="2">
        <v>952</v>
      </c>
      <c r="B959" s="4">
        <v>36922</v>
      </c>
      <c r="C959" s="3">
        <v>2.1740685001168245</v>
      </c>
      <c r="D959" s="3">
        <f t="shared" si="28"/>
        <v>31</v>
      </c>
      <c r="E959" s="2">
        <f t="shared" si="29"/>
        <v>133.67826149478657</v>
      </c>
    </row>
    <row r="960" spans="1:5" x14ac:dyDescent="0.25">
      <c r="A960" s="2">
        <v>953</v>
      </c>
      <c r="B960" s="4">
        <v>36950</v>
      </c>
      <c r="C960" s="3">
        <v>2.1456103783032212</v>
      </c>
      <c r="D960" s="3">
        <f t="shared" si="28"/>
        <v>28</v>
      </c>
      <c r="E960" s="2">
        <f t="shared" si="29"/>
        <v>119.16117142312103</v>
      </c>
    </row>
    <row r="961" spans="1:5" x14ac:dyDescent="0.25">
      <c r="A961" s="2">
        <v>954</v>
      </c>
      <c r="B961" s="4">
        <v>36981</v>
      </c>
      <c r="C961" s="3">
        <v>4.1900833033023011</v>
      </c>
      <c r="D961" s="3">
        <f t="shared" si="28"/>
        <v>31</v>
      </c>
      <c r="E961" s="2">
        <f t="shared" si="29"/>
        <v>257.63817997164563</v>
      </c>
    </row>
    <row r="962" spans="1:5" x14ac:dyDescent="0.25">
      <c r="A962" s="2">
        <v>955</v>
      </c>
      <c r="B962" s="4">
        <v>37011</v>
      </c>
      <c r="C962" s="3">
        <v>5.5105987567592001</v>
      </c>
      <c r="D962" s="3">
        <f t="shared" si="28"/>
        <v>30</v>
      </c>
      <c r="E962" s="2">
        <f t="shared" si="29"/>
        <v>327.90339709641523</v>
      </c>
    </row>
    <row r="963" spans="1:5" x14ac:dyDescent="0.25">
      <c r="A963" s="2">
        <v>956</v>
      </c>
      <c r="B963" s="4">
        <v>37042</v>
      </c>
      <c r="C963" s="3">
        <v>8.3832862819016878</v>
      </c>
      <c r="D963" s="3">
        <f t="shared" si="28"/>
        <v>31</v>
      </c>
      <c r="E963" s="2">
        <f t="shared" si="29"/>
        <v>515.46818130040128</v>
      </c>
    </row>
    <row r="964" spans="1:5" x14ac:dyDescent="0.25">
      <c r="A964" s="2">
        <v>957</v>
      </c>
      <c r="B964" s="4">
        <v>37072</v>
      </c>
      <c r="C964" s="3">
        <v>11.391798951058126</v>
      </c>
      <c r="D964" s="3">
        <f t="shared" si="28"/>
        <v>30</v>
      </c>
      <c r="E964" s="2">
        <f t="shared" si="29"/>
        <v>677.85911113734312</v>
      </c>
    </row>
    <row r="965" spans="1:5" x14ac:dyDescent="0.25">
      <c r="A965" s="2">
        <v>958</v>
      </c>
      <c r="B965" s="4">
        <v>37103</v>
      </c>
      <c r="C965" s="3">
        <v>14.145544865738191</v>
      </c>
      <c r="D965" s="3">
        <f t="shared" si="28"/>
        <v>31</v>
      </c>
      <c r="E965" s="2">
        <f t="shared" si="29"/>
        <v>869.77565124869534</v>
      </c>
    </row>
    <row r="966" spans="1:5" x14ac:dyDescent="0.25">
      <c r="A966" s="2">
        <v>959</v>
      </c>
      <c r="B966" s="4">
        <v>37134</v>
      </c>
      <c r="C966" s="3">
        <v>15.466062805697497</v>
      </c>
      <c r="D966" s="3">
        <f t="shared" si="28"/>
        <v>31</v>
      </c>
      <c r="E966" s="2">
        <f t="shared" si="29"/>
        <v>950.97113449908568</v>
      </c>
    </row>
    <row r="967" spans="1:5" x14ac:dyDescent="0.25">
      <c r="A967" s="2">
        <v>960</v>
      </c>
      <c r="B967" s="4">
        <v>37164</v>
      </c>
      <c r="C967" s="3">
        <v>13.479950460101644</v>
      </c>
      <c r="D967" s="3">
        <f t="shared" si="28"/>
        <v>30</v>
      </c>
      <c r="E967" s="2">
        <f t="shared" si="29"/>
        <v>802.11275465067638</v>
      </c>
    </row>
    <row r="968" spans="1:5" x14ac:dyDescent="0.25">
      <c r="A968" s="2">
        <v>961</v>
      </c>
      <c r="B968" s="4">
        <v>37195</v>
      </c>
      <c r="C968" s="3">
        <v>8.8834821821746655</v>
      </c>
      <c r="D968" s="3">
        <f t="shared" si="28"/>
        <v>31</v>
      </c>
      <c r="E968" s="2">
        <f t="shared" si="29"/>
        <v>546.22402839156632</v>
      </c>
    </row>
    <row r="969" spans="1:5" x14ac:dyDescent="0.25">
      <c r="A969" s="2">
        <v>962</v>
      </c>
      <c r="B969" s="4">
        <v>37225</v>
      </c>
      <c r="C969" s="3">
        <v>5.8302856070979061</v>
      </c>
      <c r="D969" s="3">
        <f t="shared" ref="D969:D1032" si="30">DAY(EOMONTH(B969,0))</f>
        <v>30</v>
      </c>
      <c r="E969" s="2">
        <f t="shared" ref="E969:E1032" si="31">C969*D969*86400/43560</f>
        <v>346.92608571161094</v>
      </c>
    </row>
    <row r="970" spans="1:5" x14ac:dyDescent="0.25">
      <c r="A970" s="2">
        <v>963</v>
      </c>
      <c r="B970" s="4">
        <v>37256</v>
      </c>
      <c r="C970" s="3">
        <v>4.6418196300805823</v>
      </c>
      <c r="D970" s="3">
        <f t="shared" si="30"/>
        <v>31</v>
      </c>
      <c r="E970" s="2">
        <f t="shared" si="31"/>
        <v>285.41436403140108</v>
      </c>
    </row>
    <row r="971" spans="1:5" x14ac:dyDescent="0.25">
      <c r="A971" s="2">
        <v>964</v>
      </c>
      <c r="B971" s="4">
        <v>37287</v>
      </c>
      <c r="C971" s="3">
        <v>12.10081089244412</v>
      </c>
      <c r="D971" s="3">
        <f t="shared" si="30"/>
        <v>31</v>
      </c>
      <c r="E971" s="2">
        <f t="shared" si="31"/>
        <v>744.04985983292761</v>
      </c>
    </row>
    <row r="972" spans="1:5" x14ac:dyDescent="0.25">
      <c r="A972" s="2">
        <v>965</v>
      </c>
      <c r="B972" s="4">
        <v>37315</v>
      </c>
      <c r="C972" s="3">
        <v>11.396395756115178</v>
      </c>
      <c r="D972" s="3">
        <f t="shared" si="30"/>
        <v>28</v>
      </c>
      <c r="E972" s="2">
        <f t="shared" si="31"/>
        <v>632.92379736441308</v>
      </c>
    </row>
    <row r="973" spans="1:5" x14ac:dyDescent="0.25">
      <c r="A973" s="2">
        <v>966</v>
      </c>
      <c r="B973" s="4">
        <v>37346</v>
      </c>
      <c r="C973" s="3">
        <v>12.354552281385825</v>
      </c>
      <c r="D973" s="3">
        <f t="shared" si="30"/>
        <v>31</v>
      </c>
      <c r="E973" s="2">
        <f t="shared" si="31"/>
        <v>759.65180969843414</v>
      </c>
    </row>
    <row r="974" spans="1:5" x14ac:dyDescent="0.25">
      <c r="A974" s="2">
        <v>967</v>
      </c>
      <c r="B974" s="4">
        <v>37376</v>
      </c>
      <c r="C974" s="3">
        <v>18.273163208022989</v>
      </c>
      <c r="D974" s="3">
        <f t="shared" si="30"/>
        <v>30</v>
      </c>
      <c r="E974" s="2">
        <f t="shared" si="31"/>
        <v>1087.3287198162441</v>
      </c>
    </row>
    <row r="975" spans="1:5" x14ac:dyDescent="0.25">
      <c r="A975" s="2">
        <v>968</v>
      </c>
      <c r="B975" s="4">
        <v>37407</v>
      </c>
      <c r="C975" s="3">
        <v>26.089693309828483</v>
      </c>
      <c r="D975" s="3">
        <f t="shared" si="30"/>
        <v>31</v>
      </c>
      <c r="E975" s="2">
        <f t="shared" si="31"/>
        <v>1604.1927126043297</v>
      </c>
    </row>
    <row r="976" spans="1:5" x14ac:dyDescent="0.25">
      <c r="A976" s="2">
        <v>969</v>
      </c>
      <c r="B976" s="4">
        <v>37437</v>
      </c>
      <c r="C976" s="3">
        <v>35.452510016503027</v>
      </c>
      <c r="D976" s="3">
        <f t="shared" si="30"/>
        <v>30</v>
      </c>
      <c r="E976" s="2">
        <f t="shared" si="31"/>
        <v>2109.5708439572049</v>
      </c>
    </row>
    <row r="977" spans="1:5" x14ac:dyDescent="0.25">
      <c r="A977" s="2">
        <v>970</v>
      </c>
      <c r="B977" s="4">
        <v>37468</v>
      </c>
      <c r="C977" s="3">
        <v>44.022465037876664</v>
      </c>
      <c r="D977" s="3">
        <f t="shared" si="30"/>
        <v>31</v>
      </c>
      <c r="E977" s="2">
        <f t="shared" si="31"/>
        <v>2706.8358667917555</v>
      </c>
    </row>
    <row r="978" spans="1:5" x14ac:dyDescent="0.25">
      <c r="A978" s="2">
        <v>971</v>
      </c>
      <c r="B978" s="4">
        <v>37499</v>
      </c>
      <c r="C978" s="3">
        <v>48.132059641372614</v>
      </c>
      <c r="D978" s="3">
        <f t="shared" si="30"/>
        <v>31</v>
      </c>
      <c r="E978" s="2">
        <f t="shared" si="31"/>
        <v>2959.5249895191096</v>
      </c>
    </row>
    <row r="979" spans="1:5" x14ac:dyDescent="0.25">
      <c r="A979" s="2">
        <v>972</v>
      </c>
      <c r="B979" s="4">
        <v>37529</v>
      </c>
      <c r="C979" s="3">
        <v>41.951063283497362</v>
      </c>
      <c r="D979" s="3">
        <f t="shared" si="30"/>
        <v>30</v>
      </c>
      <c r="E979" s="2">
        <f t="shared" si="31"/>
        <v>2496.2616168692648</v>
      </c>
    </row>
    <row r="980" spans="1:5" x14ac:dyDescent="0.25">
      <c r="A980" s="2">
        <v>973</v>
      </c>
      <c r="B980" s="4">
        <v>37560</v>
      </c>
      <c r="C980" s="3">
        <v>27.646357032637091</v>
      </c>
      <c r="D980" s="3">
        <f t="shared" si="30"/>
        <v>31</v>
      </c>
      <c r="E980" s="2">
        <f t="shared" si="31"/>
        <v>1699.9082340728924</v>
      </c>
    </row>
    <row r="981" spans="1:5" x14ac:dyDescent="0.25">
      <c r="A981" s="2">
        <v>974</v>
      </c>
      <c r="B981" s="4">
        <v>37590</v>
      </c>
      <c r="C981" s="3">
        <v>18.144479179516498</v>
      </c>
      <c r="D981" s="3">
        <f t="shared" si="30"/>
        <v>30</v>
      </c>
      <c r="E981" s="2">
        <f t="shared" si="31"/>
        <v>1079.6714883679238</v>
      </c>
    </row>
    <row r="982" spans="1:5" x14ac:dyDescent="0.25">
      <c r="A982" s="2">
        <v>975</v>
      </c>
      <c r="B982" s="4">
        <v>37621</v>
      </c>
      <c r="C982" s="3">
        <v>14.445844562148523</v>
      </c>
      <c r="D982" s="3">
        <f t="shared" si="30"/>
        <v>31</v>
      </c>
      <c r="E982" s="2">
        <f t="shared" si="31"/>
        <v>888.24035985442163</v>
      </c>
    </row>
    <row r="983" spans="1:5" x14ac:dyDescent="0.25">
      <c r="A983" s="2">
        <v>976</v>
      </c>
      <c r="B983" s="4">
        <v>37652</v>
      </c>
      <c r="C983" s="3">
        <v>19.764259091971134</v>
      </c>
      <c r="D983" s="3">
        <f t="shared" si="30"/>
        <v>31</v>
      </c>
      <c r="E983" s="2">
        <f t="shared" si="31"/>
        <v>1215.256922679878</v>
      </c>
    </row>
    <row r="984" spans="1:5" x14ac:dyDescent="0.25">
      <c r="A984" s="2">
        <v>977</v>
      </c>
      <c r="B984" s="4">
        <v>37680</v>
      </c>
      <c r="C984" s="3">
        <v>18.077520312521944</v>
      </c>
      <c r="D984" s="3">
        <f t="shared" si="30"/>
        <v>28</v>
      </c>
      <c r="E984" s="2">
        <f t="shared" si="31"/>
        <v>1003.9746818194005</v>
      </c>
    </row>
    <row r="985" spans="1:5" x14ac:dyDescent="0.25">
      <c r="A985" s="2">
        <v>978</v>
      </c>
      <c r="B985" s="4">
        <v>37711</v>
      </c>
      <c r="C985" s="3">
        <v>17.731861516343734</v>
      </c>
      <c r="D985" s="3">
        <f t="shared" si="30"/>
        <v>31</v>
      </c>
      <c r="E985" s="2">
        <f t="shared" si="31"/>
        <v>1090.2896667900609</v>
      </c>
    </row>
    <row r="986" spans="1:5" x14ac:dyDescent="0.25">
      <c r="A986" s="2">
        <v>979</v>
      </c>
      <c r="B986" s="4">
        <v>37741</v>
      </c>
      <c r="C986" s="3">
        <v>20.88552012769</v>
      </c>
      <c r="D986" s="3">
        <f t="shared" si="30"/>
        <v>30</v>
      </c>
      <c r="E986" s="2">
        <f t="shared" si="31"/>
        <v>1242.7747513997354</v>
      </c>
    </row>
    <row r="987" spans="1:5" x14ac:dyDescent="0.25">
      <c r="A987" s="2">
        <v>980</v>
      </c>
      <c r="B987" s="4">
        <v>37772</v>
      </c>
      <c r="C987" s="3">
        <v>31.26621118847439</v>
      </c>
      <c r="D987" s="3">
        <f t="shared" si="30"/>
        <v>31</v>
      </c>
      <c r="E987" s="2">
        <f t="shared" si="31"/>
        <v>1922.4843904318138</v>
      </c>
    </row>
    <row r="988" spans="1:5" x14ac:dyDescent="0.25">
      <c r="A988" s="2">
        <v>981</v>
      </c>
      <c r="B988" s="4">
        <v>37802</v>
      </c>
      <c r="C988" s="3">
        <v>42.486726546528914</v>
      </c>
      <c r="D988" s="3">
        <f t="shared" si="30"/>
        <v>30</v>
      </c>
      <c r="E988" s="2">
        <f t="shared" si="31"/>
        <v>2528.1357945042</v>
      </c>
    </row>
    <row r="989" spans="1:5" x14ac:dyDescent="0.25">
      <c r="A989" s="2">
        <v>982</v>
      </c>
      <c r="B989" s="4">
        <v>37833</v>
      </c>
      <c r="C989" s="3">
        <v>52.757066653327051</v>
      </c>
      <c r="D989" s="3">
        <f t="shared" si="30"/>
        <v>31</v>
      </c>
      <c r="E989" s="2">
        <f t="shared" si="31"/>
        <v>3243.9055859566383</v>
      </c>
    </row>
    <row r="990" spans="1:5" x14ac:dyDescent="0.25">
      <c r="A990" s="2">
        <v>983</v>
      </c>
      <c r="B990" s="4">
        <v>37864</v>
      </c>
      <c r="C990" s="3">
        <v>57.682055661285759</v>
      </c>
      <c r="D990" s="3">
        <f t="shared" si="30"/>
        <v>31</v>
      </c>
      <c r="E990" s="2">
        <f t="shared" si="31"/>
        <v>3546.7313563633556</v>
      </c>
    </row>
    <row r="991" spans="1:5" x14ac:dyDescent="0.25">
      <c r="A991" s="2">
        <v>984</v>
      </c>
      <c r="B991" s="4">
        <v>37894</v>
      </c>
      <c r="C991" s="3">
        <v>50.274673167919502</v>
      </c>
      <c r="D991" s="3">
        <f t="shared" si="30"/>
        <v>30</v>
      </c>
      <c r="E991" s="2">
        <f t="shared" si="31"/>
        <v>2991.550800074549</v>
      </c>
    </row>
    <row r="992" spans="1:5" x14ac:dyDescent="0.25">
      <c r="A992" s="2">
        <v>985</v>
      </c>
      <c r="B992" s="4">
        <v>37925</v>
      </c>
      <c r="C992" s="3">
        <v>33.131736249607869</v>
      </c>
      <c r="D992" s="3">
        <f t="shared" si="30"/>
        <v>31</v>
      </c>
      <c r="E992" s="2">
        <f t="shared" si="31"/>
        <v>2037.1910553477896</v>
      </c>
    </row>
    <row r="993" spans="1:5" x14ac:dyDescent="0.25">
      <c r="A993" s="2">
        <v>986</v>
      </c>
      <c r="B993" s="4">
        <v>37955</v>
      </c>
      <c r="C993" s="3">
        <v>21.744568293484829</v>
      </c>
      <c r="D993" s="3">
        <f t="shared" si="30"/>
        <v>30</v>
      </c>
      <c r="E993" s="2">
        <f t="shared" si="31"/>
        <v>1293.891667050337</v>
      </c>
    </row>
    <row r="994" spans="1:5" x14ac:dyDescent="0.25">
      <c r="A994" s="2">
        <v>987</v>
      </c>
      <c r="B994" s="4">
        <v>37986</v>
      </c>
      <c r="C994" s="3">
        <v>17.312078816421302</v>
      </c>
      <c r="D994" s="3">
        <f t="shared" si="30"/>
        <v>31</v>
      </c>
      <c r="E994" s="2">
        <f t="shared" si="31"/>
        <v>1064.4782346625991</v>
      </c>
    </row>
    <row r="995" spans="1:5" x14ac:dyDescent="0.25">
      <c r="A995" s="2">
        <v>988</v>
      </c>
      <c r="B995" s="4">
        <v>38017</v>
      </c>
      <c r="C995" s="3">
        <v>13.374104304023392</v>
      </c>
      <c r="D995" s="3">
        <f t="shared" si="30"/>
        <v>31</v>
      </c>
      <c r="E995" s="2">
        <f t="shared" si="31"/>
        <v>822.34162001598372</v>
      </c>
    </row>
    <row r="996" spans="1:5" x14ac:dyDescent="0.25">
      <c r="A996" s="2">
        <v>989</v>
      </c>
      <c r="B996" s="4">
        <v>38046</v>
      </c>
      <c r="C996" s="3">
        <v>12.144664992825193</v>
      </c>
      <c r="D996" s="3">
        <f t="shared" si="30"/>
        <v>29</v>
      </c>
      <c r="E996" s="2">
        <f t="shared" si="31"/>
        <v>698.56915991787878</v>
      </c>
    </row>
    <row r="997" spans="1:5" x14ac:dyDescent="0.25">
      <c r="A997" s="2">
        <v>990</v>
      </c>
      <c r="B997" s="4">
        <v>38077</v>
      </c>
      <c r="C997" s="3">
        <v>21.374017729940771</v>
      </c>
      <c r="D997" s="3">
        <f t="shared" si="30"/>
        <v>31</v>
      </c>
      <c r="E997" s="2">
        <f t="shared" si="31"/>
        <v>1314.2371232294161</v>
      </c>
    </row>
    <row r="998" spans="1:5" x14ac:dyDescent="0.25">
      <c r="A998" s="2">
        <v>991</v>
      </c>
      <c r="B998" s="4">
        <v>38107</v>
      </c>
      <c r="C998" s="3">
        <v>23.420365798525371</v>
      </c>
      <c r="D998" s="3">
        <f t="shared" si="30"/>
        <v>30</v>
      </c>
      <c r="E998" s="2">
        <f t="shared" si="31"/>
        <v>1393.6085433833277</v>
      </c>
    </row>
    <row r="999" spans="1:5" x14ac:dyDescent="0.25">
      <c r="A999" s="2">
        <v>992</v>
      </c>
      <c r="B999" s="4">
        <v>38138</v>
      </c>
      <c r="C999" s="3">
        <v>37.471605442263403</v>
      </c>
      <c r="D999" s="3">
        <f t="shared" si="30"/>
        <v>31</v>
      </c>
      <c r="E999" s="2">
        <f t="shared" si="31"/>
        <v>2304.039210664791</v>
      </c>
    </row>
    <row r="1000" spans="1:5" x14ac:dyDescent="0.25">
      <c r="A1000" s="2">
        <v>993</v>
      </c>
      <c r="B1000" s="4">
        <v>38168</v>
      </c>
      <c r="C1000" s="3">
        <v>50.919052650413349</v>
      </c>
      <c r="D1000" s="3">
        <f t="shared" si="30"/>
        <v>30</v>
      </c>
      <c r="E1000" s="2">
        <f t="shared" si="31"/>
        <v>3029.8940420080667</v>
      </c>
    </row>
    <row r="1001" spans="1:5" x14ac:dyDescent="0.25">
      <c r="A1001" s="2">
        <v>994</v>
      </c>
      <c r="B1001" s="4">
        <v>38199</v>
      </c>
      <c r="C1001" s="3">
        <v>63.22774364977748</v>
      </c>
      <c r="D1001" s="3">
        <f t="shared" si="30"/>
        <v>31</v>
      </c>
      <c r="E1001" s="2">
        <f t="shared" si="31"/>
        <v>3887.7224194573919</v>
      </c>
    </row>
    <row r="1002" spans="1:5" x14ac:dyDescent="0.25">
      <c r="A1002" s="2">
        <v>995</v>
      </c>
      <c r="B1002" s="4">
        <v>38230</v>
      </c>
      <c r="C1002" s="3">
        <v>69.130193543730186</v>
      </c>
      <c r="D1002" s="3">
        <f t="shared" si="30"/>
        <v>31</v>
      </c>
      <c r="E1002" s="2">
        <f t="shared" si="31"/>
        <v>4250.6499170690304</v>
      </c>
    </row>
    <row r="1003" spans="1:5" x14ac:dyDescent="0.25">
      <c r="A1003" s="2">
        <v>996</v>
      </c>
      <c r="B1003" s="4">
        <v>38260</v>
      </c>
      <c r="C1003" s="3">
        <v>60.25267037732656</v>
      </c>
      <c r="D1003" s="3">
        <f t="shared" si="30"/>
        <v>30</v>
      </c>
      <c r="E1003" s="2">
        <f t="shared" si="31"/>
        <v>3585.2828654276959</v>
      </c>
    </row>
    <row r="1004" spans="1:5" x14ac:dyDescent="0.25">
      <c r="A1004" s="2">
        <v>997</v>
      </c>
      <c r="B1004" s="4">
        <v>38291</v>
      </c>
      <c r="C1004" s="3">
        <v>39.707380625001768</v>
      </c>
      <c r="D1004" s="3">
        <f t="shared" si="30"/>
        <v>31</v>
      </c>
      <c r="E1004" s="2">
        <f t="shared" si="31"/>
        <v>2441.5116681819268</v>
      </c>
    </row>
    <row r="1005" spans="1:5" x14ac:dyDescent="0.25">
      <c r="A1005" s="2">
        <v>998</v>
      </c>
      <c r="B1005" s="4">
        <v>38321</v>
      </c>
      <c r="C1005" s="3">
        <v>26.060205334574547</v>
      </c>
      <c r="D1005" s="3">
        <f t="shared" si="30"/>
        <v>30</v>
      </c>
      <c r="E1005" s="2">
        <f t="shared" si="31"/>
        <v>1550.6899042060888</v>
      </c>
    </row>
    <row r="1006" spans="1:5" x14ac:dyDescent="0.25">
      <c r="A1006" s="2">
        <v>999</v>
      </c>
      <c r="B1006" s="4">
        <v>38352</v>
      </c>
      <c r="C1006" s="3">
        <v>20.748001185172033</v>
      </c>
      <c r="D1006" s="3">
        <f t="shared" si="30"/>
        <v>31</v>
      </c>
      <c r="E1006" s="2">
        <f t="shared" si="31"/>
        <v>1275.7448662618176</v>
      </c>
    </row>
    <row r="1007" spans="1:5" x14ac:dyDescent="0.25">
      <c r="A1007" s="2">
        <v>1000</v>
      </c>
      <c r="B1007" s="4">
        <v>38383</v>
      </c>
      <c r="C1007" s="3">
        <v>11.181180454609731</v>
      </c>
      <c r="D1007" s="3">
        <f t="shared" si="30"/>
        <v>31</v>
      </c>
      <c r="E1007" s="2">
        <f t="shared" si="31"/>
        <v>687.50398828344134</v>
      </c>
    </row>
    <row r="1008" spans="1:5" x14ac:dyDescent="0.25">
      <c r="A1008" s="2">
        <v>1001</v>
      </c>
      <c r="B1008" s="4">
        <v>38411</v>
      </c>
      <c r="C1008" s="3">
        <v>11.441667572979933</v>
      </c>
      <c r="D1008" s="3">
        <f t="shared" si="30"/>
        <v>28</v>
      </c>
      <c r="E1008" s="2">
        <f t="shared" si="31"/>
        <v>635.43806686301764</v>
      </c>
    </row>
    <row r="1009" spans="1:5" x14ac:dyDescent="0.25">
      <c r="A1009" s="2">
        <v>1002</v>
      </c>
      <c r="B1009" s="4">
        <v>38442</v>
      </c>
      <c r="C1009" s="3">
        <v>12.501187748854189</v>
      </c>
      <c r="D1009" s="3">
        <f t="shared" si="30"/>
        <v>31</v>
      </c>
      <c r="E1009" s="2">
        <f t="shared" si="31"/>
        <v>768.66807315268738</v>
      </c>
    </row>
    <row r="1010" spans="1:5" x14ac:dyDescent="0.25">
      <c r="A1010" s="2">
        <v>1003</v>
      </c>
      <c r="B1010" s="4">
        <v>38472</v>
      </c>
      <c r="C1010" s="3">
        <v>26.245029168479071</v>
      </c>
      <c r="D1010" s="3">
        <f t="shared" si="30"/>
        <v>30</v>
      </c>
      <c r="E1010" s="2">
        <f t="shared" si="31"/>
        <v>1561.687686058259</v>
      </c>
    </row>
    <row r="1011" spans="1:5" x14ac:dyDescent="0.25">
      <c r="A1011" s="2">
        <v>1004</v>
      </c>
      <c r="B1011" s="4">
        <v>38503</v>
      </c>
      <c r="C1011" s="3">
        <v>37.471605442263403</v>
      </c>
      <c r="D1011" s="3">
        <f t="shared" si="30"/>
        <v>31</v>
      </c>
      <c r="E1011" s="2">
        <f t="shared" si="31"/>
        <v>2304.039210664791</v>
      </c>
    </row>
    <row r="1012" spans="1:5" x14ac:dyDescent="0.25">
      <c r="A1012" s="2">
        <v>1005</v>
      </c>
      <c r="B1012" s="4">
        <v>38533</v>
      </c>
      <c r="C1012" s="3">
        <v>50.919052650413335</v>
      </c>
      <c r="D1012" s="3">
        <f t="shared" si="30"/>
        <v>30</v>
      </c>
      <c r="E1012" s="2">
        <f t="shared" si="31"/>
        <v>3029.8940420080662</v>
      </c>
    </row>
    <row r="1013" spans="1:5" x14ac:dyDescent="0.25">
      <c r="A1013" s="2">
        <v>1006</v>
      </c>
      <c r="B1013" s="4">
        <v>38564</v>
      </c>
      <c r="C1013" s="3">
        <v>63.227743649777437</v>
      </c>
      <c r="D1013" s="3">
        <f t="shared" si="30"/>
        <v>31</v>
      </c>
      <c r="E1013" s="2">
        <f t="shared" si="31"/>
        <v>3887.7224194573892</v>
      </c>
    </row>
    <row r="1014" spans="1:5" x14ac:dyDescent="0.25">
      <c r="A1014" s="2">
        <v>1007</v>
      </c>
      <c r="B1014" s="4">
        <v>38595</v>
      </c>
      <c r="C1014" s="3">
        <v>69.130193543730186</v>
      </c>
      <c r="D1014" s="3">
        <f t="shared" si="30"/>
        <v>31</v>
      </c>
      <c r="E1014" s="2">
        <f t="shared" si="31"/>
        <v>4250.6499170690304</v>
      </c>
    </row>
    <row r="1015" spans="1:5" x14ac:dyDescent="0.25">
      <c r="A1015" s="2">
        <v>1008</v>
      </c>
      <c r="B1015" s="4">
        <v>38625</v>
      </c>
      <c r="C1015" s="3">
        <v>60.252670377326531</v>
      </c>
      <c r="D1015" s="3">
        <f t="shared" si="30"/>
        <v>30</v>
      </c>
      <c r="E1015" s="2">
        <f t="shared" si="31"/>
        <v>3585.2828654276946</v>
      </c>
    </row>
    <row r="1016" spans="1:5" x14ac:dyDescent="0.25">
      <c r="A1016" s="2">
        <v>1009</v>
      </c>
      <c r="B1016" s="4">
        <v>38656</v>
      </c>
      <c r="C1016" s="3">
        <v>39.707380625001761</v>
      </c>
      <c r="D1016" s="3">
        <f t="shared" si="30"/>
        <v>31</v>
      </c>
      <c r="E1016" s="2">
        <f t="shared" si="31"/>
        <v>2441.5116681819263</v>
      </c>
    </row>
    <row r="1017" spans="1:5" x14ac:dyDescent="0.25">
      <c r="A1017" s="2">
        <v>1010</v>
      </c>
      <c r="B1017" s="4">
        <v>38686</v>
      </c>
      <c r="C1017" s="3">
        <v>26.06020533457453</v>
      </c>
      <c r="D1017" s="3">
        <f t="shared" si="30"/>
        <v>30</v>
      </c>
      <c r="E1017" s="2">
        <f t="shared" si="31"/>
        <v>1550.6899042060877</v>
      </c>
    </row>
    <row r="1018" spans="1:5" x14ac:dyDescent="0.25">
      <c r="A1018" s="2">
        <v>1011</v>
      </c>
      <c r="B1018" s="4">
        <v>38717</v>
      </c>
      <c r="C1018" s="3">
        <v>20.748001185172033</v>
      </c>
      <c r="D1018" s="3">
        <f t="shared" si="30"/>
        <v>31</v>
      </c>
      <c r="E1018" s="2">
        <f t="shared" si="31"/>
        <v>1275.7448662618176</v>
      </c>
    </row>
    <row r="1019" spans="1:5" x14ac:dyDescent="0.25">
      <c r="A1019" s="2">
        <v>1012</v>
      </c>
      <c r="B1019" s="4">
        <v>38748</v>
      </c>
      <c r="C1019" s="3">
        <v>19.764259091971134</v>
      </c>
      <c r="D1019" s="3">
        <f t="shared" si="30"/>
        <v>31</v>
      </c>
      <c r="E1019" s="2">
        <f t="shared" si="31"/>
        <v>1215.256922679878</v>
      </c>
    </row>
    <row r="1020" spans="1:5" x14ac:dyDescent="0.25">
      <c r="A1020" s="2">
        <v>1013</v>
      </c>
      <c r="B1020" s="4">
        <v>38776</v>
      </c>
      <c r="C1020" s="3">
        <v>19.505548893665637</v>
      </c>
      <c r="D1020" s="3">
        <f t="shared" si="30"/>
        <v>28</v>
      </c>
      <c r="E1020" s="2">
        <f t="shared" si="31"/>
        <v>1083.2833765738271</v>
      </c>
    </row>
    <row r="1021" spans="1:5" x14ac:dyDescent="0.25">
      <c r="A1021" s="2">
        <v>1014</v>
      </c>
      <c r="B1021" s="4">
        <v>38807</v>
      </c>
      <c r="C1021" s="3">
        <v>21.374017729940768</v>
      </c>
      <c r="D1021" s="3">
        <f t="shared" si="30"/>
        <v>31</v>
      </c>
      <c r="E1021" s="2">
        <f t="shared" si="31"/>
        <v>1314.2371232294158</v>
      </c>
    </row>
    <row r="1022" spans="1:5" x14ac:dyDescent="0.25">
      <c r="A1022" s="2">
        <v>1015</v>
      </c>
      <c r="B1022" s="4">
        <v>38837</v>
      </c>
      <c r="C1022" s="3">
        <v>26.245029168479089</v>
      </c>
      <c r="D1022" s="3">
        <f t="shared" si="30"/>
        <v>30</v>
      </c>
      <c r="E1022" s="2">
        <f t="shared" si="31"/>
        <v>1561.6876860582597</v>
      </c>
    </row>
    <row r="1023" spans="1:5" x14ac:dyDescent="0.25">
      <c r="A1023" s="2">
        <v>1016</v>
      </c>
      <c r="B1023" s="4">
        <v>38868</v>
      </c>
      <c r="C1023" s="3">
        <v>37.471605442263403</v>
      </c>
      <c r="D1023" s="3">
        <f t="shared" si="30"/>
        <v>31</v>
      </c>
      <c r="E1023" s="2">
        <f t="shared" si="31"/>
        <v>2304.039210664791</v>
      </c>
    </row>
    <row r="1024" spans="1:5" x14ac:dyDescent="0.25">
      <c r="A1024" s="2">
        <v>1017</v>
      </c>
      <c r="B1024" s="4">
        <v>38898</v>
      </c>
      <c r="C1024" s="3">
        <v>50.919052650413335</v>
      </c>
      <c r="D1024" s="3">
        <f t="shared" si="30"/>
        <v>30</v>
      </c>
      <c r="E1024" s="2">
        <f t="shared" si="31"/>
        <v>3029.8940420080662</v>
      </c>
    </row>
    <row r="1025" spans="1:5" x14ac:dyDescent="0.25">
      <c r="A1025" s="2">
        <v>1018</v>
      </c>
      <c r="B1025" s="4">
        <v>38929</v>
      </c>
      <c r="C1025" s="3">
        <v>63.227743649777487</v>
      </c>
      <c r="D1025" s="3">
        <f t="shared" si="30"/>
        <v>31</v>
      </c>
      <c r="E1025" s="2">
        <f t="shared" si="31"/>
        <v>3887.7224194573928</v>
      </c>
    </row>
    <row r="1026" spans="1:5" x14ac:dyDescent="0.25">
      <c r="A1026" s="2">
        <v>1019</v>
      </c>
      <c r="B1026" s="4">
        <v>38960</v>
      </c>
      <c r="C1026" s="3">
        <v>69.130193543730215</v>
      </c>
      <c r="D1026" s="3">
        <f t="shared" si="30"/>
        <v>31</v>
      </c>
      <c r="E1026" s="2">
        <f t="shared" si="31"/>
        <v>4250.6499170690313</v>
      </c>
    </row>
    <row r="1027" spans="1:5" x14ac:dyDescent="0.25">
      <c r="A1027" s="2">
        <v>1020</v>
      </c>
      <c r="B1027" s="4">
        <v>38990</v>
      </c>
      <c r="C1027" s="3">
        <v>60.252670377326545</v>
      </c>
      <c r="D1027" s="3">
        <f t="shared" si="30"/>
        <v>30</v>
      </c>
      <c r="E1027" s="2">
        <f t="shared" si="31"/>
        <v>3585.282865427695</v>
      </c>
    </row>
    <row r="1028" spans="1:5" x14ac:dyDescent="0.25">
      <c r="A1028" s="2">
        <v>1021</v>
      </c>
      <c r="B1028" s="4">
        <v>39021</v>
      </c>
      <c r="C1028" s="3">
        <v>39.707380625001782</v>
      </c>
      <c r="D1028" s="3">
        <f t="shared" si="30"/>
        <v>31</v>
      </c>
      <c r="E1028" s="2">
        <f t="shared" si="31"/>
        <v>2441.5116681819277</v>
      </c>
    </row>
    <row r="1029" spans="1:5" x14ac:dyDescent="0.25">
      <c r="A1029" s="2">
        <v>1022</v>
      </c>
      <c r="B1029" s="4">
        <v>39051</v>
      </c>
      <c r="C1029" s="3">
        <v>26.060205334574544</v>
      </c>
      <c r="D1029" s="3">
        <f t="shared" si="30"/>
        <v>30</v>
      </c>
      <c r="E1029" s="2">
        <f t="shared" si="31"/>
        <v>1550.6899042060884</v>
      </c>
    </row>
    <row r="1030" spans="1:5" x14ac:dyDescent="0.25">
      <c r="A1030" s="2">
        <v>1023</v>
      </c>
      <c r="B1030" s="4">
        <v>39082</v>
      </c>
      <c r="C1030" s="3">
        <v>20.748001185172036</v>
      </c>
      <c r="D1030" s="3">
        <f t="shared" si="30"/>
        <v>31</v>
      </c>
      <c r="E1030" s="2">
        <f t="shared" si="31"/>
        <v>1275.7448662618178</v>
      </c>
    </row>
    <row r="1031" spans="1:5" x14ac:dyDescent="0.25">
      <c r="A1031" s="2">
        <v>1024</v>
      </c>
      <c r="B1031" s="4">
        <v>39113</v>
      </c>
      <c r="C1031" s="3">
        <v>15.758624849891156</v>
      </c>
      <c r="D1031" s="3">
        <f t="shared" si="30"/>
        <v>31</v>
      </c>
      <c r="E1031" s="2">
        <f t="shared" si="31"/>
        <v>968.96007341479503</v>
      </c>
    </row>
    <row r="1032" spans="1:5" x14ac:dyDescent="0.25">
      <c r="A1032" s="2">
        <v>1025</v>
      </c>
      <c r="B1032" s="4">
        <v>39141</v>
      </c>
      <c r="C1032" s="3">
        <v>12.871367922613246</v>
      </c>
      <c r="D1032" s="3">
        <f t="shared" si="30"/>
        <v>28</v>
      </c>
      <c r="E1032" s="2">
        <f t="shared" si="31"/>
        <v>714.83960694182656</v>
      </c>
    </row>
    <row r="1033" spans="1:5" x14ac:dyDescent="0.25">
      <c r="A1033" s="2">
        <v>1026</v>
      </c>
      <c r="B1033" s="4">
        <v>39172</v>
      </c>
      <c r="C1033" s="3">
        <v>14.374459705165341</v>
      </c>
      <c r="D1033" s="3">
        <f t="shared" ref="D1033:D1096" si="32">DAY(EOMONTH(B1033,0))</f>
        <v>31</v>
      </c>
      <c r="E1033" s="2">
        <f t="shared" ref="E1033:E1096" si="33">C1033*D1033*86400/43560</f>
        <v>883.85107608619955</v>
      </c>
    </row>
    <row r="1034" spans="1:5" x14ac:dyDescent="0.25">
      <c r="A1034" s="2">
        <v>1027</v>
      </c>
      <c r="B1034" s="4">
        <v>39202</v>
      </c>
      <c r="C1034" s="3">
        <v>21.92800366858658</v>
      </c>
      <c r="D1034" s="3">
        <f t="shared" si="32"/>
        <v>30</v>
      </c>
      <c r="E1034" s="2">
        <f t="shared" si="33"/>
        <v>1304.8068298663088</v>
      </c>
    </row>
    <row r="1035" spans="1:5" x14ac:dyDescent="0.25">
      <c r="A1035" s="2">
        <v>1028</v>
      </c>
      <c r="B1035" s="4">
        <v>39233</v>
      </c>
      <c r="C1035" s="3">
        <v>31.307928687411604</v>
      </c>
      <c r="D1035" s="3">
        <f t="shared" si="32"/>
        <v>31</v>
      </c>
      <c r="E1035" s="2">
        <f t="shared" si="33"/>
        <v>1925.0494994573746</v>
      </c>
    </row>
    <row r="1036" spans="1:5" x14ac:dyDescent="0.25">
      <c r="A1036" s="2">
        <v>1029</v>
      </c>
      <c r="B1036" s="4">
        <v>39263</v>
      </c>
      <c r="C1036" s="3">
        <v>42.543415217851035</v>
      </c>
      <c r="D1036" s="3">
        <f t="shared" si="32"/>
        <v>30</v>
      </c>
      <c r="E1036" s="2">
        <f t="shared" si="33"/>
        <v>2531.5090046985742</v>
      </c>
    </row>
    <row r="1037" spans="1:5" x14ac:dyDescent="0.25">
      <c r="A1037" s="2">
        <v>1030</v>
      </c>
      <c r="B1037" s="4">
        <v>39294</v>
      </c>
      <c r="C1037" s="3">
        <v>52.827458708788285</v>
      </c>
      <c r="D1037" s="3">
        <f t="shared" si="32"/>
        <v>31</v>
      </c>
      <c r="E1037" s="2">
        <f t="shared" si="33"/>
        <v>3248.2338247387179</v>
      </c>
    </row>
    <row r="1038" spans="1:5" x14ac:dyDescent="0.25">
      <c r="A1038" s="2">
        <v>1031</v>
      </c>
      <c r="B1038" s="4">
        <v>39325</v>
      </c>
      <c r="C1038" s="3">
        <v>57.759018971014662</v>
      </c>
      <c r="D1038" s="3">
        <f t="shared" si="32"/>
        <v>31</v>
      </c>
      <c r="E1038" s="2">
        <f t="shared" si="33"/>
        <v>3551.4636458210666</v>
      </c>
    </row>
    <row r="1039" spans="1:5" x14ac:dyDescent="0.25">
      <c r="A1039" s="2">
        <v>1032</v>
      </c>
      <c r="B1039" s="4">
        <v>39355</v>
      </c>
      <c r="C1039" s="3">
        <v>50.341753045676661</v>
      </c>
      <c r="D1039" s="3">
        <f t="shared" si="32"/>
        <v>30</v>
      </c>
      <c r="E1039" s="2">
        <f t="shared" si="33"/>
        <v>2995.5423299906774</v>
      </c>
    </row>
    <row r="1040" spans="1:5" x14ac:dyDescent="0.25">
      <c r="A1040" s="2">
        <v>1033</v>
      </c>
      <c r="B1040" s="4">
        <v>39386</v>
      </c>
      <c r="C1040" s="3">
        <v>33.175942858571425</v>
      </c>
      <c r="D1040" s="3">
        <f t="shared" si="32"/>
        <v>31</v>
      </c>
      <c r="E1040" s="2">
        <f t="shared" si="33"/>
        <v>2039.9092137832345</v>
      </c>
    </row>
    <row r="1041" spans="1:5" x14ac:dyDescent="0.25">
      <c r="A1041" s="2">
        <v>1034</v>
      </c>
      <c r="B1041" s="4">
        <v>39416</v>
      </c>
      <c r="C1041" s="3">
        <v>21.773581370867483</v>
      </c>
      <c r="D1041" s="3">
        <f t="shared" si="32"/>
        <v>30</v>
      </c>
      <c r="E1041" s="2">
        <f t="shared" si="33"/>
        <v>1295.6180650433544</v>
      </c>
    </row>
    <row r="1042" spans="1:5" x14ac:dyDescent="0.25">
      <c r="A1042" s="2">
        <v>1035</v>
      </c>
      <c r="B1042" s="4">
        <v>39447</v>
      </c>
      <c r="C1042" s="3">
        <v>17.335177765803802</v>
      </c>
      <c r="D1042" s="3">
        <f t="shared" si="32"/>
        <v>31</v>
      </c>
      <c r="E1042" s="2">
        <f t="shared" si="33"/>
        <v>1065.8985336990106</v>
      </c>
    </row>
    <row r="1043" spans="1:5" x14ac:dyDescent="0.25">
      <c r="A1043" s="2">
        <v>1036</v>
      </c>
      <c r="B1043" s="4">
        <v>39478</v>
      </c>
      <c r="C1043" s="3">
        <v>2.1740685001168245</v>
      </c>
      <c r="D1043" s="3">
        <f t="shared" si="32"/>
        <v>31</v>
      </c>
      <c r="E1043" s="2">
        <f t="shared" si="33"/>
        <v>133.67826149478657</v>
      </c>
    </row>
    <row r="1044" spans="1:5" x14ac:dyDescent="0.25">
      <c r="A1044" s="2">
        <v>1037</v>
      </c>
      <c r="B1044" s="4">
        <v>39507</v>
      </c>
      <c r="C1044" s="3">
        <v>2.0716238135341447</v>
      </c>
      <c r="D1044" s="3">
        <f t="shared" si="32"/>
        <v>29</v>
      </c>
      <c r="E1044" s="2">
        <f t="shared" si="33"/>
        <v>119.16117142312103</v>
      </c>
    </row>
    <row r="1045" spans="1:5" x14ac:dyDescent="0.25">
      <c r="A1045" s="2">
        <v>1038</v>
      </c>
      <c r="B1045" s="4">
        <v>39538</v>
      </c>
      <c r="C1045" s="3">
        <v>2.9541491248545504</v>
      </c>
      <c r="D1045" s="3">
        <f t="shared" si="32"/>
        <v>31</v>
      </c>
      <c r="E1045" s="2">
        <f t="shared" si="33"/>
        <v>181.64354949518889</v>
      </c>
    </row>
    <row r="1046" spans="1:5" x14ac:dyDescent="0.25">
      <c r="A1046" s="2">
        <v>1039</v>
      </c>
      <c r="B1046" s="4">
        <v>39568</v>
      </c>
      <c r="C1046" s="3">
        <v>4.347054620401166</v>
      </c>
      <c r="D1046" s="3">
        <f t="shared" si="32"/>
        <v>30</v>
      </c>
      <c r="E1046" s="2">
        <f t="shared" si="33"/>
        <v>258.66771294949086</v>
      </c>
    </row>
    <row r="1047" spans="1:5" x14ac:dyDescent="0.25">
      <c r="A1047" s="2">
        <v>1040</v>
      </c>
      <c r="B1047" s="4">
        <v>39599</v>
      </c>
      <c r="C1047" s="3">
        <v>6.2065511349203142</v>
      </c>
      <c r="D1047" s="3">
        <f t="shared" si="32"/>
        <v>31</v>
      </c>
      <c r="E1047" s="2">
        <f t="shared" si="33"/>
        <v>381.62595408105074</v>
      </c>
    </row>
    <row r="1048" spans="1:5" x14ac:dyDescent="0.25">
      <c r="A1048" s="2">
        <v>1041</v>
      </c>
      <c r="B1048" s="4">
        <v>39629</v>
      </c>
      <c r="C1048" s="3">
        <v>8.4338981553228294</v>
      </c>
      <c r="D1048" s="3">
        <f t="shared" si="32"/>
        <v>30</v>
      </c>
      <c r="E1048" s="2">
        <f t="shared" si="33"/>
        <v>501.85179106053204</v>
      </c>
    </row>
    <row r="1049" spans="1:5" x14ac:dyDescent="0.25">
      <c r="A1049" s="2">
        <v>1042</v>
      </c>
      <c r="B1049" s="4">
        <v>39660</v>
      </c>
      <c r="C1049" s="3">
        <v>10.472629060759919</v>
      </c>
      <c r="D1049" s="3">
        <f t="shared" si="32"/>
        <v>31</v>
      </c>
      <c r="E1049" s="2">
        <f t="shared" si="33"/>
        <v>643.93686125664306</v>
      </c>
    </row>
    <row r="1050" spans="1:5" x14ac:dyDescent="0.25">
      <c r="A1050" s="2">
        <v>1043</v>
      </c>
      <c r="B1050" s="4">
        <v>39691</v>
      </c>
      <c r="C1050" s="3">
        <v>11.450272176280238</v>
      </c>
      <c r="D1050" s="3">
        <f t="shared" si="32"/>
        <v>31</v>
      </c>
      <c r="E1050" s="2">
        <f t="shared" si="33"/>
        <v>704.0497933183882</v>
      </c>
    </row>
    <row r="1051" spans="1:5" x14ac:dyDescent="0.25">
      <c r="A1051" s="2">
        <v>1044</v>
      </c>
      <c r="B1051" s="4">
        <v>39721</v>
      </c>
      <c r="C1051" s="3">
        <v>9.9798574226711132</v>
      </c>
      <c r="D1051" s="3">
        <f t="shared" si="32"/>
        <v>30</v>
      </c>
      <c r="E1051" s="2">
        <f t="shared" si="33"/>
        <v>593.84275572919023</v>
      </c>
    </row>
    <row r="1052" spans="1:5" x14ac:dyDescent="0.25">
      <c r="A1052" s="2">
        <v>1045</v>
      </c>
      <c r="B1052" s="4">
        <v>39752</v>
      </c>
      <c r="C1052" s="3">
        <v>6.5768702828210479</v>
      </c>
      <c r="D1052" s="3">
        <f t="shared" si="32"/>
        <v>31</v>
      </c>
      <c r="E1052" s="2">
        <f t="shared" si="33"/>
        <v>404.39599094370737</v>
      </c>
    </row>
    <row r="1053" spans="1:5" x14ac:dyDescent="0.25">
      <c r="A1053" s="2">
        <v>1046</v>
      </c>
      <c r="B1053" s="4">
        <v>39782</v>
      </c>
      <c r="C1053" s="3">
        <v>4.3164416118966837</v>
      </c>
      <c r="D1053" s="3">
        <f t="shared" si="32"/>
        <v>30</v>
      </c>
      <c r="E1053" s="2">
        <f t="shared" si="33"/>
        <v>256.8461124434391</v>
      </c>
    </row>
    <row r="1054" spans="1:5" x14ac:dyDescent="0.25">
      <c r="A1054" s="2">
        <v>1047</v>
      </c>
      <c r="B1054" s="4">
        <v>39813</v>
      </c>
      <c r="C1054" s="3">
        <v>3.4365629330073109</v>
      </c>
      <c r="D1054" s="3">
        <f t="shared" si="32"/>
        <v>31</v>
      </c>
      <c r="E1054" s="2">
        <f t="shared" si="33"/>
        <v>211.30601836011897</v>
      </c>
    </row>
    <row r="1055" spans="1:5" x14ac:dyDescent="0.25">
      <c r="A1055" s="2">
        <v>1048</v>
      </c>
      <c r="B1055" s="4">
        <v>39844</v>
      </c>
      <c r="C1055" s="3">
        <v>2.1740685001168245</v>
      </c>
      <c r="D1055" s="3">
        <f t="shared" si="32"/>
        <v>31</v>
      </c>
      <c r="E1055" s="2">
        <f t="shared" si="33"/>
        <v>133.67826149478657</v>
      </c>
    </row>
    <row r="1056" spans="1:5" x14ac:dyDescent="0.25">
      <c r="A1056" s="2">
        <v>1049</v>
      </c>
      <c r="B1056" s="4">
        <v>39872</v>
      </c>
      <c r="C1056" s="3">
        <v>2.1456103783032212</v>
      </c>
      <c r="D1056" s="3">
        <f t="shared" si="32"/>
        <v>28</v>
      </c>
      <c r="E1056" s="2">
        <f t="shared" si="33"/>
        <v>119.16117142312103</v>
      </c>
    </row>
    <row r="1057" spans="1:5" x14ac:dyDescent="0.25">
      <c r="A1057" s="2">
        <v>1050</v>
      </c>
      <c r="B1057" s="4">
        <v>39903</v>
      </c>
      <c r="C1057" s="3">
        <v>4.6011290252796488</v>
      </c>
      <c r="D1057" s="3">
        <f t="shared" si="32"/>
        <v>31</v>
      </c>
      <c r="E1057" s="2">
        <f t="shared" si="33"/>
        <v>282.91239626512885</v>
      </c>
    </row>
    <row r="1058" spans="1:5" x14ac:dyDescent="0.25">
      <c r="A1058" s="2">
        <v>1051</v>
      </c>
      <c r="B1058" s="4">
        <v>39933</v>
      </c>
      <c r="C1058" s="3">
        <v>17.878197917011509</v>
      </c>
      <c r="D1058" s="3">
        <f t="shared" si="32"/>
        <v>30</v>
      </c>
      <c r="E1058" s="2">
        <f t="shared" si="33"/>
        <v>1063.8266529130815</v>
      </c>
    </row>
    <row r="1059" spans="1:5" x14ac:dyDescent="0.25">
      <c r="A1059" s="2">
        <v>1052</v>
      </c>
      <c r="B1059" s="4">
        <v>39964</v>
      </c>
      <c r="C1059" s="3">
        <v>25.525777626856172</v>
      </c>
      <c r="D1059" s="3">
        <f t="shared" si="32"/>
        <v>31</v>
      </c>
      <c r="E1059" s="2">
        <f t="shared" si="33"/>
        <v>1569.5188887918175</v>
      </c>
    </row>
    <row r="1060" spans="1:5" x14ac:dyDescent="0.25">
      <c r="A1060" s="2">
        <v>1053</v>
      </c>
      <c r="B1060" s="4">
        <v>39994</v>
      </c>
      <c r="C1060" s="3">
        <v>34.686221729338442</v>
      </c>
      <c r="D1060" s="3">
        <f t="shared" si="32"/>
        <v>30</v>
      </c>
      <c r="E1060" s="2">
        <f t="shared" si="33"/>
        <v>2063.973524390387</v>
      </c>
    </row>
    <row r="1061" spans="1:5" x14ac:dyDescent="0.25">
      <c r="A1061" s="2">
        <v>1054</v>
      </c>
      <c r="B1061" s="4">
        <v>40025</v>
      </c>
      <c r="C1061" s="3">
        <v>43.070941455627171</v>
      </c>
      <c r="D1061" s="3">
        <f t="shared" si="32"/>
        <v>31</v>
      </c>
      <c r="E1061" s="2">
        <f t="shared" si="33"/>
        <v>2648.3289622302987</v>
      </c>
    </row>
    <row r="1062" spans="1:5" x14ac:dyDescent="0.25">
      <c r="A1062" s="2">
        <v>1055</v>
      </c>
      <c r="B1062" s="4">
        <v>40056</v>
      </c>
      <c r="C1062" s="3">
        <v>47.091709225474737</v>
      </c>
      <c r="D1062" s="3">
        <f t="shared" si="32"/>
        <v>31</v>
      </c>
      <c r="E1062" s="2">
        <f t="shared" si="33"/>
        <v>2895.5563358473723</v>
      </c>
    </row>
    <row r="1063" spans="1:5" x14ac:dyDescent="0.25">
      <c r="A1063" s="2">
        <v>1056</v>
      </c>
      <c r="B1063" s="4">
        <v>40086</v>
      </c>
      <c r="C1063" s="3">
        <v>41.044312015017873</v>
      </c>
      <c r="D1063" s="3">
        <f t="shared" si="32"/>
        <v>30</v>
      </c>
      <c r="E1063" s="2">
        <f t="shared" si="33"/>
        <v>2442.3061694886665</v>
      </c>
    </row>
    <row r="1064" spans="1:5" x14ac:dyDescent="0.25">
      <c r="A1064" s="2">
        <v>1057</v>
      </c>
      <c r="B1064" s="4">
        <v>40117</v>
      </c>
      <c r="C1064" s="3">
        <v>27.048794841214846</v>
      </c>
      <c r="D1064" s="3">
        <f t="shared" si="32"/>
        <v>31</v>
      </c>
      <c r="E1064" s="2">
        <f t="shared" si="33"/>
        <v>1663.1655670961857</v>
      </c>
    </row>
    <row r="1065" spans="1:5" x14ac:dyDescent="0.25">
      <c r="A1065" s="2">
        <v>1058</v>
      </c>
      <c r="B1065" s="4">
        <v>40147</v>
      </c>
      <c r="C1065" s="3">
        <v>17.752295329473355</v>
      </c>
      <c r="D1065" s="3">
        <f t="shared" si="32"/>
        <v>30</v>
      </c>
      <c r="E1065" s="2">
        <f t="shared" si="33"/>
        <v>1056.3349286959353</v>
      </c>
    </row>
    <row r="1066" spans="1:5" x14ac:dyDescent="0.25">
      <c r="A1066" s="2">
        <v>1059</v>
      </c>
      <c r="B1066" s="4">
        <v>40178</v>
      </c>
      <c r="C1066" s="3">
        <v>14.133604851024486</v>
      </c>
      <c r="D1066" s="3">
        <f t="shared" si="32"/>
        <v>31</v>
      </c>
      <c r="E1066" s="2">
        <f t="shared" si="33"/>
        <v>869.04148836051388</v>
      </c>
    </row>
    <row r="1067" spans="1:5" x14ac:dyDescent="0.25">
      <c r="A1067" s="2">
        <v>1060</v>
      </c>
      <c r="B1067" s="4">
        <v>40209</v>
      </c>
      <c r="C1067" s="3">
        <v>2.1740685001168254</v>
      </c>
      <c r="D1067" s="3">
        <f t="shared" si="32"/>
        <v>31</v>
      </c>
      <c r="E1067" s="2">
        <f t="shared" si="33"/>
        <v>133.6782614947866</v>
      </c>
    </row>
    <row r="1068" spans="1:5" x14ac:dyDescent="0.25">
      <c r="A1068" s="2">
        <v>1061</v>
      </c>
      <c r="B1068" s="4">
        <v>40237</v>
      </c>
      <c r="C1068" s="3">
        <v>3.1724160249026205</v>
      </c>
      <c r="D1068" s="3">
        <f t="shared" si="32"/>
        <v>28</v>
      </c>
      <c r="E1068" s="2">
        <f t="shared" si="33"/>
        <v>176.18707179624471</v>
      </c>
    </row>
    <row r="1069" spans="1:5" x14ac:dyDescent="0.25">
      <c r="A1069" s="2">
        <v>1062</v>
      </c>
      <c r="B1069" s="4">
        <v>40268</v>
      </c>
      <c r="C1069" s="3">
        <v>3.7243201838485698</v>
      </c>
      <c r="D1069" s="3">
        <f t="shared" si="32"/>
        <v>31</v>
      </c>
      <c r="E1069" s="2">
        <f t="shared" si="33"/>
        <v>228.99952204820957</v>
      </c>
    </row>
    <row r="1070" spans="1:5" x14ac:dyDescent="0.25">
      <c r="A1070" s="2">
        <v>1063</v>
      </c>
      <c r="B1070" s="4">
        <v>40298</v>
      </c>
      <c r="C1070" s="3">
        <v>16.420732640682562</v>
      </c>
      <c r="D1070" s="3">
        <f t="shared" si="32"/>
        <v>30</v>
      </c>
      <c r="E1070" s="2">
        <f t="shared" si="33"/>
        <v>977.10144638772272</v>
      </c>
    </row>
    <row r="1071" spans="1:5" x14ac:dyDescent="0.25">
      <c r="A1071" s="2">
        <v>1064</v>
      </c>
      <c r="B1071" s="4">
        <v>40329</v>
      </c>
      <c r="C1071" s="3">
        <v>25.585435513238163</v>
      </c>
      <c r="D1071" s="3">
        <f t="shared" si="32"/>
        <v>31</v>
      </c>
      <c r="E1071" s="2">
        <f t="shared" si="33"/>
        <v>1573.187109243735</v>
      </c>
    </row>
    <row r="1072" spans="1:5" x14ac:dyDescent="0.25">
      <c r="A1072" s="2">
        <v>1065</v>
      </c>
      <c r="B1072" s="4">
        <v>40359</v>
      </c>
      <c r="C1072" s="3">
        <v>34.767289060770949</v>
      </c>
      <c r="D1072" s="3">
        <f t="shared" si="32"/>
        <v>30</v>
      </c>
      <c r="E1072" s="2">
        <f t="shared" si="33"/>
        <v>2068.7973655995934</v>
      </c>
    </row>
    <row r="1073" spans="1:5" x14ac:dyDescent="0.25">
      <c r="A1073" s="2">
        <v>1066</v>
      </c>
      <c r="B1073" s="4">
        <v>40390</v>
      </c>
      <c r="C1073" s="3">
        <v>43.171605238305503</v>
      </c>
      <c r="D1073" s="3">
        <f t="shared" si="32"/>
        <v>31</v>
      </c>
      <c r="E1073" s="2">
        <f t="shared" si="33"/>
        <v>2654.5185369668839</v>
      </c>
    </row>
    <row r="1074" spans="1:5" x14ac:dyDescent="0.25">
      <c r="A1074" s="2">
        <v>1067</v>
      </c>
      <c r="B1074" s="4">
        <v>40421</v>
      </c>
      <c r="C1074" s="3">
        <v>47.201770195196247</v>
      </c>
      <c r="D1074" s="3">
        <f t="shared" si="32"/>
        <v>31</v>
      </c>
      <c r="E1074" s="2">
        <f t="shared" si="33"/>
        <v>2902.3237210930583</v>
      </c>
    </row>
    <row r="1075" spans="1:5" x14ac:dyDescent="0.25">
      <c r="A1075" s="2">
        <v>1068</v>
      </c>
      <c r="B1075" s="4">
        <v>40451</v>
      </c>
      <c r="C1075" s="3">
        <v>41.140239235673569</v>
      </c>
      <c r="D1075" s="3">
        <f t="shared" si="32"/>
        <v>30</v>
      </c>
      <c r="E1075" s="2">
        <f t="shared" si="33"/>
        <v>2448.0142355111548</v>
      </c>
    </row>
    <row r="1076" spans="1:5" x14ac:dyDescent="0.25">
      <c r="A1076" s="2">
        <v>1069</v>
      </c>
      <c r="B1076" s="4">
        <v>40482</v>
      </c>
      <c r="C1076" s="3">
        <v>27.112012266086129</v>
      </c>
      <c r="D1076" s="3">
        <f t="shared" si="32"/>
        <v>31</v>
      </c>
      <c r="E1076" s="2">
        <f t="shared" si="33"/>
        <v>1667.0526550386844</v>
      </c>
    </row>
    <row r="1077" spans="1:5" x14ac:dyDescent="0.25">
      <c r="A1077" s="2">
        <v>1070</v>
      </c>
      <c r="B1077" s="4">
        <v>40512</v>
      </c>
      <c r="C1077" s="3">
        <v>17.793785325714296</v>
      </c>
      <c r="D1077" s="3">
        <f t="shared" si="32"/>
        <v>30</v>
      </c>
      <c r="E1077" s="2">
        <f t="shared" si="33"/>
        <v>1058.8037549185367</v>
      </c>
    </row>
    <row r="1078" spans="1:5" x14ac:dyDescent="0.25">
      <c r="A1078" s="2">
        <v>1071</v>
      </c>
      <c r="B1078" s="4">
        <v>40543</v>
      </c>
      <c r="C1078" s="3">
        <v>14.166637380128845</v>
      </c>
      <c r="D1078" s="3">
        <f t="shared" si="32"/>
        <v>31</v>
      </c>
      <c r="E1078" s="2">
        <f t="shared" si="33"/>
        <v>871.07257940626937</v>
      </c>
    </row>
    <row r="1079" spans="1:5" x14ac:dyDescent="0.25">
      <c r="A1079" s="2">
        <v>1072</v>
      </c>
      <c r="B1079" s="4">
        <v>40574</v>
      </c>
      <c r="C1079" s="3">
        <v>19.764259091971134</v>
      </c>
      <c r="D1079" s="3">
        <f t="shared" si="32"/>
        <v>31</v>
      </c>
      <c r="E1079" s="2">
        <f t="shared" si="33"/>
        <v>1215.256922679878</v>
      </c>
    </row>
    <row r="1080" spans="1:5" x14ac:dyDescent="0.25">
      <c r="A1080" s="2">
        <v>1073</v>
      </c>
      <c r="B1080" s="4">
        <v>40602</v>
      </c>
      <c r="C1080" s="3">
        <v>19.505548893665644</v>
      </c>
      <c r="D1080" s="3">
        <f t="shared" si="32"/>
        <v>28</v>
      </c>
      <c r="E1080" s="2">
        <f t="shared" si="33"/>
        <v>1083.2833765738276</v>
      </c>
    </row>
    <row r="1081" spans="1:5" x14ac:dyDescent="0.25">
      <c r="A1081" s="2">
        <v>1074</v>
      </c>
      <c r="B1081" s="4">
        <v>40633</v>
      </c>
      <c r="C1081" s="3">
        <v>21.374017729940753</v>
      </c>
      <c r="D1081" s="3">
        <f t="shared" si="32"/>
        <v>31</v>
      </c>
      <c r="E1081" s="2">
        <f t="shared" si="33"/>
        <v>1314.2371232294149</v>
      </c>
    </row>
    <row r="1082" spans="1:5" x14ac:dyDescent="0.25">
      <c r="A1082" s="2">
        <v>1075</v>
      </c>
      <c r="B1082" s="4">
        <v>40663</v>
      </c>
      <c r="C1082" s="3">
        <v>26.245029168479071</v>
      </c>
      <c r="D1082" s="3">
        <f t="shared" si="32"/>
        <v>30</v>
      </c>
      <c r="E1082" s="2">
        <f t="shared" si="33"/>
        <v>1561.687686058259</v>
      </c>
    </row>
    <row r="1083" spans="1:5" x14ac:dyDescent="0.25">
      <c r="A1083" s="2">
        <v>1076</v>
      </c>
      <c r="B1083" s="4">
        <v>40694</v>
      </c>
      <c r="C1083" s="3">
        <v>37.471605442263382</v>
      </c>
      <c r="D1083" s="3">
        <f t="shared" si="32"/>
        <v>31</v>
      </c>
      <c r="E1083" s="2">
        <f t="shared" si="33"/>
        <v>2304.0392106647896</v>
      </c>
    </row>
    <row r="1084" spans="1:5" x14ac:dyDescent="0.25">
      <c r="A1084" s="2">
        <v>1077</v>
      </c>
      <c r="B1084" s="4">
        <v>40724</v>
      </c>
      <c r="C1084" s="3">
        <v>50.91905265041332</v>
      </c>
      <c r="D1084" s="3">
        <f t="shared" si="32"/>
        <v>30</v>
      </c>
      <c r="E1084" s="2">
        <f t="shared" si="33"/>
        <v>3029.8940420080653</v>
      </c>
    </row>
    <row r="1085" spans="1:5" x14ac:dyDescent="0.25">
      <c r="A1085" s="2">
        <v>1078</v>
      </c>
      <c r="B1085" s="4">
        <v>40755</v>
      </c>
      <c r="C1085" s="3">
        <v>63.227743649777473</v>
      </c>
      <c r="D1085" s="3">
        <f t="shared" si="32"/>
        <v>31</v>
      </c>
      <c r="E1085" s="2">
        <f t="shared" si="33"/>
        <v>3887.7224194573914</v>
      </c>
    </row>
    <row r="1086" spans="1:5" x14ac:dyDescent="0.25">
      <c r="A1086" s="2">
        <v>1079</v>
      </c>
      <c r="B1086" s="4">
        <v>40786</v>
      </c>
      <c r="C1086" s="3">
        <v>69.130193543730144</v>
      </c>
      <c r="D1086" s="3">
        <f t="shared" si="32"/>
        <v>31</v>
      </c>
      <c r="E1086" s="2">
        <f t="shared" si="33"/>
        <v>4250.6499170690277</v>
      </c>
    </row>
    <row r="1087" spans="1:5" x14ac:dyDescent="0.25">
      <c r="A1087" s="2">
        <v>1080</v>
      </c>
      <c r="B1087" s="4">
        <v>40816</v>
      </c>
      <c r="C1087" s="3">
        <v>60.25267037732651</v>
      </c>
      <c r="D1087" s="3">
        <f t="shared" si="32"/>
        <v>30</v>
      </c>
      <c r="E1087" s="2">
        <f t="shared" si="33"/>
        <v>3585.2828654276932</v>
      </c>
    </row>
    <row r="1088" spans="1:5" x14ac:dyDescent="0.25">
      <c r="A1088" s="2">
        <v>1081</v>
      </c>
      <c r="B1088" s="4">
        <v>40847</v>
      </c>
      <c r="C1088" s="3">
        <v>39.707380625001754</v>
      </c>
      <c r="D1088" s="3">
        <f t="shared" si="32"/>
        <v>31</v>
      </c>
      <c r="E1088" s="2">
        <f t="shared" si="33"/>
        <v>2441.5116681819259</v>
      </c>
    </row>
    <row r="1089" spans="1:5" x14ac:dyDescent="0.25">
      <c r="A1089" s="2">
        <v>1082</v>
      </c>
      <c r="B1089" s="4">
        <v>40877</v>
      </c>
      <c r="C1089" s="3">
        <v>26.060205334574537</v>
      </c>
      <c r="D1089" s="3">
        <f t="shared" si="32"/>
        <v>30</v>
      </c>
      <c r="E1089" s="2">
        <f t="shared" si="33"/>
        <v>1550.6899042060882</v>
      </c>
    </row>
    <row r="1090" spans="1:5" x14ac:dyDescent="0.25">
      <c r="A1090" s="2">
        <v>1083</v>
      </c>
      <c r="B1090" s="4">
        <v>40908</v>
      </c>
      <c r="C1090" s="3">
        <v>20.748001185172036</v>
      </c>
      <c r="D1090" s="3">
        <f t="shared" si="32"/>
        <v>31</v>
      </c>
      <c r="E1090" s="2">
        <f t="shared" si="33"/>
        <v>1275.7448662618178</v>
      </c>
    </row>
    <row r="1091" spans="1:5" x14ac:dyDescent="0.25">
      <c r="A1091" s="2">
        <v>1084</v>
      </c>
      <c r="B1091" s="4">
        <v>40939</v>
      </c>
      <c r="C1091" s="3">
        <v>12.933431933245611</v>
      </c>
      <c r="D1091" s="3">
        <f t="shared" si="32"/>
        <v>31</v>
      </c>
      <c r="E1091" s="2">
        <f t="shared" si="33"/>
        <v>795.24573209377957</v>
      </c>
    </row>
    <row r="1092" spans="1:5" x14ac:dyDescent="0.25">
      <c r="A1092" s="2">
        <v>1085</v>
      </c>
      <c r="B1092" s="4">
        <v>40968</v>
      </c>
      <c r="C1092" s="3">
        <v>13.909403683793084</v>
      </c>
      <c r="D1092" s="3">
        <f t="shared" si="32"/>
        <v>29</v>
      </c>
      <c r="E1092" s="2">
        <f t="shared" si="33"/>
        <v>800.0780961917344</v>
      </c>
    </row>
    <row r="1093" spans="1:5" x14ac:dyDescent="0.25">
      <c r="A1093" s="2">
        <v>1086</v>
      </c>
      <c r="B1093" s="4">
        <v>40999</v>
      </c>
      <c r="C1093" s="3">
        <v>15.570850930494453</v>
      </c>
      <c r="D1093" s="3">
        <f t="shared" si="32"/>
        <v>31</v>
      </c>
      <c r="E1093" s="2">
        <f t="shared" si="33"/>
        <v>957.41430514775823</v>
      </c>
    </row>
    <row r="1094" spans="1:5" x14ac:dyDescent="0.25">
      <c r="A1094" s="2">
        <v>1087</v>
      </c>
      <c r="B1094" s="4">
        <v>41029</v>
      </c>
      <c r="C1094" s="3">
        <v>26.245029168479078</v>
      </c>
      <c r="D1094" s="3">
        <f t="shared" si="32"/>
        <v>30</v>
      </c>
      <c r="E1094" s="2">
        <f t="shared" si="33"/>
        <v>1561.6876860582595</v>
      </c>
    </row>
    <row r="1095" spans="1:5" x14ac:dyDescent="0.25">
      <c r="A1095" s="2">
        <v>1088</v>
      </c>
      <c r="B1095" s="4">
        <v>41060</v>
      </c>
      <c r="C1095" s="3">
        <v>37.471605442263403</v>
      </c>
      <c r="D1095" s="3">
        <f t="shared" si="32"/>
        <v>31</v>
      </c>
      <c r="E1095" s="2">
        <f t="shared" si="33"/>
        <v>2304.039210664791</v>
      </c>
    </row>
    <row r="1096" spans="1:5" x14ac:dyDescent="0.25">
      <c r="A1096" s="2">
        <v>1089</v>
      </c>
      <c r="B1096" s="4">
        <v>41090</v>
      </c>
      <c r="C1096" s="3">
        <v>50.919052650413342</v>
      </c>
      <c r="D1096" s="3">
        <f t="shared" si="32"/>
        <v>30</v>
      </c>
      <c r="E1096" s="2">
        <f t="shared" si="33"/>
        <v>3029.8940420080662</v>
      </c>
    </row>
    <row r="1097" spans="1:5" x14ac:dyDescent="0.25">
      <c r="A1097" s="2">
        <v>1090</v>
      </c>
      <c r="B1097" s="4">
        <v>41121</v>
      </c>
      <c r="C1097" s="3">
        <v>63.227743649777494</v>
      </c>
      <c r="D1097" s="3">
        <f t="shared" ref="D1097:D1160" si="34">DAY(EOMONTH(B1097,0))</f>
        <v>31</v>
      </c>
      <c r="E1097" s="2">
        <f t="shared" ref="E1097:E1160" si="35">C1097*D1097*86400/43560</f>
        <v>3887.7224194573928</v>
      </c>
    </row>
    <row r="1098" spans="1:5" x14ac:dyDescent="0.25">
      <c r="A1098" s="2">
        <v>1091</v>
      </c>
      <c r="B1098" s="4">
        <v>41152</v>
      </c>
      <c r="C1098" s="3">
        <v>69.130193543730158</v>
      </c>
      <c r="D1098" s="3">
        <f t="shared" si="34"/>
        <v>31</v>
      </c>
      <c r="E1098" s="2">
        <f t="shared" si="35"/>
        <v>4250.6499170690286</v>
      </c>
    </row>
    <row r="1099" spans="1:5" x14ac:dyDescent="0.25">
      <c r="A1099" s="2">
        <v>1092</v>
      </c>
      <c r="B1099" s="4">
        <v>41182</v>
      </c>
      <c r="C1099" s="3">
        <v>60.252670377326517</v>
      </c>
      <c r="D1099" s="3">
        <f t="shared" si="34"/>
        <v>30</v>
      </c>
      <c r="E1099" s="2">
        <f t="shared" si="35"/>
        <v>3585.2828654276937</v>
      </c>
    </row>
    <row r="1100" spans="1:5" x14ac:dyDescent="0.25">
      <c r="A1100" s="2">
        <v>1093</v>
      </c>
      <c r="B1100" s="4">
        <v>41213</v>
      </c>
      <c r="C1100" s="3">
        <v>39.707380625001768</v>
      </c>
      <c r="D1100" s="3">
        <f t="shared" si="34"/>
        <v>31</v>
      </c>
      <c r="E1100" s="2">
        <f t="shared" si="35"/>
        <v>2441.5116681819268</v>
      </c>
    </row>
    <row r="1101" spans="1:5" x14ac:dyDescent="0.25">
      <c r="A1101" s="2">
        <v>1094</v>
      </c>
      <c r="B1101" s="4">
        <v>41243</v>
      </c>
      <c r="C1101" s="3">
        <v>26.06020533457453</v>
      </c>
      <c r="D1101" s="3">
        <f t="shared" si="34"/>
        <v>30</v>
      </c>
      <c r="E1101" s="2">
        <f t="shared" si="35"/>
        <v>1550.6899042060877</v>
      </c>
    </row>
    <row r="1102" spans="1:5" x14ac:dyDescent="0.25">
      <c r="A1102" s="2">
        <v>1095</v>
      </c>
      <c r="B1102" s="4">
        <v>41274</v>
      </c>
      <c r="C1102" s="3">
        <v>20.748001185172029</v>
      </c>
      <c r="D1102" s="3">
        <f t="shared" si="34"/>
        <v>31</v>
      </c>
      <c r="E1102" s="2">
        <f t="shared" si="35"/>
        <v>1275.7448662618174</v>
      </c>
    </row>
    <row r="1103" spans="1:5" x14ac:dyDescent="0.25">
      <c r="A1103" s="2">
        <v>1096</v>
      </c>
      <c r="B1103" s="4">
        <v>41305</v>
      </c>
      <c r="C1103" s="3">
        <v>17.203201517263317</v>
      </c>
      <c r="D1103" s="3">
        <f t="shared" si="34"/>
        <v>31</v>
      </c>
      <c r="E1103" s="2">
        <f t="shared" si="35"/>
        <v>1057.7836304829675</v>
      </c>
    </row>
    <row r="1104" spans="1:5" x14ac:dyDescent="0.25">
      <c r="A1104" s="2">
        <v>1097</v>
      </c>
      <c r="B1104" s="4">
        <v>41333</v>
      </c>
      <c r="C1104" s="3">
        <v>15.129790456766676</v>
      </c>
      <c r="D1104" s="3">
        <f t="shared" si="34"/>
        <v>28</v>
      </c>
      <c r="E1104" s="2">
        <f t="shared" si="35"/>
        <v>840.26604850803369</v>
      </c>
    </row>
    <row r="1105" spans="1:5" x14ac:dyDescent="0.25">
      <c r="A1105" s="2">
        <v>1098</v>
      </c>
      <c r="B1105" s="4">
        <v>41364</v>
      </c>
      <c r="C1105" s="3">
        <v>12.136062828833056</v>
      </c>
      <c r="D1105" s="3">
        <f t="shared" si="34"/>
        <v>31</v>
      </c>
      <c r="E1105" s="2">
        <f t="shared" si="35"/>
        <v>746.21741691337127</v>
      </c>
    </row>
    <row r="1106" spans="1:5" x14ac:dyDescent="0.25">
      <c r="A1106" s="2">
        <v>1099</v>
      </c>
      <c r="B1106" s="4">
        <v>41394</v>
      </c>
      <c r="C1106" s="3">
        <v>15.977705354925865</v>
      </c>
      <c r="D1106" s="3">
        <f t="shared" si="34"/>
        <v>30</v>
      </c>
      <c r="E1106" s="2">
        <f t="shared" si="35"/>
        <v>950.7394921939358</v>
      </c>
    </row>
    <row r="1107" spans="1:5" x14ac:dyDescent="0.25">
      <c r="A1107" s="2">
        <v>1100</v>
      </c>
      <c r="B1107" s="4">
        <v>41425</v>
      </c>
      <c r="C1107" s="3">
        <v>22.812330178378573</v>
      </c>
      <c r="D1107" s="3">
        <f t="shared" si="34"/>
        <v>31</v>
      </c>
      <c r="E1107" s="2">
        <f t="shared" si="35"/>
        <v>1402.6755084887322</v>
      </c>
    </row>
    <row r="1108" spans="1:5" x14ac:dyDescent="0.25">
      <c r="A1108" s="2">
        <v>1101</v>
      </c>
      <c r="B1108" s="4">
        <v>41455</v>
      </c>
      <c r="C1108" s="3">
        <v>30.998998514254975</v>
      </c>
      <c r="D1108" s="3">
        <f t="shared" si="34"/>
        <v>30</v>
      </c>
      <c r="E1108" s="2">
        <f t="shared" si="35"/>
        <v>1844.5685066333538</v>
      </c>
    </row>
    <row r="1109" spans="1:5" x14ac:dyDescent="0.25">
      <c r="A1109" s="2">
        <v>1102</v>
      </c>
      <c r="B1109" s="4">
        <v>41486</v>
      </c>
      <c r="C1109" s="3">
        <v>38.492403716062377</v>
      </c>
      <c r="D1109" s="3">
        <f t="shared" si="34"/>
        <v>31</v>
      </c>
      <c r="E1109" s="2">
        <f t="shared" si="35"/>
        <v>2366.8056499793724</v>
      </c>
    </row>
    <row r="1110" spans="1:5" x14ac:dyDescent="0.25">
      <c r="A1110" s="2">
        <v>1103</v>
      </c>
      <c r="B1110" s="4">
        <v>41517</v>
      </c>
      <c r="C1110" s="3">
        <v>42.085754848285767</v>
      </c>
      <c r="D1110" s="3">
        <f t="shared" si="34"/>
        <v>31</v>
      </c>
      <c r="E1110" s="2">
        <f t="shared" si="35"/>
        <v>2587.7521989359184</v>
      </c>
    </row>
    <row r="1111" spans="1:5" x14ac:dyDescent="0.25">
      <c r="A1111" s="2">
        <v>1104</v>
      </c>
      <c r="B1111" s="4">
        <v>41547</v>
      </c>
      <c r="C1111" s="3">
        <v>36.681209533293973</v>
      </c>
      <c r="D1111" s="3">
        <f t="shared" si="34"/>
        <v>30</v>
      </c>
      <c r="E1111" s="2">
        <f t="shared" si="35"/>
        <v>2182.6835424769965</v>
      </c>
    </row>
    <row r="1112" spans="1:5" x14ac:dyDescent="0.25">
      <c r="A1112" s="2">
        <v>1105</v>
      </c>
      <c r="B1112" s="4">
        <v>41578</v>
      </c>
      <c r="C1112" s="3">
        <v>24.173447244788733</v>
      </c>
      <c r="D1112" s="3">
        <f t="shared" si="34"/>
        <v>31</v>
      </c>
      <c r="E1112" s="2">
        <f t="shared" si="35"/>
        <v>1486.3673347208942</v>
      </c>
    </row>
    <row r="1113" spans="1:5" x14ac:dyDescent="0.25">
      <c r="A1113" s="2">
        <v>1106</v>
      </c>
      <c r="B1113" s="4">
        <v>41608</v>
      </c>
      <c r="C1113" s="3">
        <v>15.865186495002433</v>
      </c>
      <c r="D1113" s="3">
        <f t="shared" si="34"/>
        <v>30</v>
      </c>
      <c r="E1113" s="2">
        <f t="shared" si="35"/>
        <v>944.04415507452495</v>
      </c>
    </row>
    <row r="1114" spans="1:5" x14ac:dyDescent="0.25">
      <c r="A1114" s="2">
        <v>1107</v>
      </c>
      <c r="B1114" s="4">
        <v>41639</v>
      </c>
      <c r="C1114" s="3">
        <v>12.631170935731996</v>
      </c>
      <c r="D1114" s="3">
        <f t="shared" si="34"/>
        <v>31</v>
      </c>
      <c r="E1114" s="2">
        <f t="shared" si="35"/>
        <v>776.66042778385179</v>
      </c>
    </row>
    <row r="1115" spans="1:5" x14ac:dyDescent="0.25">
      <c r="A1115" s="2">
        <v>1108</v>
      </c>
      <c r="B1115" s="4">
        <v>41670</v>
      </c>
      <c r="C1115" s="3">
        <v>2.1740685001168241</v>
      </c>
      <c r="D1115" s="3">
        <f t="shared" si="34"/>
        <v>31</v>
      </c>
      <c r="E1115" s="2">
        <f t="shared" si="35"/>
        <v>133.67826149478657</v>
      </c>
    </row>
    <row r="1116" spans="1:5" x14ac:dyDescent="0.25">
      <c r="A1116" s="2">
        <v>1109</v>
      </c>
      <c r="B1116" s="4">
        <v>41698</v>
      </c>
      <c r="C1116" s="3">
        <v>2.1456103783032212</v>
      </c>
      <c r="D1116" s="3">
        <f t="shared" si="34"/>
        <v>28</v>
      </c>
      <c r="E1116" s="2">
        <f t="shared" si="35"/>
        <v>119.16117142312103</v>
      </c>
    </row>
    <row r="1117" spans="1:5" x14ac:dyDescent="0.25">
      <c r="A1117" s="2">
        <v>1110</v>
      </c>
      <c r="B1117" s="4">
        <v>41729</v>
      </c>
      <c r="C1117" s="3">
        <v>2.4941501183615884</v>
      </c>
      <c r="D1117" s="3">
        <f t="shared" si="34"/>
        <v>31</v>
      </c>
      <c r="E1117" s="2">
        <f t="shared" si="35"/>
        <v>153.35931306289436</v>
      </c>
    </row>
    <row r="1118" spans="1:5" x14ac:dyDescent="0.25">
      <c r="A1118" s="2">
        <v>1111</v>
      </c>
      <c r="B1118" s="4">
        <v>41759</v>
      </c>
      <c r="C1118" s="3">
        <v>3.1824485962492992</v>
      </c>
      <c r="D1118" s="3">
        <f t="shared" si="34"/>
        <v>30</v>
      </c>
      <c r="E1118" s="2">
        <f t="shared" si="35"/>
        <v>189.36884209086739</v>
      </c>
    </row>
    <row r="1119" spans="1:5" x14ac:dyDescent="0.25">
      <c r="A1119" s="2">
        <v>1112</v>
      </c>
      <c r="B1119" s="4">
        <v>41790</v>
      </c>
      <c r="C1119" s="3">
        <v>4.6752017163241497</v>
      </c>
      <c r="D1119" s="3">
        <f t="shared" si="34"/>
        <v>31</v>
      </c>
      <c r="E1119" s="2">
        <f t="shared" si="35"/>
        <v>287.46694850786508</v>
      </c>
    </row>
    <row r="1120" spans="1:5" x14ac:dyDescent="0.25">
      <c r="A1120" s="2">
        <v>1113</v>
      </c>
      <c r="B1120" s="4">
        <v>41820</v>
      </c>
      <c r="C1120" s="3">
        <v>6.3529928738071373</v>
      </c>
      <c r="D1120" s="3">
        <f t="shared" si="34"/>
        <v>30</v>
      </c>
      <c r="E1120" s="2">
        <f t="shared" si="35"/>
        <v>378.02932802819328</v>
      </c>
    </row>
    <row r="1121" spans="1:5" x14ac:dyDescent="0.25">
      <c r="A1121" s="2">
        <v>1114</v>
      </c>
      <c r="B1121" s="4">
        <v>41851</v>
      </c>
      <c r="C1121" s="3">
        <v>7.8887053848335915</v>
      </c>
      <c r="D1121" s="3">
        <f t="shared" si="34"/>
        <v>31</v>
      </c>
      <c r="E1121" s="2">
        <f t="shared" si="35"/>
        <v>485.05758729885878</v>
      </c>
    </row>
    <row r="1122" spans="1:5" x14ac:dyDescent="0.25">
      <c r="A1122" s="2">
        <v>1115</v>
      </c>
      <c r="B1122" s="4">
        <v>41882</v>
      </c>
      <c r="C1122" s="3">
        <v>8.6251335028453404</v>
      </c>
      <c r="D1122" s="3">
        <f t="shared" si="34"/>
        <v>31</v>
      </c>
      <c r="E1122" s="2">
        <f t="shared" si="35"/>
        <v>530.33878728239119</v>
      </c>
    </row>
    <row r="1123" spans="1:5" x14ac:dyDescent="0.25">
      <c r="A1123" s="2">
        <v>1116</v>
      </c>
      <c r="B1123" s="4">
        <v>41912</v>
      </c>
      <c r="C1123" s="3">
        <v>7.5175158533099387</v>
      </c>
      <c r="D1123" s="3">
        <f t="shared" si="34"/>
        <v>30</v>
      </c>
      <c r="E1123" s="2">
        <f t="shared" si="35"/>
        <v>447.32325738703764</v>
      </c>
    </row>
    <row r="1124" spans="1:5" x14ac:dyDescent="0.25">
      <c r="A1124" s="2">
        <v>1117</v>
      </c>
      <c r="B1124" s="4">
        <v>41943</v>
      </c>
      <c r="C1124" s="3">
        <v>4.9541515997968206</v>
      </c>
      <c r="D1124" s="3">
        <f t="shared" si="34"/>
        <v>31</v>
      </c>
      <c r="E1124" s="2">
        <f t="shared" si="35"/>
        <v>304.6189082850276</v>
      </c>
    </row>
    <row r="1125" spans="1:5" x14ac:dyDescent="0.25">
      <c r="A1125" s="2">
        <v>1118</v>
      </c>
      <c r="B1125" s="4">
        <v>41973</v>
      </c>
      <c r="C1125" s="3">
        <v>3.2514410650402956</v>
      </c>
      <c r="D1125" s="3">
        <f t="shared" si="34"/>
        <v>30</v>
      </c>
      <c r="E1125" s="2">
        <f t="shared" si="35"/>
        <v>193.47417907677792</v>
      </c>
    </row>
    <row r="1126" spans="1:5" x14ac:dyDescent="0.25">
      <c r="A1126" s="2">
        <v>1119</v>
      </c>
      <c r="B1126" s="4">
        <v>42004</v>
      </c>
      <c r="C1126" s="3">
        <v>2.5886558530477677</v>
      </c>
      <c r="D1126" s="3">
        <f t="shared" si="34"/>
        <v>31</v>
      </c>
      <c r="E1126" s="2">
        <f t="shared" si="35"/>
        <v>159.17024418739993</v>
      </c>
    </row>
    <row r="1127" spans="1:5" x14ac:dyDescent="0.25">
      <c r="A1127" s="2">
        <v>1120</v>
      </c>
      <c r="B1127" s="4">
        <v>42035</v>
      </c>
      <c r="C1127" s="3">
        <v>3.3500765322069816</v>
      </c>
      <c r="D1127" s="3">
        <f t="shared" si="34"/>
        <v>31</v>
      </c>
      <c r="E1127" s="2">
        <f t="shared" si="35"/>
        <v>205.98817685636314</v>
      </c>
    </row>
    <row r="1128" spans="1:5" x14ac:dyDescent="0.25">
      <c r="A1128" s="2">
        <v>1121</v>
      </c>
      <c r="B1128" s="4">
        <v>42063</v>
      </c>
      <c r="C1128" s="3">
        <v>2.1456103783032208</v>
      </c>
      <c r="D1128" s="3">
        <f t="shared" si="34"/>
        <v>28</v>
      </c>
      <c r="E1128" s="2">
        <f t="shared" si="35"/>
        <v>119.16117142312102</v>
      </c>
    </row>
    <row r="1129" spans="1:5" x14ac:dyDescent="0.25">
      <c r="A1129" s="2">
        <v>1122</v>
      </c>
      <c r="B1129" s="4">
        <v>42094</v>
      </c>
      <c r="C1129" s="3">
        <v>11.962616108661678</v>
      </c>
      <c r="D1129" s="3">
        <f t="shared" si="34"/>
        <v>31</v>
      </c>
      <c r="E1129" s="2">
        <f t="shared" si="35"/>
        <v>735.55259378878418</v>
      </c>
    </row>
    <row r="1130" spans="1:5" x14ac:dyDescent="0.25">
      <c r="A1130" s="2">
        <v>1123</v>
      </c>
      <c r="B1130" s="4">
        <v>42124</v>
      </c>
      <c r="C1130" s="3">
        <v>4.2706685017195172</v>
      </c>
      <c r="D1130" s="3">
        <f t="shared" si="34"/>
        <v>30</v>
      </c>
      <c r="E1130" s="2">
        <f t="shared" si="35"/>
        <v>254.12242324281428</v>
      </c>
    </row>
    <row r="1131" spans="1:5" x14ac:dyDescent="0.25">
      <c r="A1131" s="2">
        <v>1124</v>
      </c>
      <c r="B1131" s="4">
        <v>42155</v>
      </c>
      <c r="C1131" s="3">
        <v>6.0974900825537777</v>
      </c>
      <c r="D1131" s="3">
        <f t="shared" si="34"/>
        <v>31</v>
      </c>
      <c r="E1131" s="2">
        <f t="shared" si="35"/>
        <v>374.92005135702567</v>
      </c>
    </row>
    <row r="1132" spans="1:5" x14ac:dyDescent="0.25">
      <c r="A1132" s="2">
        <v>1125</v>
      </c>
      <c r="B1132" s="4">
        <v>42185</v>
      </c>
      <c r="C1132" s="3">
        <v>8.2856983276928791</v>
      </c>
      <c r="D1132" s="3">
        <f t="shared" si="34"/>
        <v>30</v>
      </c>
      <c r="E1132" s="2">
        <f t="shared" si="35"/>
        <v>493.03328892056794</v>
      </c>
    </row>
    <row r="1133" spans="1:5" x14ac:dyDescent="0.25">
      <c r="A1133" s="2">
        <v>1126</v>
      </c>
      <c r="B1133" s="4">
        <v>42216</v>
      </c>
      <c r="C1133" s="3">
        <v>10.288604806132474</v>
      </c>
      <c r="D1133" s="3">
        <f t="shared" si="34"/>
        <v>31</v>
      </c>
      <c r="E1133" s="2">
        <f t="shared" si="35"/>
        <v>632.62165088946779</v>
      </c>
    </row>
    <row r="1134" spans="1:5" x14ac:dyDescent="0.25">
      <c r="A1134" s="2">
        <v>1127</v>
      </c>
      <c r="B1134" s="4">
        <v>42247</v>
      </c>
      <c r="C1134" s="3">
        <v>11.249068849942962</v>
      </c>
      <c r="D1134" s="3">
        <f t="shared" si="34"/>
        <v>31</v>
      </c>
      <c r="E1134" s="2">
        <f t="shared" si="35"/>
        <v>691.6782830047573</v>
      </c>
    </row>
    <row r="1135" spans="1:5" x14ac:dyDescent="0.25">
      <c r="A1135" s="2">
        <v>1128</v>
      </c>
      <c r="B1135" s="4">
        <v>42277</v>
      </c>
      <c r="C1135" s="3">
        <v>9.804492114414705</v>
      </c>
      <c r="D1135" s="3">
        <f t="shared" si="34"/>
        <v>30</v>
      </c>
      <c r="E1135" s="2">
        <f t="shared" si="35"/>
        <v>583.40779523789979</v>
      </c>
    </row>
    <row r="1136" spans="1:5" x14ac:dyDescent="0.25">
      <c r="A1136" s="2">
        <v>1129</v>
      </c>
      <c r="B1136" s="4">
        <v>42308</v>
      </c>
      <c r="C1136" s="3">
        <v>6.4613020100830756</v>
      </c>
      <c r="D1136" s="3">
        <f t="shared" si="34"/>
        <v>31</v>
      </c>
      <c r="E1136" s="2">
        <f t="shared" si="35"/>
        <v>397.28997483486017</v>
      </c>
    </row>
    <row r="1137" spans="1:5" x14ac:dyDescent="0.25">
      <c r="A1137" s="2">
        <v>1130</v>
      </c>
      <c r="B1137" s="4">
        <v>42338</v>
      </c>
      <c r="C1137" s="3">
        <v>4.2405934227109876</v>
      </c>
      <c r="D1137" s="3">
        <f t="shared" si="34"/>
        <v>30</v>
      </c>
      <c r="E1137" s="2">
        <f t="shared" si="35"/>
        <v>252.33283176462075</v>
      </c>
    </row>
    <row r="1138" spans="1:5" x14ac:dyDescent="0.25">
      <c r="A1138" s="2">
        <v>1131</v>
      </c>
      <c r="B1138" s="4">
        <v>42369</v>
      </c>
      <c r="C1138" s="3">
        <v>3.3761759061625862</v>
      </c>
      <c r="D1138" s="3">
        <f t="shared" si="34"/>
        <v>31</v>
      </c>
      <c r="E1138" s="2">
        <f t="shared" si="35"/>
        <v>207.59296480867471</v>
      </c>
    </row>
    <row r="1139" spans="1:5" x14ac:dyDescent="0.25">
      <c r="A1139" s="2">
        <v>1132</v>
      </c>
      <c r="B1139" s="4">
        <v>42400</v>
      </c>
      <c r="C1139" s="3">
        <v>2.1740685001168241</v>
      </c>
      <c r="D1139" s="3">
        <f t="shared" si="34"/>
        <v>31</v>
      </c>
      <c r="E1139" s="2">
        <f t="shared" si="35"/>
        <v>133.67826149478657</v>
      </c>
    </row>
    <row r="1140" spans="1:5" x14ac:dyDescent="0.25">
      <c r="A1140" s="2">
        <v>1133</v>
      </c>
      <c r="B1140" s="4">
        <v>42429</v>
      </c>
      <c r="C1140" s="3">
        <v>2.8422151432753098</v>
      </c>
      <c r="D1140" s="3">
        <f t="shared" si="34"/>
        <v>29</v>
      </c>
      <c r="E1140" s="2">
        <f t="shared" si="35"/>
        <v>163.48609419170378</v>
      </c>
    </row>
    <row r="1141" spans="1:5" x14ac:dyDescent="0.25">
      <c r="A1141" s="2">
        <v>1134</v>
      </c>
      <c r="B1141" s="4">
        <v>42460</v>
      </c>
      <c r="C1141" s="3">
        <v>11.935816954657758</v>
      </c>
      <c r="D1141" s="3">
        <f t="shared" si="34"/>
        <v>31</v>
      </c>
      <c r="E1141" s="2">
        <f t="shared" si="35"/>
        <v>733.90477803846056</v>
      </c>
    </row>
    <row r="1142" spans="1:5" x14ac:dyDescent="0.25">
      <c r="A1142" s="2">
        <v>1135</v>
      </c>
      <c r="B1142" s="4">
        <v>42490</v>
      </c>
      <c r="C1142" s="3">
        <v>26.245029168479082</v>
      </c>
      <c r="D1142" s="3">
        <f t="shared" si="34"/>
        <v>30</v>
      </c>
      <c r="E1142" s="2">
        <f t="shared" si="35"/>
        <v>1561.6876860582595</v>
      </c>
    </row>
    <row r="1143" spans="1:5" x14ac:dyDescent="0.25">
      <c r="A1143" s="2">
        <v>1136</v>
      </c>
      <c r="B1143" s="4">
        <v>42521</v>
      </c>
      <c r="C1143" s="3">
        <v>37.471605442263403</v>
      </c>
      <c r="D1143" s="3">
        <f t="shared" si="34"/>
        <v>31</v>
      </c>
      <c r="E1143" s="2">
        <f t="shared" si="35"/>
        <v>2304.039210664791</v>
      </c>
    </row>
    <row r="1144" spans="1:5" x14ac:dyDescent="0.25">
      <c r="A1144" s="2">
        <v>1137</v>
      </c>
      <c r="B1144" s="4">
        <v>42551</v>
      </c>
      <c r="C1144" s="3">
        <v>50.919052650413335</v>
      </c>
      <c r="D1144" s="3">
        <f t="shared" si="34"/>
        <v>30</v>
      </c>
      <c r="E1144" s="2">
        <f t="shared" si="35"/>
        <v>3029.8940420080662</v>
      </c>
    </row>
    <row r="1145" spans="1:5" x14ac:dyDescent="0.25">
      <c r="A1145" s="2">
        <v>1138</v>
      </c>
      <c r="B1145" s="4">
        <v>42582</v>
      </c>
      <c r="C1145" s="3">
        <v>63.227743649777494</v>
      </c>
      <c r="D1145" s="3">
        <f t="shared" si="34"/>
        <v>31</v>
      </c>
      <c r="E1145" s="2">
        <f t="shared" si="35"/>
        <v>3887.7224194573928</v>
      </c>
    </row>
    <row r="1146" spans="1:5" x14ac:dyDescent="0.25">
      <c r="A1146" s="2">
        <v>1139</v>
      </c>
      <c r="B1146" s="4">
        <v>42613</v>
      </c>
      <c r="C1146" s="3">
        <v>69.130193543730172</v>
      </c>
      <c r="D1146" s="3">
        <f t="shared" si="34"/>
        <v>31</v>
      </c>
      <c r="E1146" s="2">
        <f t="shared" si="35"/>
        <v>4250.6499170690286</v>
      </c>
    </row>
    <row r="1147" spans="1:5" x14ac:dyDescent="0.25">
      <c r="A1147" s="2">
        <v>1140</v>
      </c>
      <c r="B1147" s="4">
        <v>42643</v>
      </c>
      <c r="C1147" s="3">
        <v>60.252670377326531</v>
      </c>
      <c r="D1147" s="3">
        <f t="shared" si="34"/>
        <v>30</v>
      </c>
      <c r="E1147" s="2">
        <f t="shared" si="35"/>
        <v>3585.2828654276946</v>
      </c>
    </row>
    <row r="1148" spans="1:5" x14ac:dyDescent="0.25">
      <c r="A1148" s="2">
        <v>1141</v>
      </c>
      <c r="B1148" s="4">
        <v>42674</v>
      </c>
      <c r="C1148" s="3">
        <v>39.707380625001761</v>
      </c>
      <c r="D1148" s="3">
        <f t="shared" si="34"/>
        <v>31</v>
      </c>
      <c r="E1148" s="2">
        <f t="shared" si="35"/>
        <v>2441.5116681819263</v>
      </c>
    </row>
    <row r="1149" spans="1:5" x14ac:dyDescent="0.25">
      <c r="A1149" s="2">
        <v>1142</v>
      </c>
      <c r="B1149" s="4">
        <v>42704</v>
      </c>
      <c r="C1149" s="3">
        <v>26.06020533457453</v>
      </c>
      <c r="D1149" s="3">
        <f t="shared" si="34"/>
        <v>30</v>
      </c>
      <c r="E1149" s="2">
        <f t="shared" si="35"/>
        <v>1550.6899042060877</v>
      </c>
    </row>
    <row r="1150" spans="1:5" x14ac:dyDescent="0.25">
      <c r="A1150" s="2">
        <v>1143</v>
      </c>
      <c r="B1150" s="4">
        <v>42735</v>
      </c>
      <c r="C1150" s="3">
        <v>20.748001185172029</v>
      </c>
      <c r="D1150" s="3">
        <f t="shared" si="34"/>
        <v>31</v>
      </c>
      <c r="E1150" s="2">
        <f t="shared" si="35"/>
        <v>1275.7448662618174</v>
      </c>
    </row>
    <row r="1151" spans="1:5" x14ac:dyDescent="0.25">
      <c r="A1151" s="2">
        <v>1144</v>
      </c>
      <c r="B1151" s="4">
        <v>42766</v>
      </c>
      <c r="C1151" s="3">
        <v>13.696330831279663</v>
      </c>
      <c r="D1151" s="3">
        <f t="shared" si="34"/>
        <v>31</v>
      </c>
      <c r="E1151" s="2">
        <f t="shared" si="35"/>
        <v>842.15455689851808</v>
      </c>
    </row>
    <row r="1152" spans="1:5" x14ac:dyDescent="0.25">
      <c r="A1152" s="2">
        <v>1145</v>
      </c>
      <c r="B1152" s="4">
        <v>42794</v>
      </c>
      <c r="C1152" s="3">
        <v>19.505548893665644</v>
      </c>
      <c r="D1152" s="3">
        <f t="shared" si="34"/>
        <v>28</v>
      </c>
      <c r="E1152" s="2">
        <f t="shared" si="35"/>
        <v>1083.2833765738276</v>
      </c>
    </row>
    <row r="1153" spans="1:5" x14ac:dyDescent="0.25">
      <c r="A1153" s="2">
        <v>1146</v>
      </c>
      <c r="B1153" s="4">
        <v>42825</v>
      </c>
      <c r="C1153" s="3">
        <v>21.374017729940771</v>
      </c>
      <c r="D1153" s="3">
        <f t="shared" si="34"/>
        <v>31</v>
      </c>
      <c r="E1153" s="2">
        <f t="shared" si="35"/>
        <v>1314.2371232294161</v>
      </c>
    </row>
    <row r="1154" spans="1:5" x14ac:dyDescent="0.25">
      <c r="A1154" s="2">
        <v>1147</v>
      </c>
      <c r="B1154" s="4">
        <v>42855</v>
      </c>
      <c r="C1154" s="3">
        <v>26.245029168479078</v>
      </c>
      <c r="D1154" s="3">
        <f t="shared" si="34"/>
        <v>30</v>
      </c>
      <c r="E1154" s="2">
        <f t="shared" si="35"/>
        <v>1561.6876860582595</v>
      </c>
    </row>
    <row r="1155" spans="1:5" x14ac:dyDescent="0.25">
      <c r="A1155" s="2">
        <v>1148</v>
      </c>
      <c r="B1155" s="4">
        <v>42886</v>
      </c>
      <c r="C1155" s="3">
        <v>37.471605442263403</v>
      </c>
      <c r="D1155" s="3">
        <f t="shared" si="34"/>
        <v>31</v>
      </c>
      <c r="E1155" s="2">
        <f t="shared" si="35"/>
        <v>2304.039210664791</v>
      </c>
    </row>
    <row r="1156" spans="1:5" x14ac:dyDescent="0.25">
      <c r="A1156" s="2">
        <v>1149</v>
      </c>
      <c r="B1156" s="4">
        <v>42916</v>
      </c>
      <c r="C1156" s="3">
        <v>50.919052650413327</v>
      </c>
      <c r="D1156" s="3">
        <f t="shared" si="34"/>
        <v>30</v>
      </c>
      <c r="E1156" s="2">
        <f t="shared" si="35"/>
        <v>3029.8940420080662</v>
      </c>
    </row>
    <row r="1157" spans="1:5" x14ac:dyDescent="0.25">
      <c r="A1157" s="2">
        <v>1150</v>
      </c>
      <c r="B1157" s="4">
        <v>42947</v>
      </c>
      <c r="C1157" s="3">
        <v>63.227743649777452</v>
      </c>
      <c r="D1157" s="3">
        <f t="shared" si="34"/>
        <v>31</v>
      </c>
      <c r="E1157" s="2">
        <f t="shared" si="35"/>
        <v>3887.7224194573901</v>
      </c>
    </row>
    <row r="1158" spans="1:5" x14ac:dyDescent="0.25">
      <c r="A1158" s="2">
        <v>1151</v>
      </c>
      <c r="B1158" s="4">
        <v>42978</v>
      </c>
      <c r="C1158" s="3">
        <v>69.130193543730144</v>
      </c>
      <c r="D1158" s="3">
        <f t="shared" si="34"/>
        <v>31</v>
      </c>
      <c r="E1158" s="2">
        <f t="shared" si="35"/>
        <v>4250.6499170690277</v>
      </c>
    </row>
    <row r="1159" spans="1:5" x14ac:dyDescent="0.25">
      <c r="A1159" s="2">
        <v>1152</v>
      </c>
      <c r="B1159" s="4">
        <v>43008</v>
      </c>
      <c r="C1159" s="3">
        <v>60.252670377326517</v>
      </c>
      <c r="D1159" s="3">
        <f t="shared" si="34"/>
        <v>30</v>
      </c>
      <c r="E1159" s="2">
        <f t="shared" si="35"/>
        <v>3585.2828654276937</v>
      </c>
    </row>
    <row r="1160" spans="1:5" x14ac:dyDescent="0.25">
      <c r="A1160" s="2">
        <v>1153</v>
      </c>
      <c r="B1160" s="4">
        <v>43039</v>
      </c>
      <c r="C1160" s="3">
        <v>39.707380625001761</v>
      </c>
      <c r="D1160" s="3">
        <f t="shared" si="34"/>
        <v>31</v>
      </c>
      <c r="E1160" s="2">
        <f t="shared" si="35"/>
        <v>2441.5116681819263</v>
      </c>
    </row>
    <row r="1161" spans="1:5" x14ac:dyDescent="0.25">
      <c r="A1161" s="2">
        <v>1154</v>
      </c>
      <c r="B1161" s="4">
        <v>43069</v>
      </c>
      <c r="C1161" s="3">
        <v>26.060205334574533</v>
      </c>
      <c r="D1161" s="3">
        <f t="shared" ref="D1161:D1207" si="36">DAY(EOMONTH(B1161,0))</f>
        <v>30</v>
      </c>
      <c r="E1161" s="2">
        <f t="shared" ref="E1161:E1207" si="37">C1161*D1161*86400/43560</f>
        <v>1550.6899042060877</v>
      </c>
    </row>
    <row r="1162" spans="1:5" x14ac:dyDescent="0.25">
      <c r="A1162" s="2">
        <v>1155</v>
      </c>
      <c r="B1162" s="4">
        <v>43100</v>
      </c>
      <c r="C1162" s="3">
        <v>20.748001185172026</v>
      </c>
      <c r="D1162" s="3">
        <f t="shared" si="36"/>
        <v>31</v>
      </c>
      <c r="E1162" s="2">
        <f t="shared" si="37"/>
        <v>1275.7448662618172</v>
      </c>
    </row>
    <row r="1163" spans="1:5" x14ac:dyDescent="0.25">
      <c r="A1163" s="2">
        <v>1156</v>
      </c>
      <c r="B1163" s="4">
        <v>43131</v>
      </c>
      <c r="C1163" s="3">
        <v>15.560131634269959</v>
      </c>
      <c r="D1163" s="3">
        <f t="shared" si="36"/>
        <v>31</v>
      </c>
      <c r="E1163" s="2">
        <f t="shared" si="37"/>
        <v>956.75520131378914</v>
      </c>
    </row>
    <row r="1164" spans="1:5" x14ac:dyDescent="0.25">
      <c r="A1164" s="2">
        <v>1157</v>
      </c>
      <c r="B1164" s="4">
        <v>43159</v>
      </c>
      <c r="C1164" s="3">
        <v>17.651454976722547</v>
      </c>
      <c r="D1164" s="3">
        <f t="shared" si="36"/>
        <v>28</v>
      </c>
      <c r="E1164" s="2">
        <f t="shared" si="37"/>
        <v>980.3122102774837</v>
      </c>
    </row>
    <row r="1165" spans="1:5" x14ac:dyDescent="0.25">
      <c r="A1165" s="2">
        <v>1158</v>
      </c>
      <c r="B1165" s="4">
        <v>43190</v>
      </c>
      <c r="C1165" s="3">
        <v>15.557964109873197</v>
      </c>
      <c r="D1165" s="3">
        <f t="shared" si="36"/>
        <v>31</v>
      </c>
      <c r="E1165" s="2">
        <f t="shared" si="37"/>
        <v>956.62192543352546</v>
      </c>
    </row>
    <row r="1166" spans="1:5" x14ac:dyDescent="0.25">
      <c r="A1166" s="2">
        <v>1159</v>
      </c>
      <c r="B1166" s="4">
        <v>43220</v>
      </c>
      <c r="C1166" s="3">
        <v>26.245029168479078</v>
      </c>
      <c r="D1166" s="3">
        <f t="shared" si="36"/>
        <v>30</v>
      </c>
      <c r="E1166" s="2">
        <f t="shared" si="37"/>
        <v>1561.6876860582595</v>
      </c>
    </row>
    <row r="1167" spans="1:5" x14ac:dyDescent="0.25">
      <c r="A1167" s="2">
        <v>1160</v>
      </c>
      <c r="B1167" s="4">
        <v>43251</v>
      </c>
      <c r="C1167" s="3">
        <v>37.471605442263382</v>
      </c>
      <c r="D1167" s="3">
        <f t="shared" si="36"/>
        <v>31</v>
      </c>
      <c r="E1167" s="2">
        <f t="shared" si="37"/>
        <v>2304.0392106647896</v>
      </c>
    </row>
    <row r="1168" spans="1:5" x14ac:dyDescent="0.25">
      <c r="A1168" s="2">
        <v>1161</v>
      </c>
      <c r="B1168" s="4">
        <v>43281</v>
      </c>
      <c r="C1168" s="3">
        <v>50.919052650413335</v>
      </c>
      <c r="D1168" s="3">
        <f t="shared" si="36"/>
        <v>30</v>
      </c>
      <c r="E1168" s="2">
        <f t="shared" si="37"/>
        <v>3029.8940420080662</v>
      </c>
    </row>
    <row r="1169" spans="1:5" x14ac:dyDescent="0.25">
      <c r="A1169" s="2">
        <v>1162</v>
      </c>
      <c r="B1169" s="4">
        <v>43312</v>
      </c>
      <c r="C1169" s="3">
        <v>63.227743649777445</v>
      </c>
      <c r="D1169" s="3">
        <f t="shared" si="36"/>
        <v>31</v>
      </c>
      <c r="E1169" s="2">
        <f t="shared" si="37"/>
        <v>3887.7224194573901</v>
      </c>
    </row>
    <row r="1170" spans="1:5" x14ac:dyDescent="0.25">
      <c r="A1170" s="2">
        <v>1163</v>
      </c>
      <c r="B1170" s="4">
        <v>43343</v>
      </c>
      <c r="C1170" s="3">
        <v>69.13019354373013</v>
      </c>
      <c r="D1170" s="3">
        <f t="shared" si="36"/>
        <v>31</v>
      </c>
      <c r="E1170" s="2">
        <f t="shared" si="37"/>
        <v>4250.6499170690258</v>
      </c>
    </row>
    <row r="1171" spans="1:5" x14ac:dyDescent="0.25">
      <c r="A1171" s="2">
        <v>1164</v>
      </c>
      <c r="B1171" s="4">
        <v>43373</v>
      </c>
      <c r="C1171" s="3">
        <v>60.252670377326496</v>
      </c>
      <c r="D1171" s="3">
        <f t="shared" si="36"/>
        <v>30</v>
      </c>
      <c r="E1171" s="2">
        <f t="shared" si="37"/>
        <v>3585.2828654276923</v>
      </c>
    </row>
    <row r="1172" spans="1:5" x14ac:dyDescent="0.25">
      <c r="A1172" s="2">
        <v>1165</v>
      </c>
      <c r="B1172" s="4">
        <v>43404</v>
      </c>
      <c r="C1172" s="3">
        <v>39.707380625001747</v>
      </c>
      <c r="D1172" s="3">
        <f t="shared" si="36"/>
        <v>31</v>
      </c>
      <c r="E1172" s="2">
        <f t="shared" si="37"/>
        <v>2441.5116681819254</v>
      </c>
    </row>
    <row r="1173" spans="1:5" x14ac:dyDescent="0.25">
      <c r="A1173" s="2">
        <v>1166</v>
      </c>
      <c r="B1173" s="4">
        <v>43434</v>
      </c>
      <c r="C1173" s="3">
        <v>26.060205334574526</v>
      </c>
      <c r="D1173" s="3">
        <f t="shared" si="36"/>
        <v>30</v>
      </c>
      <c r="E1173" s="2">
        <f t="shared" si="37"/>
        <v>1550.6899042060877</v>
      </c>
    </row>
    <row r="1174" spans="1:5" x14ac:dyDescent="0.25">
      <c r="A1174" s="2">
        <v>1167</v>
      </c>
      <c r="B1174" s="4">
        <v>43465</v>
      </c>
      <c r="C1174" s="3">
        <v>20.748001185172015</v>
      </c>
      <c r="D1174" s="3">
        <f t="shared" si="36"/>
        <v>31</v>
      </c>
      <c r="E1174" s="2">
        <f t="shared" si="37"/>
        <v>1275.7448662618165</v>
      </c>
    </row>
    <row r="1175" spans="1:5" x14ac:dyDescent="0.25">
      <c r="A1175" s="2">
        <v>1168</v>
      </c>
      <c r="B1175" s="4">
        <v>43496</v>
      </c>
      <c r="C1175" s="3">
        <v>2.174068500116825</v>
      </c>
      <c r="D1175" s="3">
        <f t="shared" si="36"/>
        <v>31</v>
      </c>
      <c r="E1175" s="2">
        <f t="shared" si="37"/>
        <v>133.67826149478657</v>
      </c>
    </row>
    <row r="1176" spans="1:5" x14ac:dyDescent="0.25">
      <c r="A1176" s="2">
        <v>1169</v>
      </c>
      <c r="B1176" s="4">
        <v>43524</v>
      </c>
      <c r="C1176" s="3">
        <v>3.02540439191299</v>
      </c>
      <c r="D1176" s="3">
        <f t="shared" si="36"/>
        <v>28</v>
      </c>
      <c r="E1176" s="2">
        <f t="shared" si="37"/>
        <v>168.02245879053962</v>
      </c>
    </row>
    <row r="1177" spans="1:5" x14ac:dyDescent="0.25">
      <c r="A1177" s="2">
        <v>1170</v>
      </c>
      <c r="B1177" s="4">
        <v>43555</v>
      </c>
      <c r="C1177" s="3">
        <v>17.907139850376296</v>
      </c>
      <c r="D1177" s="3">
        <f t="shared" si="36"/>
        <v>31</v>
      </c>
      <c r="E1177" s="2">
        <f t="shared" si="37"/>
        <v>1101.0671114611541</v>
      </c>
    </row>
    <row r="1178" spans="1:5" x14ac:dyDescent="0.25">
      <c r="A1178" s="2">
        <v>1171</v>
      </c>
      <c r="B1178" s="4">
        <v>43585</v>
      </c>
      <c r="C1178" s="3">
        <v>26.245029168479075</v>
      </c>
      <c r="D1178" s="3">
        <f t="shared" si="36"/>
        <v>30</v>
      </c>
      <c r="E1178" s="2">
        <f t="shared" si="37"/>
        <v>1561.687686058259</v>
      </c>
    </row>
    <row r="1179" spans="1:5" x14ac:dyDescent="0.25">
      <c r="A1179" s="2">
        <v>1172</v>
      </c>
      <c r="B1179" s="4">
        <v>43616</v>
      </c>
      <c r="C1179" s="3">
        <v>37.471605442263389</v>
      </c>
      <c r="D1179" s="3">
        <f t="shared" si="36"/>
        <v>31</v>
      </c>
      <c r="E1179" s="2">
        <f t="shared" si="37"/>
        <v>2304.0392106647901</v>
      </c>
    </row>
    <row r="1180" spans="1:5" x14ac:dyDescent="0.25">
      <c r="A1180" s="2">
        <v>1173</v>
      </c>
      <c r="B1180" s="4">
        <v>43646</v>
      </c>
      <c r="C1180" s="3">
        <v>50.919052650413335</v>
      </c>
      <c r="D1180" s="3">
        <f t="shared" si="36"/>
        <v>30</v>
      </c>
      <c r="E1180" s="2">
        <f t="shared" si="37"/>
        <v>3029.8940420080662</v>
      </c>
    </row>
    <row r="1181" spans="1:5" x14ac:dyDescent="0.25">
      <c r="A1181" s="2">
        <v>1174</v>
      </c>
      <c r="B1181" s="4">
        <v>43677</v>
      </c>
      <c r="C1181" s="3">
        <v>63.227743649777445</v>
      </c>
      <c r="D1181" s="3">
        <f t="shared" si="36"/>
        <v>31</v>
      </c>
      <c r="E1181" s="2">
        <f t="shared" si="37"/>
        <v>3887.7224194573901</v>
      </c>
    </row>
    <row r="1182" spans="1:5" x14ac:dyDescent="0.25">
      <c r="A1182" s="2">
        <v>1175</v>
      </c>
      <c r="B1182" s="4">
        <v>43708</v>
      </c>
      <c r="C1182" s="3">
        <v>69.130193543730144</v>
      </c>
      <c r="D1182" s="3">
        <f t="shared" si="36"/>
        <v>31</v>
      </c>
      <c r="E1182" s="2">
        <f t="shared" si="37"/>
        <v>4250.6499170690277</v>
      </c>
    </row>
    <row r="1183" spans="1:5" x14ac:dyDescent="0.25">
      <c r="A1183" s="2">
        <v>1176</v>
      </c>
      <c r="B1183" s="4">
        <v>43738</v>
      </c>
      <c r="C1183" s="3">
        <v>60.252670377326474</v>
      </c>
      <c r="D1183" s="3">
        <f t="shared" si="36"/>
        <v>30</v>
      </c>
      <c r="E1183" s="2">
        <f t="shared" si="37"/>
        <v>3585.2828654276909</v>
      </c>
    </row>
    <row r="1184" spans="1:5" x14ac:dyDescent="0.25">
      <c r="A1184" s="2">
        <v>1177</v>
      </c>
      <c r="B1184" s="4">
        <v>43769</v>
      </c>
      <c r="C1184" s="3">
        <v>39.707380625001747</v>
      </c>
      <c r="D1184" s="3">
        <f t="shared" si="36"/>
        <v>31</v>
      </c>
      <c r="E1184" s="2">
        <f t="shared" si="37"/>
        <v>2441.5116681819254</v>
      </c>
    </row>
    <row r="1185" spans="1:5" x14ac:dyDescent="0.25">
      <c r="A1185" s="2">
        <v>1178</v>
      </c>
      <c r="B1185" s="4">
        <v>43799</v>
      </c>
      <c r="C1185" s="3">
        <v>26.060205334574523</v>
      </c>
      <c r="D1185" s="3">
        <f t="shared" si="36"/>
        <v>30</v>
      </c>
      <c r="E1185" s="2">
        <f t="shared" si="37"/>
        <v>1550.6899042060875</v>
      </c>
    </row>
    <row r="1186" spans="1:5" x14ac:dyDescent="0.25">
      <c r="A1186" s="2">
        <v>1179</v>
      </c>
      <c r="B1186" s="4">
        <v>43830</v>
      </c>
      <c r="C1186" s="3">
        <v>20.748001185172026</v>
      </c>
      <c r="D1186" s="3">
        <f t="shared" si="36"/>
        <v>31</v>
      </c>
      <c r="E1186" s="2">
        <f t="shared" si="37"/>
        <v>1275.7448662618172</v>
      </c>
    </row>
    <row r="1187" spans="1:5" x14ac:dyDescent="0.25">
      <c r="A1187" s="2">
        <v>1180</v>
      </c>
      <c r="B1187" s="4">
        <v>43861</v>
      </c>
      <c r="C1187" s="3">
        <v>12.890982179162041</v>
      </c>
      <c r="D1187" s="3">
        <f t="shared" si="36"/>
        <v>31</v>
      </c>
      <c r="E1187" s="2">
        <f t="shared" si="37"/>
        <v>792.63559845426096</v>
      </c>
    </row>
    <row r="1188" spans="1:5" x14ac:dyDescent="0.25">
      <c r="A1188" s="2">
        <v>1181</v>
      </c>
      <c r="B1188" s="4">
        <v>43890</v>
      </c>
      <c r="C1188" s="3">
        <v>11.257850942702857</v>
      </c>
      <c r="D1188" s="3">
        <f t="shared" si="36"/>
        <v>29</v>
      </c>
      <c r="E1188" s="2">
        <f t="shared" si="37"/>
        <v>647.55902943150329</v>
      </c>
    </row>
    <row r="1189" spans="1:5" x14ac:dyDescent="0.25">
      <c r="A1189" s="2">
        <v>1182</v>
      </c>
      <c r="B1189" s="4">
        <v>43921</v>
      </c>
      <c r="C1189" s="3">
        <v>7.5986009326066188</v>
      </c>
      <c r="D1189" s="3">
        <f t="shared" si="36"/>
        <v>31</v>
      </c>
      <c r="E1189" s="2">
        <f t="shared" si="37"/>
        <v>467.21975982308464</v>
      </c>
    </row>
    <row r="1190" spans="1:5" x14ac:dyDescent="0.25">
      <c r="A1190" s="2">
        <v>1183</v>
      </c>
      <c r="B1190" s="4">
        <v>43951</v>
      </c>
      <c r="C1190" s="3">
        <v>17.34586582307541</v>
      </c>
      <c r="D1190" s="3">
        <f t="shared" si="36"/>
        <v>30</v>
      </c>
      <c r="E1190" s="2">
        <f t="shared" si="37"/>
        <v>1032.1506936044871</v>
      </c>
    </row>
    <row r="1191" spans="1:5" x14ac:dyDescent="0.25">
      <c r="A1191" s="2">
        <v>1184</v>
      </c>
      <c r="B1191" s="4">
        <v>43982</v>
      </c>
      <c r="C1191" s="3">
        <v>24.765735103749172</v>
      </c>
      <c r="D1191" s="3">
        <f t="shared" si="36"/>
        <v>31</v>
      </c>
      <c r="E1191" s="2">
        <f t="shared" si="37"/>
        <v>1522.7856956354863</v>
      </c>
    </row>
    <row r="1192" spans="1:5" x14ac:dyDescent="0.25">
      <c r="A1192" s="2">
        <v>1185</v>
      </c>
      <c r="B1192" s="4">
        <v>44012</v>
      </c>
      <c r="C1192" s="3">
        <v>33.653422499258212</v>
      </c>
      <c r="D1192" s="3">
        <f t="shared" si="36"/>
        <v>30</v>
      </c>
      <c r="E1192" s="2">
        <f t="shared" si="37"/>
        <v>2002.5177024351992</v>
      </c>
    </row>
    <row r="1193" spans="1:5" x14ac:dyDescent="0.25">
      <c r="A1193" s="2">
        <v>1186</v>
      </c>
      <c r="B1193" s="4">
        <v>44043</v>
      </c>
      <c r="C1193" s="3">
        <v>41.788483091573788</v>
      </c>
      <c r="D1193" s="3">
        <f t="shared" si="36"/>
        <v>31</v>
      </c>
      <c r="E1193" s="2">
        <f t="shared" si="37"/>
        <v>2569.473671085198</v>
      </c>
    </row>
    <row r="1194" spans="1:5" x14ac:dyDescent="0.25">
      <c r="A1194" s="2">
        <v>1187</v>
      </c>
      <c r="B1194" s="4">
        <v>44074</v>
      </c>
      <c r="C1194" s="3">
        <v>45.689530533002952</v>
      </c>
      <c r="D1194" s="3">
        <f t="shared" si="36"/>
        <v>31</v>
      </c>
      <c r="E1194" s="2">
        <f t="shared" si="37"/>
        <v>2809.3397286408431</v>
      </c>
    </row>
    <row r="1195" spans="1:5" x14ac:dyDescent="0.25">
      <c r="A1195" s="2">
        <v>1188</v>
      </c>
      <c r="B1195" s="4">
        <v>44104</v>
      </c>
      <c r="C1195" s="3">
        <v>39.822197534546028</v>
      </c>
      <c r="D1195" s="3">
        <f t="shared" si="36"/>
        <v>30</v>
      </c>
      <c r="E1195" s="2">
        <f t="shared" si="37"/>
        <v>2369.5853078407554</v>
      </c>
    </row>
    <row r="1196" spans="1:5" x14ac:dyDescent="0.25">
      <c r="A1196" s="2">
        <v>1189</v>
      </c>
      <c r="B1196" s="4">
        <v>44135</v>
      </c>
      <c r="C1196" s="3">
        <v>26.243403735069222</v>
      </c>
      <c r="D1196" s="3">
        <f t="shared" si="36"/>
        <v>31</v>
      </c>
      <c r="E1196" s="2">
        <f t="shared" si="37"/>
        <v>1613.6439982554957</v>
      </c>
    </row>
    <row r="1197" spans="1:5" x14ac:dyDescent="0.25">
      <c r="A1197" s="2">
        <v>1190</v>
      </c>
      <c r="B1197" s="4">
        <v>44165</v>
      </c>
      <c r="C1197" s="3">
        <v>17.223712046707536</v>
      </c>
      <c r="D1197" s="3">
        <f t="shared" si="36"/>
        <v>30</v>
      </c>
      <c r="E1197" s="2">
        <f t="shared" si="37"/>
        <v>1024.8820391429279</v>
      </c>
    </row>
    <row r="1198" spans="1:5" x14ac:dyDescent="0.25">
      <c r="A1198" s="2">
        <v>1191</v>
      </c>
      <c r="B1198" s="4">
        <v>44196</v>
      </c>
      <c r="C1198" s="3">
        <v>13.712769848518317</v>
      </c>
      <c r="D1198" s="3">
        <f t="shared" si="36"/>
        <v>31</v>
      </c>
      <c r="E1198" s="2">
        <f t="shared" si="37"/>
        <v>843.16535266922551</v>
      </c>
    </row>
    <row r="1199" spans="1:5" x14ac:dyDescent="0.25">
      <c r="A1199" s="2">
        <v>1192</v>
      </c>
      <c r="B1199" s="4">
        <v>44227</v>
      </c>
      <c r="C1199" s="3">
        <v>2.1740685001168232</v>
      </c>
      <c r="D1199" s="3">
        <f t="shared" si="36"/>
        <v>31</v>
      </c>
      <c r="E1199" s="2">
        <f t="shared" si="37"/>
        <v>133.67826149478648</v>
      </c>
    </row>
    <row r="1200" spans="1:5" x14ac:dyDescent="0.25">
      <c r="A1200" s="2">
        <v>1193</v>
      </c>
      <c r="B1200" s="4">
        <v>44255</v>
      </c>
      <c r="C1200" s="3">
        <v>2.1456103783032221</v>
      </c>
      <c r="D1200" s="3">
        <f t="shared" si="36"/>
        <v>28</v>
      </c>
      <c r="E1200" s="2">
        <f t="shared" si="37"/>
        <v>119.1611714231211</v>
      </c>
    </row>
    <row r="1201" spans="1:5" x14ac:dyDescent="0.25">
      <c r="A1201" s="2">
        <v>1194</v>
      </c>
      <c r="B1201" s="4">
        <v>44286</v>
      </c>
      <c r="C1201" s="3">
        <v>3.9173785047236795</v>
      </c>
      <c r="D1201" s="3">
        <f t="shared" si="36"/>
        <v>31</v>
      </c>
      <c r="E1201" s="2">
        <f t="shared" si="37"/>
        <v>240.87021549705926</v>
      </c>
    </row>
    <row r="1202" spans="1:5" x14ac:dyDescent="0.25">
      <c r="A1202" s="2">
        <v>1195</v>
      </c>
      <c r="B1202" s="4">
        <v>44316</v>
      </c>
      <c r="C1202" s="3">
        <v>3.3888050634772546</v>
      </c>
      <c r="D1202" s="3">
        <f t="shared" si="36"/>
        <v>30</v>
      </c>
      <c r="E1202" s="2">
        <f t="shared" si="37"/>
        <v>201.64790460360524</v>
      </c>
    </row>
    <row r="1203" spans="1:5" x14ac:dyDescent="0.25">
      <c r="A1203" s="2">
        <v>1196</v>
      </c>
      <c r="B1203" s="4">
        <v>44347</v>
      </c>
      <c r="C1203" s="3">
        <v>4.8384006527176924</v>
      </c>
      <c r="D1203" s="3">
        <f t="shared" si="36"/>
        <v>31</v>
      </c>
      <c r="E1203" s="2">
        <f t="shared" si="37"/>
        <v>297.50165996875728</v>
      </c>
    </row>
    <row r="1204" spans="1:5" x14ac:dyDescent="0.25">
      <c r="A1204" s="2">
        <v>1197</v>
      </c>
      <c r="B1204" s="4">
        <v>44377</v>
      </c>
      <c r="C1204" s="3">
        <v>6.5747590654777461</v>
      </c>
      <c r="D1204" s="3">
        <f t="shared" si="36"/>
        <v>30</v>
      </c>
      <c r="E1204" s="2">
        <f t="shared" si="37"/>
        <v>391.22533282181627</v>
      </c>
    </row>
    <row r="1205" spans="1:5" x14ac:dyDescent="0.25">
      <c r="A1205" s="2">
        <v>1198</v>
      </c>
      <c r="B1205" s="4">
        <v>44408</v>
      </c>
      <c r="C1205" s="3">
        <v>8.1640792417158803</v>
      </c>
      <c r="D1205" s="3">
        <f t="shared" si="36"/>
        <v>31</v>
      </c>
      <c r="E1205" s="2">
        <f t="shared" si="37"/>
        <v>501.98966577162111</v>
      </c>
    </row>
    <row r="1206" spans="1:5" x14ac:dyDescent="0.25">
      <c r="A1206" s="2">
        <v>1199</v>
      </c>
      <c r="B1206" s="4">
        <v>44439</v>
      </c>
      <c r="C1206" s="3">
        <v>8.9262141191109041</v>
      </c>
      <c r="D1206" s="3">
        <f t="shared" si="36"/>
        <v>31</v>
      </c>
      <c r="E1206" s="2">
        <f t="shared" si="37"/>
        <v>548.85151277838941</v>
      </c>
    </row>
    <row r="1207" spans="1:5" x14ac:dyDescent="0.25">
      <c r="A1207" s="2">
        <v>1200</v>
      </c>
      <c r="B1207" s="4">
        <v>44469</v>
      </c>
      <c r="C1207" s="3">
        <v>7.7799324646185104</v>
      </c>
      <c r="D1207" s="3">
        <f t="shared" si="36"/>
        <v>30</v>
      </c>
      <c r="E1207" s="2">
        <f t="shared" si="37"/>
        <v>462.93813012606012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D4ED-A0C3-4AF8-AD70-ECDE37CA7BFE}">
  <dimension ref="A1:C1201"/>
  <sheetViews>
    <sheetView workbookViewId="0">
      <selection activeCell="B3" sqref="B3"/>
    </sheetView>
  </sheetViews>
  <sheetFormatPr defaultRowHeight="15" x14ac:dyDescent="0.25"/>
  <cols>
    <col min="1" max="1" width="18.85546875" customWidth="1"/>
    <col min="2" max="2" width="10" bestFit="1" customWidth="1"/>
  </cols>
  <sheetData>
    <row r="1" spans="1:3" x14ac:dyDescent="0.25">
      <c r="B1" t="s">
        <v>0</v>
      </c>
      <c r="C1" t="s">
        <v>69</v>
      </c>
    </row>
    <row r="2" spans="1:3" x14ac:dyDescent="0.25">
      <c r="A2" s="4">
        <v>7975</v>
      </c>
      <c r="B2" s="6">
        <f>'Monthly CFS'!C8 * 86400 * DAY(EOMONTH(A2,0)) / 43560</f>
        <v>1934.3275927890204</v>
      </c>
      <c r="C2">
        <v>-55400.330579000001</v>
      </c>
    </row>
    <row r="3" spans="1:3" x14ac:dyDescent="0.25">
      <c r="A3" s="4">
        <v>8005</v>
      </c>
      <c r="B3" s="6">
        <f>'Monthly CFS'!C9 * 86400 * DAY(EOMONTH(A3,0)) / 43560</f>
        <v>1228.5594652917675</v>
      </c>
      <c r="C3">
        <v>1871.9299189999999</v>
      </c>
    </row>
    <row r="4" spans="1:3" x14ac:dyDescent="0.25">
      <c r="A4" s="4">
        <v>8036</v>
      </c>
      <c r="B4" s="6">
        <f>'Monthly CFS'!C10 * 86400 * DAY(EOMONTH(A4,0)) / 43560</f>
        <v>1010.7297574402963</v>
      </c>
      <c r="C4">
        <v>1269.5114020000001</v>
      </c>
    </row>
    <row r="5" spans="1:3" x14ac:dyDescent="0.25">
      <c r="A5" s="4">
        <v>8067</v>
      </c>
      <c r="B5" s="6">
        <f>'Monthly CFS'!C11 * 86400 * DAY(EOMONTH(A5,0)) / 43560</f>
        <v>1016.5395496336508</v>
      </c>
      <c r="C5">
        <v>1010.7298050000001</v>
      </c>
    </row>
    <row r="6" spans="1:3" x14ac:dyDescent="0.25">
      <c r="A6" s="4">
        <v>8095</v>
      </c>
      <c r="B6" s="6">
        <f>'Monthly CFS'!C12 * 86400 * DAY(EOMONTH(A6,0)) / 43560</f>
        <v>800.74701687806805</v>
      </c>
      <c r="C6">
        <v>918.16474300000004</v>
      </c>
    </row>
    <row r="7" spans="1:3" x14ac:dyDescent="0.25">
      <c r="A7" s="4">
        <v>8126</v>
      </c>
      <c r="B7" s="6">
        <f>'Monthly CFS'!C13 * 86400 * DAY(EOMONTH(A7,0)) / 43560</f>
        <v>1314.2371232294154</v>
      </c>
      <c r="C7">
        <v>886.54135499999995</v>
      </c>
    </row>
    <row r="8" spans="1:3" x14ac:dyDescent="0.25">
      <c r="A8" s="4">
        <v>8156</v>
      </c>
      <c r="B8" s="6">
        <f>'Monthly CFS'!C14 * 86400 * DAY(EOMONTH(A8,0)) / 43560</f>
        <v>1561.6876860582588</v>
      </c>
      <c r="C8">
        <v>1271.8423760000001</v>
      </c>
    </row>
    <row r="9" spans="1:3" x14ac:dyDescent="0.25">
      <c r="A9" s="4">
        <v>8187</v>
      </c>
      <c r="B9" s="6">
        <f>'Monthly CFS'!C15 * 86400 * DAY(EOMONTH(A9,0)) / 43560</f>
        <v>2304.0392106647905</v>
      </c>
      <c r="C9">
        <v>1613.74396</v>
      </c>
    </row>
    <row r="10" spans="1:3" x14ac:dyDescent="0.25">
      <c r="A10" s="4">
        <v>8217</v>
      </c>
      <c r="B10" s="6">
        <f>'Monthly CFS'!C16 * 86400 * DAY(EOMONTH(A10,0)) / 43560</f>
        <v>3029.8940420080658</v>
      </c>
      <c r="C10">
        <v>2229.7154700000001</v>
      </c>
    </row>
    <row r="11" spans="1:3" x14ac:dyDescent="0.25">
      <c r="A11" s="4">
        <v>8248</v>
      </c>
      <c r="B11" s="6">
        <f>'Monthly CFS'!C17 * 86400 * DAY(EOMONTH(A11,0)) / 43560</f>
        <v>3887.7224194573919</v>
      </c>
      <c r="C11">
        <v>3130.8904779999998</v>
      </c>
    </row>
    <row r="12" spans="1:3" x14ac:dyDescent="0.25">
      <c r="A12" s="4">
        <v>8279</v>
      </c>
      <c r="B12" s="6">
        <f>'Monthly CFS'!C18 * 86400 * DAY(EOMONTH(A12,0)) / 43560</f>
        <v>4250.6499170690286</v>
      </c>
      <c r="C12">
        <v>3887.7225060000001</v>
      </c>
    </row>
    <row r="13" spans="1:3" x14ac:dyDescent="0.25">
      <c r="A13" s="4">
        <v>8309</v>
      </c>
      <c r="B13" s="6">
        <f>'Monthly CFS'!C19 * 86400 * DAY(EOMONTH(A13,0)) / 43560</f>
        <v>3585.2828654276937</v>
      </c>
      <c r="C13">
        <v>4113.5323010000002</v>
      </c>
    </row>
    <row r="14" spans="1:3" x14ac:dyDescent="0.25">
      <c r="A14" s="4">
        <v>8340</v>
      </c>
      <c r="B14" s="6">
        <f>'Monthly CFS'!C20 * 86400 * DAY(EOMONTH(A14,0)) / 43560</f>
        <v>2441.5116681819259</v>
      </c>
      <c r="C14">
        <v>3704.792289</v>
      </c>
    </row>
    <row r="15" spans="1:3" x14ac:dyDescent="0.25">
      <c r="A15" s="4">
        <v>8370</v>
      </c>
      <c r="B15" s="6">
        <f>'Monthly CFS'!C21 * 86400 * DAY(EOMONTH(A15,0)) / 43560</f>
        <v>1550.689904206087</v>
      </c>
      <c r="C15">
        <v>2362.7533210000001</v>
      </c>
    </row>
    <row r="16" spans="1:3" x14ac:dyDescent="0.25">
      <c r="A16" s="4">
        <v>8401</v>
      </c>
      <c r="B16" s="6">
        <f>'Monthly CFS'!C22 * 86400 * DAY(EOMONTH(A16,0)) / 43560</f>
        <v>1275.7448662618169</v>
      </c>
      <c r="C16">
        <v>1602.3795749999999</v>
      </c>
    </row>
    <row r="17" spans="1:3" x14ac:dyDescent="0.25">
      <c r="A17" s="4">
        <v>8432</v>
      </c>
      <c r="B17" s="6">
        <f>'Monthly CFS'!C23 * 86400 * DAY(EOMONTH(A17,0)) / 43560</f>
        <v>1029.0644767517983</v>
      </c>
      <c r="C17">
        <v>1275.7448609999999</v>
      </c>
    </row>
    <row r="18" spans="1:3" x14ac:dyDescent="0.25">
      <c r="A18" s="4">
        <v>8460</v>
      </c>
      <c r="B18" s="6">
        <f>'Monthly CFS'!C24 * 86400 * DAY(EOMONTH(A18,0)) / 43560</f>
        <v>701.20920177261712</v>
      </c>
      <c r="C18">
        <v>929.47762</v>
      </c>
    </row>
    <row r="19" spans="1:3" x14ac:dyDescent="0.25">
      <c r="A19" s="4">
        <v>8491</v>
      </c>
      <c r="B19" s="6">
        <f>'Monthly CFS'!C25 * 86400 * DAY(EOMONTH(A19,0)) / 43560</f>
        <v>791.18791678830269</v>
      </c>
      <c r="C19">
        <v>776.338751</v>
      </c>
    </row>
    <row r="20" spans="1:3" x14ac:dyDescent="0.25">
      <c r="A20" s="4">
        <v>8521</v>
      </c>
      <c r="B20" s="6">
        <f>'Monthly CFS'!C26 * 86400 * DAY(EOMONTH(A20,0)) / 43560</f>
        <v>1085.4100883765727</v>
      </c>
      <c r="C20">
        <v>765.665751</v>
      </c>
    </row>
    <row r="21" spans="1:3" x14ac:dyDescent="0.25">
      <c r="A21" s="4">
        <v>8552</v>
      </c>
      <c r="B21" s="6">
        <f>'Monthly CFS'!C27 * 86400 * DAY(EOMONTH(A21,0)) / 43560</f>
        <v>1637.840207955355</v>
      </c>
      <c r="C21">
        <v>1121.5903980000001</v>
      </c>
    </row>
    <row r="22" spans="1:3" x14ac:dyDescent="0.25">
      <c r="A22" s="4">
        <v>8582</v>
      </c>
      <c r="B22" s="6">
        <f>'Monthly CFS'!C28 * 86400 * DAY(EOMONTH(A22,0)) / 43560</f>
        <v>2153.8185048566711</v>
      </c>
      <c r="C22">
        <v>1585.0066380000001</v>
      </c>
    </row>
    <row r="23" spans="1:3" x14ac:dyDescent="0.25">
      <c r="A23" s="4">
        <v>8613</v>
      </c>
      <c r="B23" s="6">
        <f>'Monthly CFS'!C29 * 86400 * DAY(EOMONTH(A23,0)) / 43560</f>
        <v>2763.6109951963754</v>
      </c>
      <c r="C23">
        <v>2225.6125080000002</v>
      </c>
    </row>
    <row r="24" spans="1:3" x14ac:dyDescent="0.25">
      <c r="A24" s="4">
        <v>8644</v>
      </c>
      <c r="B24" s="6">
        <f>'Monthly CFS'!C30 * 86400 * DAY(EOMONTH(A24,0)) / 43560</f>
        <v>3021.6002018945765</v>
      </c>
      <c r="C24">
        <v>2763.6109759999999</v>
      </c>
    </row>
    <row r="25" spans="1:3" x14ac:dyDescent="0.25">
      <c r="A25" s="4">
        <v>8674</v>
      </c>
      <c r="B25" s="6">
        <f>'Monthly CFS'!C31 * 86400 * DAY(EOMONTH(A25,0)) / 43560</f>
        <v>2548.6200090303878</v>
      </c>
      <c r="C25">
        <v>2924.129265</v>
      </c>
    </row>
    <row r="26" spans="1:3" x14ac:dyDescent="0.25">
      <c r="A26" s="4">
        <v>8705</v>
      </c>
      <c r="B26" s="6">
        <f>'Monthly CFS'!C32 * 86400 * DAY(EOMONTH(A26,0)) / 43560</f>
        <v>1735.5633358282662</v>
      </c>
      <c r="C26">
        <v>2633.5739739999999</v>
      </c>
    </row>
    <row r="27" spans="1:3" x14ac:dyDescent="0.25">
      <c r="A27" s="4">
        <v>8735</v>
      </c>
      <c r="B27" s="6">
        <f>'Monthly CFS'!C33 * 86400 * DAY(EOMONTH(A27,0)) / 43560</f>
        <v>1102.3172971289664</v>
      </c>
      <c r="C27">
        <v>1679.5774730000001</v>
      </c>
    </row>
    <row r="28" spans="1:3" x14ac:dyDescent="0.25">
      <c r="A28" s="4">
        <v>8766</v>
      </c>
      <c r="B28" s="6">
        <f>'Monthly CFS'!C34 * 86400 * DAY(EOMONTH(A28,0)) / 43560</f>
        <v>906.87095401182535</v>
      </c>
      <c r="C28">
        <v>1139.0612289999999</v>
      </c>
    </row>
    <row r="29" spans="1:3" x14ac:dyDescent="0.25">
      <c r="A29" s="4">
        <v>8797</v>
      </c>
      <c r="B29" s="6">
        <f>'Monthly CFS'!C35 * 86400 * DAY(EOMONTH(A29,0)) / 43560</f>
        <v>133.67826149478657</v>
      </c>
      <c r="C29">
        <v>906.87096099999997</v>
      </c>
    </row>
    <row r="30" spans="1:3" x14ac:dyDescent="0.25">
      <c r="A30" s="4">
        <v>8826</v>
      </c>
      <c r="B30" s="6">
        <f>'Monthly CFS'!C36 * 86400 * DAY(EOMONTH(A30,0)) / 43560</f>
        <v>136.64143426785594</v>
      </c>
      <c r="C30">
        <v>125.053855</v>
      </c>
    </row>
    <row r="31" spans="1:3" x14ac:dyDescent="0.25">
      <c r="A31" s="4">
        <v>8857</v>
      </c>
      <c r="B31" s="6">
        <f>'Monthly CFS'!C37 * 86400 * DAY(EOMONTH(A31,0)) / 43560</f>
        <v>783.61207391155506</v>
      </c>
      <c r="C31">
        <v>146.064987</v>
      </c>
    </row>
    <row r="32" spans="1:3" x14ac:dyDescent="0.25">
      <c r="A32" s="4">
        <v>8887</v>
      </c>
      <c r="B32" s="6">
        <f>'Monthly CFS'!C38 * 86400 * DAY(EOMONTH(A32,0)) / 43560</f>
        <v>898.07770116216989</v>
      </c>
      <c r="C32">
        <v>758.33425</v>
      </c>
    </row>
    <row r="33" spans="1:3" x14ac:dyDescent="0.25">
      <c r="A33" s="4">
        <v>8918</v>
      </c>
      <c r="B33" s="6">
        <f>'Monthly CFS'!C39 * 86400 * DAY(EOMONTH(A33,0)) / 43560</f>
        <v>1401.144297338564</v>
      </c>
      <c r="C33">
        <v>928.013599</v>
      </c>
    </row>
    <row r="34" spans="1:3" x14ac:dyDescent="0.25">
      <c r="A34" s="4">
        <v>8948</v>
      </c>
      <c r="B34" s="6">
        <f>'Monthly CFS'!C40 * 86400 * DAY(EOMONTH(A34,0)) / 43560</f>
        <v>1842.5549091565936</v>
      </c>
      <c r="C34">
        <v>1355.9461229999999</v>
      </c>
    </row>
    <row r="35" spans="1:3" x14ac:dyDescent="0.25">
      <c r="A35" s="4">
        <v>8979</v>
      </c>
      <c r="B35" s="6">
        <f>'Monthly CFS'!C41 * 86400 * DAY(EOMONTH(A35,0)) / 43560</f>
        <v>2364.2219596107893</v>
      </c>
      <c r="C35">
        <v>1903.9733799999999</v>
      </c>
    </row>
    <row r="36" spans="1:3" x14ac:dyDescent="0.25">
      <c r="A36" s="4">
        <v>9010</v>
      </c>
      <c r="B36" s="6">
        <f>'Monthly CFS'!C42 * 86400 * DAY(EOMONTH(A36,0)) / 43560</f>
        <v>2584.9273153495828</v>
      </c>
      <c r="C36">
        <v>2364.2218499999999</v>
      </c>
    </row>
    <row r="37" spans="1:3" x14ac:dyDescent="0.25">
      <c r="A37" s="4">
        <v>9040</v>
      </c>
      <c r="B37" s="6">
        <f>'Monthly CFS'!C43 * 86400 * DAY(EOMONTH(A37,0)) / 43560</f>
        <v>2180.3008464383879</v>
      </c>
      <c r="C37">
        <v>2501.5426510000002</v>
      </c>
    </row>
    <row r="38" spans="1:3" x14ac:dyDescent="0.25">
      <c r="A38" s="4">
        <v>9071</v>
      </c>
      <c r="B38" s="6">
        <f>'Monthly CFS'!C44 * 86400 * DAY(EOMONTH(A38,0)) / 43560</f>
        <v>1484.7447625561999</v>
      </c>
      <c r="C38">
        <v>2252.9775220000001</v>
      </c>
    </row>
    <row r="39" spans="1:3" x14ac:dyDescent="0.25">
      <c r="A39" s="4">
        <v>9101</v>
      </c>
      <c r="B39" s="6">
        <f>'Monthly CFS'!C45 * 86400 * DAY(EOMONTH(A39,0)) / 43560</f>
        <v>943.01360244296222</v>
      </c>
      <c r="C39">
        <v>1436.8497609999999</v>
      </c>
    </row>
    <row r="40" spans="1:3" x14ac:dyDescent="0.25">
      <c r="A40" s="4">
        <v>9132</v>
      </c>
      <c r="B40" s="6">
        <f>'Monthly CFS'!C46 * 86400 * DAY(EOMONTH(A40,0)) / 43560</f>
        <v>775.81259726302164</v>
      </c>
      <c r="C40">
        <v>974.44736</v>
      </c>
    </row>
    <row r="41" spans="1:3" x14ac:dyDescent="0.25">
      <c r="A41" s="4">
        <v>9163</v>
      </c>
      <c r="B41" s="6">
        <f>'Monthly CFS'!C47 * 86400 * DAY(EOMONTH(A41,0)) / 43560</f>
        <v>133.67826149478657</v>
      </c>
      <c r="C41">
        <v>775.81258200000002</v>
      </c>
    </row>
    <row r="42" spans="1:3" x14ac:dyDescent="0.25">
      <c r="A42" s="4">
        <v>9191</v>
      </c>
      <c r="B42" s="6">
        <f>'Monthly CFS'!C48 * 86400 * DAY(EOMONTH(A42,0)) / 43560</f>
        <v>119.16117142312102</v>
      </c>
      <c r="C42">
        <v>120.741653</v>
      </c>
    </row>
    <row r="43" spans="1:3" x14ac:dyDescent="0.25">
      <c r="A43" s="4">
        <v>9222</v>
      </c>
      <c r="B43" s="6">
        <f>'Monthly CFS'!C49 * 86400 * DAY(EOMONTH(A43,0)) / 43560</f>
        <v>231.20320454466994</v>
      </c>
      <c r="C43">
        <v>131.928437</v>
      </c>
    </row>
    <row r="44" spans="1:3" x14ac:dyDescent="0.25">
      <c r="A44" s="4">
        <v>9252</v>
      </c>
      <c r="B44" s="6">
        <f>'Monthly CFS'!C50 * 86400 * DAY(EOMONTH(A44,0)) / 43560</f>
        <v>331.47230340254845</v>
      </c>
      <c r="C44">
        <v>223.74504200000001</v>
      </c>
    </row>
    <row r="45" spans="1:3" x14ac:dyDescent="0.25">
      <c r="A45" s="4">
        <v>9283</v>
      </c>
      <c r="B45" s="6">
        <f>'Monthly CFS'!C51 * 86400 * DAY(EOMONTH(A45,0)) / 43560</f>
        <v>652.62954256958039</v>
      </c>
      <c r="C45">
        <v>342.52137900000002</v>
      </c>
    </row>
    <row r="46" spans="1:3" x14ac:dyDescent="0.25">
      <c r="A46" s="4">
        <v>9313</v>
      </c>
      <c r="B46" s="6">
        <f>'Monthly CFS'!C52 * 86400 * DAY(EOMONTH(A46,0)) / 43560</f>
        <v>858.23121130802178</v>
      </c>
      <c r="C46">
        <v>631.57699200000002</v>
      </c>
    </row>
    <row r="47" spans="1:3" x14ac:dyDescent="0.25">
      <c r="A47" s="4">
        <v>9344</v>
      </c>
      <c r="B47" s="6">
        <f>'Monthly CFS'!C53 * 86400 * DAY(EOMONTH(A47,0)) / 43560</f>
        <v>1101.2149847553608</v>
      </c>
      <c r="C47">
        <v>886.83888999999999</v>
      </c>
    </row>
    <row r="48" spans="1:3" x14ac:dyDescent="0.25">
      <c r="A48" s="4">
        <v>9375</v>
      </c>
      <c r="B48" s="6">
        <f>'Monthly CFS'!C54 * 86400 * DAY(EOMONTH(A48,0)) / 43560</f>
        <v>1204.0158423344578</v>
      </c>
      <c r="C48">
        <v>1101.2149360000001</v>
      </c>
    </row>
    <row r="49" spans="1:3" x14ac:dyDescent="0.25">
      <c r="A49" s="4">
        <v>9405</v>
      </c>
      <c r="B49" s="6">
        <f>'Monthly CFS'!C55 * 86400 * DAY(EOMONTH(A49,0)) / 43560</f>
        <v>1015.5476111760726</v>
      </c>
      <c r="C49">
        <v>1165.1765929999999</v>
      </c>
    </row>
    <row r="50" spans="1:3" x14ac:dyDescent="0.25">
      <c r="A50" s="4">
        <v>9436</v>
      </c>
      <c r="B50" s="6">
        <f>'Monthly CFS'!C56 * 86400 * DAY(EOMONTH(A50,0)) / 43560</f>
        <v>691.56923884299545</v>
      </c>
      <c r="C50">
        <v>1049.3991570000001</v>
      </c>
    </row>
    <row r="51" spans="1:3" x14ac:dyDescent="0.25">
      <c r="A51" s="4">
        <v>9466</v>
      </c>
      <c r="B51" s="6">
        <f>'Monthly CFS'!C57 * 86400 * DAY(EOMONTH(A51,0)) / 43560</f>
        <v>439.23993921843197</v>
      </c>
      <c r="C51">
        <v>669.26055199999996</v>
      </c>
    </row>
    <row r="52" spans="1:3" x14ac:dyDescent="0.25">
      <c r="A52" s="4">
        <v>9497</v>
      </c>
      <c r="B52" s="6">
        <f>'Monthly CFS'!C58 * 86400 * DAY(EOMONTH(A52,0)) / 43560</f>
        <v>361.36051185678883</v>
      </c>
      <c r="C52">
        <v>453.88128499999999</v>
      </c>
    </row>
    <row r="53" spans="1:3" x14ac:dyDescent="0.25">
      <c r="A53" s="4">
        <v>9528</v>
      </c>
      <c r="B53" s="6">
        <f>'Monthly CFS'!C59 * 86400 * DAY(EOMONTH(A53,0)) / 43560</f>
        <v>133.6782614947866</v>
      </c>
      <c r="C53">
        <v>361.360525</v>
      </c>
    </row>
    <row r="54" spans="1:3" x14ac:dyDescent="0.25">
      <c r="A54" s="4">
        <v>9556</v>
      </c>
      <c r="B54" s="6">
        <f>'Monthly CFS'!C60 * 86400 * DAY(EOMONTH(A54,0)) / 43560</f>
        <v>119.95750161395917</v>
      </c>
      <c r="C54">
        <v>120.741653</v>
      </c>
    </row>
    <row r="55" spans="1:3" x14ac:dyDescent="0.25">
      <c r="A55" s="4">
        <v>9587</v>
      </c>
      <c r="B55" s="6">
        <f>'Monthly CFS'!C61 * 86400 * DAY(EOMONTH(A55,0)) / 43560</f>
        <v>633.43220234449745</v>
      </c>
      <c r="C55">
        <v>132.810091</v>
      </c>
    </row>
    <row r="56" spans="1:3" x14ac:dyDescent="0.25">
      <c r="A56" s="4">
        <v>9617</v>
      </c>
      <c r="B56" s="6">
        <f>'Monthly CFS'!C62 * 86400 * DAY(EOMONTH(A56,0)) / 43560</f>
        <v>314.04159282178665</v>
      </c>
      <c r="C56">
        <v>612.998918</v>
      </c>
    </row>
    <row r="57" spans="1:3" x14ac:dyDescent="0.25">
      <c r="A57" s="4">
        <v>9648</v>
      </c>
      <c r="B57" s="6">
        <f>'Monthly CFS'!C63 * 86400 * DAY(EOMONTH(A57,0)) / 43560</f>
        <v>1458.8751122155695</v>
      </c>
      <c r="C57">
        <v>324.50963200000001</v>
      </c>
    </row>
    <row r="58" spans="1:3" x14ac:dyDescent="0.25">
      <c r="A58" s="4">
        <v>9678</v>
      </c>
      <c r="B58" s="6">
        <f>'Monthly CFS'!C64 * 86400 * DAY(EOMONTH(A58,0)) / 43560</f>
        <v>1918.4729973672729</v>
      </c>
      <c r="C58">
        <v>1411.814666</v>
      </c>
    </row>
    <row r="59" spans="1:3" x14ac:dyDescent="0.25">
      <c r="A59" s="4">
        <v>9709</v>
      </c>
      <c r="B59" s="6">
        <f>'Monthly CFS'!C65 * 86400 * DAY(EOMONTH(A59,0)) / 43560</f>
        <v>2461.6340966317234</v>
      </c>
      <c r="C59">
        <v>1982.4221219999999</v>
      </c>
    </row>
    <row r="60" spans="1:3" x14ac:dyDescent="0.25">
      <c r="A60" s="4">
        <v>9740</v>
      </c>
      <c r="B60" s="6">
        <f>'Monthly CFS'!C66 * 86400 * DAY(EOMONTH(A60,0)) / 43560</f>
        <v>2691.4330910904705</v>
      </c>
      <c r="C60">
        <v>2461.634141</v>
      </c>
    </row>
    <row r="61" spans="1:3" x14ac:dyDescent="0.25">
      <c r="A61" s="4">
        <v>9770</v>
      </c>
      <c r="B61" s="6">
        <f>'Monthly CFS'!C67 * 86400 * DAY(EOMONTH(A61,0)) / 43560</f>
        <v>2270.1349518770662</v>
      </c>
      <c r="C61">
        <v>2604.612568</v>
      </c>
    </row>
    <row r="62" spans="1:3" x14ac:dyDescent="0.25">
      <c r="A62" s="4">
        <v>9801</v>
      </c>
      <c r="B62" s="6">
        <f>'Monthly CFS'!C68 * 86400 * DAY(EOMONTH(A62,0)) / 43560</f>
        <v>1545.9201355634987</v>
      </c>
      <c r="C62">
        <v>2345.8061080000002</v>
      </c>
    </row>
    <row r="63" spans="1:3" x14ac:dyDescent="0.25">
      <c r="A63" s="4">
        <v>9831</v>
      </c>
      <c r="B63" s="6">
        <f>'Monthly CFS'!C69 * 86400 * DAY(EOMONTH(A63,0)) / 43560</f>
        <v>981.86823277086125</v>
      </c>
      <c r="C63">
        <v>1496.0517689999999</v>
      </c>
    </row>
    <row r="64" spans="1:3" x14ac:dyDescent="0.25">
      <c r="A64" s="4">
        <v>9862</v>
      </c>
      <c r="B64" s="6">
        <f>'Monthly CFS'!C70 * 86400 * DAY(EOMONTH(A64,0)) / 43560</f>
        <v>807.77810825065933</v>
      </c>
      <c r="C64">
        <v>1014.597174</v>
      </c>
    </row>
    <row r="65" spans="1:3" x14ac:dyDescent="0.25">
      <c r="A65" s="4">
        <v>9893</v>
      </c>
      <c r="B65" s="6">
        <f>'Monthly CFS'!C71 * 86400 * DAY(EOMONTH(A65,0)) / 43560</f>
        <v>864.92893801947582</v>
      </c>
      <c r="C65">
        <v>807.77813100000003</v>
      </c>
    </row>
    <row r="66" spans="1:3" x14ac:dyDescent="0.25">
      <c r="A66" s="4">
        <v>9921</v>
      </c>
      <c r="B66" s="6">
        <f>'Monthly CFS'!C72 * 86400 * DAY(EOMONTH(A66,0)) / 43560</f>
        <v>891.21049614912658</v>
      </c>
      <c r="C66">
        <v>781.22615599999995</v>
      </c>
    </row>
    <row r="67" spans="1:3" x14ac:dyDescent="0.25">
      <c r="A67" s="4">
        <v>9952</v>
      </c>
      <c r="B67" s="6">
        <f>'Monthly CFS'!C73 * 86400 * DAY(EOMONTH(A67,0)) / 43560</f>
        <v>1314.2371232294151</v>
      </c>
      <c r="C67">
        <v>986.69737099999998</v>
      </c>
    </row>
    <row r="68" spans="1:3" x14ac:dyDescent="0.25">
      <c r="A68" s="4">
        <v>9982</v>
      </c>
      <c r="B68" s="6">
        <f>'Monthly CFS'!C74 * 86400 * DAY(EOMONTH(A68,0)) / 43560</f>
        <v>1561.6876860582597</v>
      </c>
      <c r="C68">
        <v>1271.8423760000001</v>
      </c>
    </row>
    <row r="69" spans="1:3" x14ac:dyDescent="0.25">
      <c r="A69" s="4">
        <v>10013</v>
      </c>
      <c r="B69" s="6">
        <f>'Monthly CFS'!C75 * 86400 * DAY(EOMONTH(A69,0)) / 43560</f>
        <v>2304.0392106647896</v>
      </c>
      <c r="C69">
        <v>1613.74396</v>
      </c>
    </row>
    <row r="70" spans="1:3" x14ac:dyDescent="0.25">
      <c r="A70" s="4">
        <v>10043</v>
      </c>
      <c r="B70" s="6">
        <f>'Monthly CFS'!C76 * 86400 * DAY(EOMONTH(A70,0)) / 43560</f>
        <v>3029.8940420080658</v>
      </c>
      <c r="C70">
        <v>2229.7154700000001</v>
      </c>
    </row>
    <row r="71" spans="1:3" x14ac:dyDescent="0.25">
      <c r="A71" s="4">
        <v>10074</v>
      </c>
      <c r="B71" s="6">
        <f>'Monthly CFS'!C77 * 86400 * DAY(EOMONTH(A71,0)) / 43560</f>
        <v>3887.7224194573919</v>
      </c>
      <c r="C71">
        <v>3130.8904779999998</v>
      </c>
    </row>
    <row r="72" spans="1:3" x14ac:dyDescent="0.25">
      <c r="A72" s="4">
        <v>10105</v>
      </c>
      <c r="B72" s="6">
        <f>'Monthly CFS'!C78 * 86400 * DAY(EOMONTH(A72,0)) / 43560</f>
        <v>4250.6499170690258</v>
      </c>
      <c r="C72">
        <v>3887.7225060000001</v>
      </c>
    </row>
    <row r="73" spans="1:3" x14ac:dyDescent="0.25">
      <c r="A73" s="4">
        <v>10135</v>
      </c>
      <c r="B73" s="6">
        <f>'Monthly CFS'!C79 * 86400 * DAY(EOMONTH(A73,0)) / 43560</f>
        <v>3585.2828654276946</v>
      </c>
      <c r="C73">
        <v>4113.5323010000002</v>
      </c>
    </row>
    <row r="74" spans="1:3" x14ac:dyDescent="0.25">
      <c r="A74" s="4">
        <v>10166</v>
      </c>
      <c r="B74" s="6">
        <f>'Monthly CFS'!C80 * 86400 * DAY(EOMONTH(A74,0)) / 43560</f>
        <v>2441.5116681819259</v>
      </c>
      <c r="C74">
        <v>3704.792289</v>
      </c>
    </row>
    <row r="75" spans="1:3" x14ac:dyDescent="0.25">
      <c r="A75" s="4">
        <v>10196</v>
      </c>
      <c r="B75" s="6">
        <f>'Monthly CFS'!C81 * 86400 * DAY(EOMONTH(A75,0)) / 43560</f>
        <v>1550.6899042060877</v>
      </c>
      <c r="C75">
        <v>2362.7533210000001</v>
      </c>
    </row>
    <row r="76" spans="1:3" x14ac:dyDescent="0.25">
      <c r="A76" s="4">
        <v>10227</v>
      </c>
      <c r="B76" s="6">
        <f>'Monthly CFS'!C82 * 86400 * DAY(EOMONTH(A76,0)) / 43560</f>
        <v>1275.7448662618172</v>
      </c>
      <c r="C76">
        <v>1602.3795749999999</v>
      </c>
    </row>
    <row r="77" spans="1:3" x14ac:dyDescent="0.25">
      <c r="A77" s="4">
        <v>10258</v>
      </c>
      <c r="B77" s="6">
        <f>'Monthly CFS'!C83 * 86400 * DAY(EOMONTH(A77,0)) / 43560</f>
        <v>919.05235885537331</v>
      </c>
      <c r="C77">
        <v>1275.7448609999999</v>
      </c>
    </row>
    <row r="78" spans="1:3" x14ac:dyDescent="0.25">
      <c r="A78" s="4">
        <v>10287</v>
      </c>
      <c r="B78" s="6">
        <f>'Monthly CFS'!C84 * 86400 * DAY(EOMONTH(A78,0)) / 43560</f>
        <v>705.65501888542201</v>
      </c>
      <c r="C78">
        <v>859.75866299999996</v>
      </c>
    </row>
    <row r="79" spans="1:3" x14ac:dyDescent="0.25">
      <c r="A79" s="4">
        <v>10318</v>
      </c>
      <c r="B79" s="6">
        <f>'Monthly CFS'!C85 * 86400 * DAY(EOMONTH(A79,0)) / 43560</f>
        <v>883.17181617249025</v>
      </c>
      <c r="C79">
        <v>754.32086500000003</v>
      </c>
    </row>
    <row r="80" spans="1:3" x14ac:dyDescent="0.25">
      <c r="A80" s="4">
        <v>10348</v>
      </c>
      <c r="B80" s="6">
        <f>'Monthly CFS'!C86 * 86400 * DAY(EOMONTH(A80,0)) / 43560</f>
        <v>1561.6876860582588</v>
      </c>
      <c r="C80">
        <v>854.68241799999998</v>
      </c>
    </row>
    <row r="81" spans="1:3" x14ac:dyDescent="0.25">
      <c r="A81" s="4">
        <v>10379</v>
      </c>
      <c r="B81" s="6">
        <f>'Monthly CFS'!C87 * 86400 * DAY(EOMONTH(A81,0)) / 43560</f>
        <v>2304.0392106647905</v>
      </c>
      <c r="C81">
        <v>1613.74396</v>
      </c>
    </row>
    <row r="82" spans="1:3" x14ac:dyDescent="0.25">
      <c r="A82" s="4">
        <v>10409</v>
      </c>
      <c r="B82" s="6">
        <f>'Monthly CFS'!C88 * 86400 * DAY(EOMONTH(A82,0)) / 43560</f>
        <v>3029.8940420080658</v>
      </c>
      <c r="C82">
        <v>2229.7154700000001</v>
      </c>
    </row>
    <row r="83" spans="1:3" x14ac:dyDescent="0.25">
      <c r="A83" s="4">
        <v>10440</v>
      </c>
      <c r="B83" s="6">
        <f>'Monthly CFS'!C89 * 86400 * DAY(EOMONTH(A83,0)) / 43560</f>
        <v>3887.7224194573914</v>
      </c>
      <c r="C83">
        <v>3130.8904779999998</v>
      </c>
    </row>
    <row r="84" spans="1:3" x14ac:dyDescent="0.25">
      <c r="A84" s="4">
        <v>10471</v>
      </c>
      <c r="B84" s="6">
        <f>'Monthly CFS'!C90 * 86400 * DAY(EOMONTH(A84,0)) / 43560</f>
        <v>4250.6499170690295</v>
      </c>
      <c r="C84">
        <v>3887.7225060000001</v>
      </c>
    </row>
    <row r="85" spans="1:3" x14ac:dyDescent="0.25">
      <c r="A85" s="4">
        <v>10501</v>
      </c>
      <c r="B85" s="6">
        <f>'Monthly CFS'!C91 * 86400 * DAY(EOMONTH(A85,0)) / 43560</f>
        <v>3585.2828654276959</v>
      </c>
      <c r="C85">
        <v>4113.5323010000002</v>
      </c>
    </row>
    <row r="86" spans="1:3" x14ac:dyDescent="0.25">
      <c r="A86" s="4">
        <v>10532</v>
      </c>
      <c r="B86" s="6">
        <f>'Monthly CFS'!C92 * 86400 * DAY(EOMONTH(A86,0)) / 43560</f>
        <v>2441.5116681819272</v>
      </c>
      <c r="C86">
        <v>3704.792289</v>
      </c>
    </row>
    <row r="87" spans="1:3" x14ac:dyDescent="0.25">
      <c r="A87" s="4">
        <v>10562</v>
      </c>
      <c r="B87" s="6">
        <f>'Monthly CFS'!C93 * 86400 * DAY(EOMONTH(A87,0)) / 43560</f>
        <v>1550.6899042060888</v>
      </c>
      <c r="C87">
        <v>2362.7533210000001</v>
      </c>
    </row>
    <row r="88" spans="1:3" x14ac:dyDescent="0.25">
      <c r="A88" s="4">
        <v>10593</v>
      </c>
      <c r="B88" s="6">
        <f>'Monthly CFS'!C94 * 86400 * DAY(EOMONTH(A88,0)) / 43560</f>
        <v>1275.7448662618176</v>
      </c>
      <c r="C88">
        <v>1602.3795749999999</v>
      </c>
    </row>
    <row r="89" spans="1:3" x14ac:dyDescent="0.25">
      <c r="A89" s="4">
        <v>10624</v>
      </c>
      <c r="B89" s="6">
        <f>'Monthly CFS'!C95 * 86400 * DAY(EOMONTH(A89,0)) / 43560</f>
        <v>133.67826149478657</v>
      </c>
      <c r="C89">
        <v>1275.7448609999999</v>
      </c>
    </row>
    <row r="90" spans="1:3" x14ac:dyDescent="0.25">
      <c r="A90" s="4">
        <v>10652</v>
      </c>
      <c r="B90" s="6">
        <f>'Monthly CFS'!C96 * 86400 * DAY(EOMONTH(A90,0)) / 43560</f>
        <v>119.16117142312106</v>
      </c>
      <c r="C90">
        <v>120.741653</v>
      </c>
    </row>
    <row r="91" spans="1:3" x14ac:dyDescent="0.25">
      <c r="A91" s="4">
        <v>10683</v>
      </c>
      <c r="B91" s="6">
        <f>'Monthly CFS'!C97 * 86400 * DAY(EOMONTH(A91,0)) / 43560</f>
        <v>158.10729635979004</v>
      </c>
      <c r="C91">
        <v>131.928437</v>
      </c>
    </row>
    <row r="92" spans="1:3" x14ac:dyDescent="0.25">
      <c r="A92" s="4">
        <v>10713</v>
      </c>
      <c r="B92" s="6">
        <f>'Monthly CFS'!C98 * 86400 * DAY(EOMONTH(A92,0)) / 43560</f>
        <v>182.95585565009026</v>
      </c>
      <c r="C92">
        <v>153.00706299999999</v>
      </c>
    </row>
    <row r="93" spans="1:3" x14ac:dyDescent="0.25">
      <c r="A93" s="4">
        <v>10744</v>
      </c>
      <c r="B93" s="6">
        <f>'Monthly CFS'!C99 * 86400 * DAY(EOMONTH(A93,0)) / 43560</f>
        <v>276.19941365326719</v>
      </c>
      <c r="C93">
        <v>189.05438699999999</v>
      </c>
    </row>
    <row r="94" spans="1:3" x14ac:dyDescent="0.25">
      <c r="A94" s="4">
        <v>10774</v>
      </c>
      <c r="B94" s="6">
        <f>'Monthly CFS'!C100 * 86400 * DAY(EOMONTH(A94,0)) / 43560</f>
        <v>363.2121163392423</v>
      </c>
      <c r="C94">
        <v>267.289759</v>
      </c>
    </row>
    <row r="95" spans="1:3" x14ac:dyDescent="0.25">
      <c r="A95" s="4">
        <v>10805</v>
      </c>
      <c r="B95" s="6">
        <f>'Monthly CFS'!C101 * 86400 * DAY(EOMONTH(A95,0)) / 43560</f>
        <v>466.04530327891899</v>
      </c>
      <c r="C95">
        <v>375.31919299999998</v>
      </c>
    </row>
    <row r="96" spans="1:3" x14ac:dyDescent="0.25">
      <c r="A96" s="4">
        <v>10836</v>
      </c>
      <c r="B96" s="6">
        <f>'Monthly CFS'!C102 * 86400 * DAY(EOMONTH(A96,0)) / 43560</f>
        <v>509.55166444456052</v>
      </c>
      <c r="C96">
        <v>466.04530099999999</v>
      </c>
    </row>
    <row r="97" spans="1:3" x14ac:dyDescent="0.25">
      <c r="A97" s="4">
        <v>10866</v>
      </c>
      <c r="B97" s="6">
        <f>'Monthly CFS'!C103 * 86400 * DAY(EOMONTH(A97,0)) / 43560</f>
        <v>429.79000558176921</v>
      </c>
      <c r="C97">
        <v>493.11452800000001</v>
      </c>
    </row>
    <row r="98" spans="1:3" x14ac:dyDescent="0.25">
      <c r="A98" s="4">
        <v>10897</v>
      </c>
      <c r="B98" s="6">
        <f>'Monthly CFS'!C104 * 86400 * DAY(EOMONTH(A98,0)) / 43560</f>
        <v>292.67908638798218</v>
      </c>
      <c r="C98">
        <v>444.11634199999997</v>
      </c>
    </row>
    <row r="99" spans="1:3" x14ac:dyDescent="0.25">
      <c r="A99" s="4">
        <v>10927</v>
      </c>
      <c r="B99" s="6">
        <f>'Monthly CFS'!C105 * 86400 * DAY(EOMONTH(A99,0)) / 43560</f>
        <v>185.89077838488026</v>
      </c>
      <c r="C99">
        <v>283.23783900000001</v>
      </c>
    </row>
    <row r="100" spans="1:3" x14ac:dyDescent="0.25">
      <c r="A100" s="4">
        <v>10958</v>
      </c>
      <c r="B100" s="6">
        <f>'Monthly CFS'!C106 * 86400 * DAY(EOMONTH(A100,0)) / 43560</f>
        <v>152.93141818146941</v>
      </c>
      <c r="C100">
        <v>192.087131</v>
      </c>
    </row>
    <row r="101" spans="1:3" x14ac:dyDescent="0.25">
      <c r="A101" s="4">
        <v>10989</v>
      </c>
      <c r="B101" s="6">
        <f>'Monthly CFS'!C107 * 86400 * DAY(EOMONTH(A101,0)) / 43560</f>
        <v>133.6782614947866</v>
      </c>
      <c r="C101">
        <v>152.931411</v>
      </c>
    </row>
    <row r="102" spans="1:3" x14ac:dyDescent="0.25">
      <c r="A102" s="4">
        <v>11017</v>
      </c>
      <c r="B102" s="6">
        <f>'Monthly CFS'!C108 * 86400 * DAY(EOMONTH(A102,0)) / 43560</f>
        <v>204.1973042365565</v>
      </c>
      <c r="C102">
        <v>120.741653</v>
      </c>
    </row>
    <row r="103" spans="1:3" x14ac:dyDescent="0.25">
      <c r="A103" s="4">
        <v>11048</v>
      </c>
      <c r="B103" s="6">
        <f>'Monthly CFS'!C109 * 86400 * DAY(EOMONTH(A103,0)) / 43560</f>
        <v>276.45858286647228</v>
      </c>
      <c r="C103">
        <v>226.07558299999999</v>
      </c>
    </row>
    <row r="104" spans="1:3" x14ac:dyDescent="0.25">
      <c r="A104" s="4">
        <v>11078</v>
      </c>
      <c r="B104" s="6">
        <f>'Monthly CFS'!C110 * 86400 * DAY(EOMONTH(A104,0)) / 43560</f>
        <v>1084.688198427815</v>
      </c>
      <c r="C104">
        <v>267.54055499999998</v>
      </c>
    </row>
    <row r="105" spans="1:3" x14ac:dyDescent="0.25">
      <c r="A105" s="4">
        <v>11109</v>
      </c>
      <c r="B105" s="6">
        <f>'Monthly CFS'!C111 * 86400 * DAY(EOMONTH(A105,0)) / 43560</f>
        <v>1600.2970138229064</v>
      </c>
      <c r="C105">
        <v>1120.8445079999999</v>
      </c>
    </row>
    <row r="106" spans="1:3" x14ac:dyDescent="0.25">
      <c r="A106" s="4">
        <v>11139</v>
      </c>
      <c r="B106" s="6">
        <f>'Monthly CFS'!C112 * 86400 * DAY(EOMONTH(A106,0)) / 43560</f>
        <v>2104.4478606014291</v>
      </c>
      <c r="C106">
        <v>1548.674579</v>
      </c>
    </row>
    <row r="107" spans="1:3" x14ac:dyDescent="0.25">
      <c r="A107" s="4">
        <v>11170</v>
      </c>
      <c r="B107" s="6">
        <f>'Monthly CFS'!C113 * 86400 * DAY(EOMONTH(A107,0)) / 43560</f>
        <v>2700.2624563125028</v>
      </c>
      <c r="C107">
        <v>2174.596215</v>
      </c>
    </row>
    <row r="108" spans="1:3" x14ac:dyDescent="0.25">
      <c r="A108" s="4">
        <v>11201</v>
      </c>
      <c r="B108" s="6">
        <f>'Monthly CFS'!C114 * 86400 * DAY(EOMONTH(A108,0)) / 43560</f>
        <v>2952.3379366141367</v>
      </c>
      <c r="C108">
        <v>2700.262401</v>
      </c>
    </row>
    <row r="109" spans="1:3" x14ac:dyDescent="0.25">
      <c r="A109" s="4">
        <v>11231</v>
      </c>
      <c r="B109" s="6">
        <f>'Monthly CFS'!C115 * 86400 * DAY(EOMONTH(A109,0)) / 43560</f>
        <v>2490.1995750319329</v>
      </c>
      <c r="C109">
        <v>2857.101314</v>
      </c>
    </row>
    <row r="110" spans="1:3" x14ac:dyDescent="0.25">
      <c r="A110" s="4">
        <v>11262</v>
      </c>
      <c r="B110" s="6">
        <f>'Monthly CFS'!C116 * 86400 * DAY(EOMONTH(A110,0)) / 43560</f>
        <v>1695.7800951130434</v>
      </c>
      <c r="C110">
        <v>2573.2061440000002</v>
      </c>
    </row>
    <row r="111" spans="1:3" x14ac:dyDescent="0.25">
      <c r="A111" s="4">
        <v>11292</v>
      </c>
      <c r="B111" s="6">
        <f>'Monthly CFS'!C117 * 86400 * DAY(EOMONTH(A111,0)) / 43560</f>
        <v>1077.0495621688308</v>
      </c>
      <c r="C111">
        <v>1641.0775430000001</v>
      </c>
    </row>
    <row r="112" spans="1:3" x14ac:dyDescent="0.25">
      <c r="A112" s="4">
        <v>11323</v>
      </c>
      <c r="B112" s="6">
        <f>'Monthly CFS'!C118 * 86400 * DAY(EOMONTH(A112,0)) / 43560</f>
        <v>886.08331421999924</v>
      </c>
      <c r="C112">
        <v>1112.9512099999999</v>
      </c>
    </row>
    <row r="113" spans="1:3" x14ac:dyDescent="0.25">
      <c r="A113" s="4">
        <v>11354</v>
      </c>
      <c r="B113" s="6">
        <f>'Monthly CFS'!C119 * 86400 * DAY(EOMONTH(A113,0)) / 43560</f>
        <v>133.67826149478657</v>
      </c>
      <c r="C113">
        <v>886.08332399999995</v>
      </c>
    </row>
    <row r="114" spans="1:3" x14ac:dyDescent="0.25">
      <c r="A114" s="4">
        <v>11382</v>
      </c>
      <c r="B114" s="6">
        <f>'Monthly CFS'!C120 * 86400 * DAY(EOMONTH(A114,0)) / 43560</f>
        <v>119.16117142312102</v>
      </c>
      <c r="C114">
        <v>120.741653</v>
      </c>
    </row>
    <row r="115" spans="1:3" x14ac:dyDescent="0.25">
      <c r="A115" s="4">
        <v>11413</v>
      </c>
      <c r="B115" s="6">
        <f>'Monthly CFS'!C121 * 86400 * DAY(EOMONTH(A115,0)) / 43560</f>
        <v>144.56608355523568</v>
      </c>
      <c r="C115">
        <v>131.928437</v>
      </c>
    </row>
    <row r="116" spans="1:3" x14ac:dyDescent="0.25">
      <c r="A116" s="4">
        <v>11443</v>
      </c>
      <c r="B116" s="6">
        <f>'Monthly CFS'!C122 * 86400 * DAY(EOMONTH(A116,0)) / 43560</f>
        <v>171.78564546640848</v>
      </c>
      <c r="C116">
        <v>139.90266</v>
      </c>
    </row>
    <row r="117" spans="1:3" x14ac:dyDescent="0.25">
      <c r="A117" s="4">
        <v>11474</v>
      </c>
      <c r="B117" s="6">
        <f>'Monthly CFS'!C123 * 86400 * DAY(EOMONTH(A117,0)) / 43560</f>
        <v>253.44431317312694</v>
      </c>
      <c r="C117">
        <v>177.51182800000001</v>
      </c>
    </row>
    <row r="118" spans="1:3" x14ac:dyDescent="0.25">
      <c r="A118" s="4">
        <v>11504</v>
      </c>
      <c r="B118" s="6">
        <f>'Monthly CFS'!C124 * 86400 * DAY(EOMONTH(A118,0)) / 43560</f>
        <v>333.2883446208873</v>
      </c>
      <c r="C118">
        <v>245.268697</v>
      </c>
    </row>
    <row r="119" spans="1:3" x14ac:dyDescent="0.25">
      <c r="A119" s="4">
        <v>11535</v>
      </c>
      <c r="B119" s="6">
        <f>'Monthly CFS'!C125 * 86400 * DAY(EOMONTH(A119,0)) / 43560</f>
        <v>427.64946614031317</v>
      </c>
      <c r="C119">
        <v>344.39794899999998</v>
      </c>
    </row>
    <row r="120" spans="1:3" x14ac:dyDescent="0.25">
      <c r="A120" s="4">
        <v>11566</v>
      </c>
      <c r="B120" s="6">
        <f>'Monthly CFS'!C126 * 86400 * DAY(EOMONTH(A120,0)) / 43560</f>
        <v>467.57149087759296</v>
      </c>
      <c r="C120">
        <v>427.649472</v>
      </c>
    </row>
    <row r="121" spans="1:3" x14ac:dyDescent="0.25">
      <c r="A121" s="4">
        <v>11596</v>
      </c>
      <c r="B121" s="6">
        <f>'Monthly CFS'!C127 * 86400 * DAY(EOMONTH(A121,0)) / 43560</f>
        <v>394.38111519704643</v>
      </c>
      <c r="C121">
        <v>452.48855099999997</v>
      </c>
    </row>
    <row r="122" spans="1:3" x14ac:dyDescent="0.25">
      <c r="A122" s="4">
        <v>11627</v>
      </c>
      <c r="B122" s="6">
        <f>'Monthly CFS'!C128 * 86400 * DAY(EOMONTH(A122,0)) / 43560</f>
        <v>268.56628350001193</v>
      </c>
      <c r="C122">
        <v>407.52715499999999</v>
      </c>
    </row>
    <row r="123" spans="1:3" x14ac:dyDescent="0.25">
      <c r="A123" s="4">
        <v>11657</v>
      </c>
      <c r="B123" s="6">
        <f>'Monthly CFS'!C129 * 86400 * DAY(EOMONTH(A123,0)) / 43560</f>
        <v>170.57588946266955</v>
      </c>
      <c r="C123">
        <v>259.90284400000002</v>
      </c>
    </row>
    <row r="124" spans="1:3" x14ac:dyDescent="0.25">
      <c r="A124" s="4">
        <v>11688</v>
      </c>
      <c r="B124" s="6">
        <f>'Monthly CFS'!C130 * 86400 * DAY(EOMONTH(A124,0)) / 43560</f>
        <v>140.33193528879985</v>
      </c>
      <c r="C124">
        <v>176.26175900000001</v>
      </c>
    </row>
    <row r="125" spans="1:3" x14ac:dyDescent="0.25">
      <c r="A125" s="4">
        <v>11719</v>
      </c>
      <c r="B125" s="6">
        <f>'Monthly CFS'!C131 * 86400 * DAY(EOMONTH(A125,0)) / 43560</f>
        <v>133.67826149478657</v>
      </c>
      <c r="C125">
        <v>140.33194</v>
      </c>
    </row>
    <row r="126" spans="1:3" x14ac:dyDescent="0.25">
      <c r="A126" s="4">
        <v>11748</v>
      </c>
      <c r="B126" s="6">
        <f>'Monthly CFS'!C132 * 86400 * DAY(EOMONTH(A126,0)) / 43560</f>
        <v>119.1611714231211</v>
      </c>
      <c r="C126">
        <v>125.053855</v>
      </c>
    </row>
    <row r="127" spans="1:3" x14ac:dyDescent="0.25">
      <c r="A127" s="4">
        <v>11779</v>
      </c>
      <c r="B127" s="6">
        <f>'Monthly CFS'!C133 * 86400 * DAY(EOMONTH(A127,0)) / 43560</f>
        <v>373.67685402362525</v>
      </c>
      <c r="C127">
        <v>127.379183</v>
      </c>
    </row>
    <row r="128" spans="1:3" x14ac:dyDescent="0.25">
      <c r="A128" s="4">
        <v>11809</v>
      </c>
      <c r="B128" s="6">
        <f>'Monthly CFS'!C134 * 86400 * DAY(EOMONTH(A128,0)) / 43560</f>
        <v>250.37330849293554</v>
      </c>
      <c r="C128">
        <v>361.62276500000002</v>
      </c>
    </row>
    <row r="129" spans="1:3" x14ac:dyDescent="0.25">
      <c r="A129" s="4">
        <v>11840</v>
      </c>
      <c r="B129" s="6">
        <f>'Monthly CFS'!C135 * 86400 * DAY(EOMONTH(A129,0)) / 43560</f>
        <v>369.38878702926212</v>
      </c>
      <c r="C129">
        <v>258.719088</v>
      </c>
    </row>
    <row r="130" spans="1:3" x14ac:dyDescent="0.25">
      <c r="A130" s="4">
        <v>11870</v>
      </c>
      <c r="B130" s="6">
        <f>'Monthly CFS'!C136 * 86400 * DAY(EOMONTH(A130,0)) / 43560</f>
        <v>485.75947832138644</v>
      </c>
      <c r="C130">
        <v>357.47301399999998</v>
      </c>
    </row>
    <row r="131" spans="1:3" x14ac:dyDescent="0.25">
      <c r="A131" s="4">
        <v>11901</v>
      </c>
      <c r="B131" s="6">
        <f>'Monthly CFS'!C137 * 86400 * DAY(EOMONTH(A131,0)) / 43560</f>
        <v>623.28846756712869</v>
      </c>
      <c r="C131">
        <v>501.951459</v>
      </c>
    </row>
    <row r="132" spans="1:3" x14ac:dyDescent="0.25">
      <c r="A132" s="4">
        <v>11932</v>
      </c>
      <c r="B132" s="6">
        <f>'Monthly CFS'!C138 * 86400 * DAY(EOMONTH(A132,0)) / 43560</f>
        <v>681.47382634999747</v>
      </c>
      <c r="C132">
        <v>623.28846399999998</v>
      </c>
    </row>
    <row r="133" spans="1:3" x14ac:dyDescent="0.25">
      <c r="A133" s="4">
        <v>11962</v>
      </c>
      <c r="B133" s="6">
        <f>'Monthly CFS'!C139 * 86400 * DAY(EOMONTH(A133,0)) / 43560</f>
        <v>574.80067296034053</v>
      </c>
      <c r="C133">
        <v>659.49077799999998</v>
      </c>
    </row>
    <row r="134" spans="1:3" x14ac:dyDescent="0.25">
      <c r="A134" s="4">
        <v>11993</v>
      </c>
      <c r="B134" s="6">
        <f>'Monthly CFS'!C140 * 86400 * DAY(EOMONTH(A134,0)) / 43560</f>
        <v>391.42868292041516</v>
      </c>
      <c r="C134">
        <v>593.96068000000002</v>
      </c>
    </row>
    <row r="135" spans="1:3" x14ac:dyDescent="0.25">
      <c r="A135" s="4">
        <v>12023</v>
      </c>
      <c r="B135" s="6">
        <f>'Monthly CFS'!C141 * 86400 * DAY(EOMONTH(A135,0)) / 43560</f>
        <v>248.61011918626838</v>
      </c>
      <c r="C135">
        <v>378.80195400000002</v>
      </c>
    </row>
    <row r="136" spans="1:3" x14ac:dyDescent="0.25">
      <c r="A136" s="4">
        <v>12054</v>
      </c>
      <c r="B136" s="6">
        <f>'Monthly CFS'!C142 * 86400 * DAY(EOMONTH(A136,0)) / 43560</f>
        <v>204.53030769875278</v>
      </c>
      <c r="C136">
        <v>256.897111</v>
      </c>
    </row>
    <row r="137" spans="1:3" x14ac:dyDescent="0.25">
      <c r="A137" s="4">
        <v>12085</v>
      </c>
      <c r="B137" s="6">
        <f>'Monthly CFS'!C143 * 86400 * DAY(EOMONTH(A137,0)) / 43560</f>
        <v>133.6782614947866</v>
      </c>
      <c r="C137">
        <v>204.530314</v>
      </c>
    </row>
    <row r="138" spans="1:3" x14ac:dyDescent="0.25">
      <c r="A138" s="4">
        <v>12113</v>
      </c>
      <c r="B138" s="6">
        <f>'Monthly CFS'!C144 * 86400 * DAY(EOMONTH(A138,0)) / 43560</f>
        <v>119.16117142312108</v>
      </c>
      <c r="C138">
        <v>120.741653</v>
      </c>
    </row>
    <row r="139" spans="1:3" x14ac:dyDescent="0.25">
      <c r="A139" s="4">
        <v>12144</v>
      </c>
      <c r="B139" s="6">
        <f>'Monthly CFS'!C145 * 86400 * DAY(EOMONTH(A139,0)) / 43560</f>
        <v>764.24523079722178</v>
      </c>
      <c r="C139">
        <v>131.928437</v>
      </c>
    </row>
    <row r="140" spans="1:3" x14ac:dyDescent="0.25">
      <c r="A140" s="4">
        <v>12174</v>
      </c>
      <c r="B140" s="6">
        <f>'Monthly CFS'!C146 * 86400 * DAY(EOMONTH(A140,0)) / 43560</f>
        <v>331.32986933984603</v>
      </c>
      <c r="C140">
        <v>739.592175</v>
      </c>
    </row>
    <row r="141" spans="1:3" x14ac:dyDescent="0.25">
      <c r="A141" s="4">
        <v>12205</v>
      </c>
      <c r="B141" s="6">
        <f>'Monthly CFS'!C147 * 86400 * DAY(EOMONTH(A141,0)) / 43560</f>
        <v>488.82821926468557</v>
      </c>
      <c r="C141">
        <v>342.37419499999999</v>
      </c>
    </row>
    <row r="142" spans="1:3" x14ac:dyDescent="0.25">
      <c r="A142" s="4">
        <v>12235</v>
      </c>
      <c r="B142" s="6">
        <f>'Monthly CFS'!C148 * 86400 * DAY(EOMONTH(A142,0)) / 43560</f>
        <v>642.82660740315225</v>
      </c>
      <c r="C142">
        <v>473.05957100000001</v>
      </c>
    </row>
    <row r="143" spans="1:3" x14ac:dyDescent="0.25">
      <c r="A143" s="4">
        <v>12266</v>
      </c>
      <c r="B143" s="6">
        <f>'Monthly CFS'!C149 * 86400 * DAY(EOMONTH(A143,0)) / 43560</f>
        <v>824.82468983260856</v>
      </c>
      <c r="C143">
        <v>664.25418300000001</v>
      </c>
    </row>
    <row r="144" spans="1:3" x14ac:dyDescent="0.25">
      <c r="A144" s="4">
        <v>12297</v>
      </c>
      <c r="B144" s="6">
        <f>'Monthly CFS'!C150 * 86400 * DAY(EOMONTH(A144,0)) / 43560</f>
        <v>901.82390128634768</v>
      </c>
      <c r="C144">
        <v>824.82470699999999</v>
      </c>
    </row>
    <row r="145" spans="1:3" x14ac:dyDescent="0.25">
      <c r="A145" s="4">
        <v>12327</v>
      </c>
      <c r="B145" s="6">
        <f>'Monthly CFS'!C151 * 86400 * DAY(EOMONTH(A145,0)) / 43560</f>
        <v>760.65868608266101</v>
      </c>
      <c r="C145">
        <v>872.73279600000001</v>
      </c>
    </row>
    <row r="146" spans="1:3" x14ac:dyDescent="0.25">
      <c r="A146" s="4">
        <v>12358</v>
      </c>
      <c r="B146" s="6">
        <f>'Monthly CFS'!C152 * 86400 * DAY(EOMONTH(A146,0)) / 43560</f>
        <v>517.99457038188427</v>
      </c>
      <c r="C146">
        <v>786.01397599999996</v>
      </c>
    </row>
    <row r="147" spans="1:3" x14ac:dyDescent="0.25">
      <c r="A147" s="4">
        <v>12388</v>
      </c>
      <c r="B147" s="6">
        <f>'Monthly CFS'!C153 * 86400 * DAY(EOMONTH(A147,0)) / 43560</f>
        <v>328.99656437968122</v>
      </c>
      <c r="C147">
        <v>501.28504199999998</v>
      </c>
    </row>
    <row r="148" spans="1:3" x14ac:dyDescent="0.25">
      <c r="A148" s="4">
        <v>12419</v>
      </c>
      <c r="B148" s="6">
        <f>'Monthly CFS'!C154 * 86400 * DAY(EOMONTH(A148,0)) / 43560</f>
        <v>270.66383606852526</v>
      </c>
      <c r="C148">
        <v>339.96312899999998</v>
      </c>
    </row>
    <row r="149" spans="1:3" x14ac:dyDescent="0.25">
      <c r="A149" s="4">
        <v>12450</v>
      </c>
      <c r="B149" s="6">
        <f>'Monthly CFS'!C155 * 86400 * DAY(EOMONTH(A149,0)) / 43560</f>
        <v>133.67826149478654</v>
      </c>
      <c r="C149">
        <v>270.66382399999998</v>
      </c>
    </row>
    <row r="150" spans="1:3" x14ac:dyDescent="0.25">
      <c r="A150" s="4">
        <v>12478</v>
      </c>
      <c r="B150" s="6">
        <f>'Monthly CFS'!C156 * 86400 * DAY(EOMONTH(A150,0)) / 43560</f>
        <v>119.16117142312098</v>
      </c>
      <c r="C150">
        <v>120.741653</v>
      </c>
    </row>
    <row r="151" spans="1:3" x14ac:dyDescent="0.25">
      <c r="A151" s="4">
        <v>12509</v>
      </c>
      <c r="B151" s="6">
        <f>'Monthly CFS'!C157 * 86400 * DAY(EOMONTH(A151,0)) / 43560</f>
        <v>814.17533358551998</v>
      </c>
      <c r="C151">
        <v>131.928437</v>
      </c>
    </row>
    <row r="152" spans="1:3" x14ac:dyDescent="0.25">
      <c r="A152" s="4">
        <v>12539</v>
      </c>
      <c r="B152" s="6">
        <f>'Monthly CFS'!C158 * 86400 * DAY(EOMONTH(A152,0)) / 43560</f>
        <v>281.21985846717956</v>
      </c>
      <c r="C152">
        <v>787.91159000000005</v>
      </c>
    </row>
    <row r="153" spans="1:3" x14ac:dyDescent="0.25">
      <c r="A153" s="4">
        <v>12570</v>
      </c>
      <c r="B153" s="6">
        <f>'Monthly CFS'!C159 * 86400 * DAY(EOMONTH(A153,0)) / 43560</f>
        <v>414.89830938054331</v>
      </c>
      <c r="C153">
        <v>290.593863</v>
      </c>
    </row>
    <row r="154" spans="1:3" x14ac:dyDescent="0.25">
      <c r="A154" s="4">
        <v>12600</v>
      </c>
      <c r="B154" s="6">
        <f>'Monthly CFS'!C160 * 86400 * DAY(EOMONTH(A154,0)) / 43560</f>
        <v>545.60612936296934</v>
      </c>
      <c r="C154">
        <v>401.51448499999998</v>
      </c>
    </row>
    <row r="155" spans="1:3" x14ac:dyDescent="0.25">
      <c r="A155" s="4">
        <v>12631</v>
      </c>
      <c r="B155" s="6">
        <f>'Monthly CFS'!C161 * 86400 * DAY(EOMONTH(A155,0)) / 43560</f>
        <v>700.07899679289847</v>
      </c>
      <c r="C155">
        <v>563.79300799999999</v>
      </c>
    </row>
    <row r="156" spans="1:3" x14ac:dyDescent="0.25">
      <c r="A156" s="4">
        <v>12662</v>
      </c>
      <c r="B156" s="6">
        <f>'Monthly CFS'!C162 * 86400 * DAY(EOMONTH(A156,0)) / 43560</f>
        <v>765.43292153940183</v>
      </c>
      <c r="C156">
        <v>700.07900800000004</v>
      </c>
    </row>
    <row r="157" spans="1:3" x14ac:dyDescent="0.25">
      <c r="A157" s="4">
        <v>12692</v>
      </c>
      <c r="B157" s="6">
        <f>'Monthly CFS'!C163 * 86400 * DAY(EOMONTH(A157,0)) / 43560</f>
        <v>645.61739775590877</v>
      </c>
      <c r="C157">
        <v>740.74154099999998</v>
      </c>
    </row>
    <row r="158" spans="1:3" x14ac:dyDescent="0.25">
      <c r="A158" s="4">
        <v>12723</v>
      </c>
      <c r="B158" s="6">
        <f>'Monthly CFS'!C164 * 86400 * DAY(EOMONTH(A158,0)) / 43560</f>
        <v>439.65356959757361</v>
      </c>
      <c r="C158">
        <v>667.13799800000004</v>
      </c>
    </row>
    <row r="159" spans="1:3" x14ac:dyDescent="0.25">
      <c r="A159" s="4">
        <v>12753</v>
      </c>
      <c r="B159" s="6">
        <f>'Monthly CFS'!C165 * 86400 * DAY(EOMONTH(A159,0)) / 43560</f>
        <v>279.23944030576928</v>
      </c>
      <c r="C159">
        <v>425.47120699999999</v>
      </c>
    </row>
    <row r="160" spans="1:3" x14ac:dyDescent="0.25">
      <c r="A160" s="4">
        <v>12784</v>
      </c>
      <c r="B160" s="6">
        <f>'Monthly CFS'!C166 * 86400 * DAY(EOMONTH(A160,0)) / 43560</f>
        <v>229.72889773877316</v>
      </c>
      <c r="C160">
        <v>288.547415</v>
      </c>
    </row>
    <row r="161" spans="1:3" x14ac:dyDescent="0.25">
      <c r="A161" s="4">
        <v>12815</v>
      </c>
      <c r="B161" s="6">
        <f>'Monthly CFS'!C167 * 86400 * DAY(EOMONTH(A161,0)) / 43560</f>
        <v>133.67826149478657</v>
      </c>
      <c r="C161">
        <v>229.728904</v>
      </c>
    </row>
    <row r="162" spans="1:3" x14ac:dyDescent="0.25">
      <c r="A162" s="4">
        <v>12843</v>
      </c>
      <c r="B162" s="6">
        <f>'Monthly CFS'!C168 * 86400 * DAY(EOMONTH(A162,0)) / 43560</f>
        <v>201.92120242250235</v>
      </c>
      <c r="C162">
        <v>120.741653</v>
      </c>
    </row>
    <row r="163" spans="1:3" x14ac:dyDescent="0.25">
      <c r="A163" s="4">
        <v>12874</v>
      </c>
      <c r="B163" s="6">
        <f>'Monthly CFS'!C169 * 86400 * DAY(EOMONTH(A163,0)) / 43560</f>
        <v>808.63775021135552</v>
      </c>
      <c r="C163">
        <v>223.55562399999999</v>
      </c>
    </row>
    <row r="164" spans="1:3" x14ac:dyDescent="0.25">
      <c r="A164" s="4">
        <v>12904</v>
      </c>
      <c r="B164" s="6">
        <f>'Monthly CFS'!C170 * 86400 * DAY(EOMONTH(A164,0)) / 43560</f>
        <v>1561.6876860582588</v>
      </c>
      <c r="C164">
        <v>782.55263400000001</v>
      </c>
    </row>
    <row r="165" spans="1:3" x14ac:dyDescent="0.25">
      <c r="A165" s="4">
        <v>12935</v>
      </c>
      <c r="B165" s="6">
        <f>'Monthly CFS'!C171 * 86400 * DAY(EOMONTH(A165,0)) / 43560</f>
        <v>2304.0392106647901</v>
      </c>
      <c r="C165">
        <v>1613.74396</v>
      </c>
    </row>
    <row r="166" spans="1:3" x14ac:dyDescent="0.25">
      <c r="A166" s="4">
        <v>12965</v>
      </c>
      <c r="B166" s="6">
        <f>'Monthly CFS'!C172 * 86400 * DAY(EOMONTH(A166,0)) / 43560</f>
        <v>3029.8940420080662</v>
      </c>
      <c r="C166">
        <v>2229.7154700000001</v>
      </c>
    </row>
    <row r="167" spans="1:3" x14ac:dyDescent="0.25">
      <c r="A167" s="4">
        <v>12996</v>
      </c>
      <c r="B167" s="6">
        <f>'Monthly CFS'!C173 * 86400 * DAY(EOMONTH(A167,0)) / 43560</f>
        <v>3887.7224194573914</v>
      </c>
      <c r="C167">
        <v>3130.8904779999998</v>
      </c>
    </row>
    <row r="168" spans="1:3" x14ac:dyDescent="0.25">
      <c r="A168" s="4">
        <v>13027</v>
      </c>
      <c r="B168" s="6">
        <f>'Monthly CFS'!C174 * 86400 * DAY(EOMONTH(A168,0)) / 43560</f>
        <v>4250.6499170690286</v>
      </c>
      <c r="C168">
        <v>3887.7225060000001</v>
      </c>
    </row>
    <row r="169" spans="1:3" x14ac:dyDescent="0.25">
      <c r="A169" s="4">
        <v>13057</v>
      </c>
      <c r="B169" s="6">
        <f>'Monthly CFS'!C175 * 86400 * DAY(EOMONTH(A169,0)) / 43560</f>
        <v>3585.2828654276946</v>
      </c>
      <c r="C169">
        <v>4113.5323010000002</v>
      </c>
    </row>
    <row r="170" spans="1:3" x14ac:dyDescent="0.25">
      <c r="A170" s="4">
        <v>13088</v>
      </c>
      <c r="B170" s="6">
        <f>'Monthly CFS'!C176 * 86400 * DAY(EOMONTH(A170,0)) / 43560</f>
        <v>2441.5116681819259</v>
      </c>
      <c r="C170">
        <v>3704.792289</v>
      </c>
    </row>
    <row r="171" spans="1:3" x14ac:dyDescent="0.25">
      <c r="A171" s="4">
        <v>13118</v>
      </c>
      <c r="B171" s="6">
        <f>'Monthly CFS'!C177 * 86400 * DAY(EOMONTH(A171,0)) / 43560</f>
        <v>1550.6899042060882</v>
      </c>
      <c r="C171">
        <v>2362.7533210000001</v>
      </c>
    </row>
    <row r="172" spans="1:3" x14ac:dyDescent="0.25">
      <c r="A172" s="4">
        <v>13149</v>
      </c>
      <c r="B172" s="6">
        <f>'Monthly CFS'!C178 * 86400 * DAY(EOMONTH(A172,0)) / 43560</f>
        <v>1275.7448662618165</v>
      </c>
      <c r="C172">
        <v>1602.3795749999999</v>
      </c>
    </row>
    <row r="173" spans="1:3" x14ac:dyDescent="0.25">
      <c r="A173" s="4">
        <v>13180</v>
      </c>
      <c r="B173" s="6">
        <f>'Monthly CFS'!C179 * 86400 * DAY(EOMONTH(A173,0)) / 43560</f>
        <v>133.6782614947866</v>
      </c>
      <c r="C173">
        <v>1275.7448609999999</v>
      </c>
    </row>
    <row r="174" spans="1:3" x14ac:dyDescent="0.25">
      <c r="A174" s="4">
        <v>13209</v>
      </c>
      <c r="B174" s="6">
        <f>'Monthly CFS'!C180 * 86400 * DAY(EOMONTH(A174,0)) / 43560</f>
        <v>180.67723289261698</v>
      </c>
      <c r="C174">
        <v>125.053855</v>
      </c>
    </row>
    <row r="175" spans="1:3" x14ac:dyDescent="0.25">
      <c r="A175" s="4">
        <v>13240</v>
      </c>
      <c r="B175" s="6">
        <f>'Monthly CFS'!C181 * 86400 * DAY(EOMONTH(A175,0)) / 43560</f>
        <v>1314.2371232294154</v>
      </c>
      <c r="C175">
        <v>193.13773900000001</v>
      </c>
    </row>
    <row r="176" spans="1:3" x14ac:dyDescent="0.25">
      <c r="A176" s="4">
        <v>13270</v>
      </c>
      <c r="B176" s="6">
        <f>'Monthly CFS'!C182 * 86400 * DAY(EOMONTH(A176,0)) / 43560</f>
        <v>1325.0700000261088</v>
      </c>
      <c r="C176">
        <v>1271.8423760000001</v>
      </c>
    </row>
    <row r="177" spans="1:3" x14ac:dyDescent="0.25">
      <c r="A177" s="4">
        <v>13301</v>
      </c>
      <c r="B177" s="6">
        <f>'Monthly CFS'!C183 * 86400 * DAY(EOMONTH(A177,0)) / 43560</f>
        <v>2304.039210664791</v>
      </c>
      <c r="C177">
        <v>1369.2390009999999</v>
      </c>
    </row>
    <row r="178" spans="1:3" x14ac:dyDescent="0.25">
      <c r="A178" s="4">
        <v>13331</v>
      </c>
      <c r="B178" s="6">
        <f>'Monthly CFS'!C184 * 86400 * DAY(EOMONTH(A178,0)) / 43560</f>
        <v>3029.8940420080662</v>
      </c>
      <c r="C178">
        <v>2229.7154700000001</v>
      </c>
    </row>
    <row r="179" spans="1:3" x14ac:dyDescent="0.25">
      <c r="A179" s="4">
        <v>13362</v>
      </c>
      <c r="B179" s="6">
        <f>'Monthly CFS'!C185 * 86400 * DAY(EOMONTH(A179,0)) / 43560</f>
        <v>3887.7224194573919</v>
      </c>
      <c r="C179">
        <v>3130.8904779999998</v>
      </c>
    </row>
    <row r="180" spans="1:3" x14ac:dyDescent="0.25">
      <c r="A180" s="4">
        <v>13393</v>
      </c>
      <c r="B180" s="6">
        <f>'Monthly CFS'!C186 * 86400 * DAY(EOMONTH(A180,0)) / 43560</f>
        <v>4250.6499170690295</v>
      </c>
      <c r="C180">
        <v>3887.7225060000001</v>
      </c>
    </row>
    <row r="181" spans="1:3" x14ac:dyDescent="0.25">
      <c r="A181" s="4">
        <v>13423</v>
      </c>
      <c r="B181" s="6">
        <f>'Monthly CFS'!C187 * 86400 * DAY(EOMONTH(A181,0)) / 43560</f>
        <v>3585.2828654276937</v>
      </c>
      <c r="C181">
        <v>4113.5323010000002</v>
      </c>
    </row>
    <row r="182" spans="1:3" x14ac:dyDescent="0.25">
      <c r="A182" s="4">
        <v>13454</v>
      </c>
      <c r="B182" s="6">
        <f>'Monthly CFS'!C188 * 86400 * DAY(EOMONTH(A182,0)) / 43560</f>
        <v>2441.5116681819272</v>
      </c>
      <c r="C182">
        <v>3704.792289</v>
      </c>
    </row>
    <row r="183" spans="1:3" x14ac:dyDescent="0.25">
      <c r="A183" s="4">
        <v>13484</v>
      </c>
      <c r="B183" s="6">
        <f>'Monthly CFS'!C189 * 86400 * DAY(EOMONTH(A183,0)) / 43560</f>
        <v>1550.6899042060888</v>
      </c>
      <c r="C183">
        <v>2362.7533210000001</v>
      </c>
    </row>
    <row r="184" spans="1:3" x14ac:dyDescent="0.25">
      <c r="A184" s="4">
        <v>13515</v>
      </c>
      <c r="B184" s="6">
        <f>'Monthly CFS'!C190 * 86400 * DAY(EOMONTH(A184,0)) / 43560</f>
        <v>1275.7448662618183</v>
      </c>
      <c r="C184">
        <v>1602.3795749999999</v>
      </c>
    </row>
    <row r="185" spans="1:3" x14ac:dyDescent="0.25">
      <c r="A185" s="4">
        <v>13546</v>
      </c>
      <c r="B185" s="6">
        <f>'Monthly CFS'!C191 * 86400 * DAY(EOMONTH(A185,0)) / 43560</f>
        <v>133.67826149478657</v>
      </c>
      <c r="C185">
        <v>1275.7448609999999</v>
      </c>
    </row>
    <row r="186" spans="1:3" x14ac:dyDescent="0.25">
      <c r="A186" s="4">
        <v>13574</v>
      </c>
      <c r="B186" s="6">
        <f>'Monthly CFS'!C192 * 86400 * DAY(EOMONTH(A186,0)) / 43560</f>
        <v>119.16117142312102</v>
      </c>
      <c r="C186">
        <v>120.741653</v>
      </c>
    </row>
    <row r="187" spans="1:3" x14ac:dyDescent="0.25">
      <c r="A187" s="4">
        <v>13605</v>
      </c>
      <c r="B187" s="6">
        <f>'Monthly CFS'!C193 * 86400 * DAY(EOMONTH(A187,0)) / 43560</f>
        <v>643.01277764911788</v>
      </c>
      <c r="C187">
        <v>131.928437</v>
      </c>
    </row>
    <row r="188" spans="1:3" x14ac:dyDescent="0.25">
      <c r="A188" s="4">
        <v>13635</v>
      </c>
      <c r="B188" s="6">
        <f>'Monthly CFS'!C194 * 86400 * DAY(EOMONTH(A188,0)) / 43560</f>
        <v>1561.687686058259</v>
      </c>
      <c r="C188">
        <v>622.27044899999999</v>
      </c>
    </row>
    <row r="189" spans="1:3" x14ac:dyDescent="0.25">
      <c r="A189" s="4">
        <v>13666</v>
      </c>
      <c r="B189" s="6">
        <f>'Monthly CFS'!C195 * 86400 * DAY(EOMONTH(A189,0)) / 43560</f>
        <v>2304.0392106647905</v>
      </c>
      <c r="C189">
        <v>1613.74396</v>
      </c>
    </row>
    <row r="190" spans="1:3" x14ac:dyDescent="0.25">
      <c r="A190" s="4">
        <v>13696</v>
      </c>
      <c r="B190" s="6">
        <f>'Monthly CFS'!C196 * 86400 * DAY(EOMONTH(A190,0)) / 43560</f>
        <v>3029.8940420080662</v>
      </c>
      <c r="C190">
        <v>2229.7154700000001</v>
      </c>
    </row>
    <row r="191" spans="1:3" x14ac:dyDescent="0.25">
      <c r="A191" s="4">
        <v>13727</v>
      </c>
      <c r="B191" s="6">
        <f>'Monthly CFS'!C197 * 86400 * DAY(EOMONTH(A191,0)) / 43560</f>
        <v>3887.7224194573914</v>
      </c>
      <c r="C191">
        <v>3130.8904779999998</v>
      </c>
    </row>
    <row r="192" spans="1:3" x14ac:dyDescent="0.25">
      <c r="A192" s="4">
        <v>13758</v>
      </c>
      <c r="B192" s="6">
        <f>'Monthly CFS'!C198 * 86400 * DAY(EOMONTH(A192,0)) / 43560</f>
        <v>4250.6499170690295</v>
      </c>
      <c r="C192">
        <v>3887.7225060000001</v>
      </c>
    </row>
    <row r="193" spans="1:3" x14ac:dyDescent="0.25">
      <c r="A193" s="4">
        <v>13788</v>
      </c>
      <c r="B193" s="6">
        <f>'Monthly CFS'!C199 * 86400 * DAY(EOMONTH(A193,0)) / 43560</f>
        <v>3585.2828654276959</v>
      </c>
      <c r="C193">
        <v>4113.5323010000002</v>
      </c>
    </row>
    <row r="194" spans="1:3" x14ac:dyDescent="0.25">
      <c r="A194" s="4">
        <v>13819</v>
      </c>
      <c r="B194" s="6">
        <f>'Monthly CFS'!C200 * 86400 * DAY(EOMONTH(A194,0)) / 43560</f>
        <v>2441.5116681819263</v>
      </c>
      <c r="C194">
        <v>3704.792289</v>
      </c>
    </row>
    <row r="195" spans="1:3" x14ac:dyDescent="0.25">
      <c r="A195" s="4">
        <v>13849</v>
      </c>
      <c r="B195" s="6">
        <f>'Monthly CFS'!C201 * 86400 * DAY(EOMONTH(A195,0)) / 43560</f>
        <v>1550.6899042060888</v>
      </c>
      <c r="C195">
        <v>2362.7533210000001</v>
      </c>
    </row>
    <row r="196" spans="1:3" x14ac:dyDescent="0.25">
      <c r="A196" s="4">
        <v>13880</v>
      </c>
      <c r="B196" s="6">
        <f>'Monthly CFS'!C202 * 86400 * DAY(EOMONTH(A196,0)) / 43560</f>
        <v>1275.7448662618174</v>
      </c>
      <c r="C196">
        <v>1602.3795749999999</v>
      </c>
    </row>
    <row r="197" spans="1:3" x14ac:dyDescent="0.25">
      <c r="A197" s="4">
        <v>13911</v>
      </c>
      <c r="B197" s="6">
        <f>'Monthly CFS'!C203 * 86400 * DAY(EOMONTH(A197,0)) / 43560</f>
        <v>1215.2569226798771</v>
      </c>
      <c r="C197">
        <v>1275.7448609999999</v>
      </c>
    </row>
    <row r="198" spans="1:3" x14ac:dyDescent="0.25">
      <c r="A198" s="4">
        <v>13939</v>
      </c>
      <c r="B198" s="6">
        <f>'Monthly CFS'!C204 * 86400 * DAY(EOMONTH(A198,0)) / 43560</f>
        <v>1083.2833765738274</v>
      </c>
      <c r="C198">
        <v>1097.6514279999999</v>
      </c>
    </row>
    <row r="199" spans="1:3" x14ac:dyDescent="0.25">
      <c r="A199" s="4">
        <v>13970</v>
      </c>
      <c r="B199" s="6">
        <f>'Monthly CFS'!C205 * 86400 * DAY(EOMONTH(A199,0)) / 43560</f>
        <v>1314.2371232294154</v>
      </c>
      <c r="C199">
        <v>1199.3494270000001</v>
      </c>
    </row>
    <row r="200" spans="1:3" x14ac:dyDescent="0.25">
      <c r="A200" s="4">
        <v>14000</v>
      </c>
      <c r="B200" s="6">
        <f>'Monthly CFS'!C206 * 86400 * DAY(EOMONTH(A200,0)) / 43560</f>
        <v>1561.6876860582584</v>
      </c>
      <c r="C200">
        <v>1271.8423760000001</v>
      </c>
    </row>
    <row r="201" spans="1:3" x14ac:dyDescent="0.25">
      <c r="A201" s="4">
        <v>14031</v>
      </c>
      <c r="B201" s="6">
        <f>'Monthly CFS'!C207 * 86400 * DAY(EOMONTH(A201,0)) / 43560</f>
        <v>2304.039210664791</v>
      </c>
      <c r="C201">
        <v>1613.74396</v>
      </c>
    </row>
    <row r="202" spans="1:3" x14ac:dyDescent="0.25">
      <c r="A202" s="4">
        <v>14061</v>
      </c>
      <c r="B202" s="6">
        <f>'Monthly CFS'!C208 * 86400 * DAY(EOMONTH(A202,0)) / 43560</f>
        <v>3029.8940420080662</v>
      </c>
      <c r="C202">
        <v>2229.7154700000001</v>
      </c>
    </row>
    <row r="203" spans="1:3" x14ac:dyDescent="0.25">
      <c r="A203" s="4">
        <v>14092</v>
      </c>
      <c r="B203" s="6">
        <f>'Monthly CFS'!C209 * 86400 * DAY(EOMONTH(A203,0)) / 43560</f>
        <v>3887.7224194573914</v>
      </c>
      <c r="C203">
        <v>3130.8904779999998</v>
      </c>
    </row>
    <row r="204" spans="1:3" x14ac:dyDescent="0.25">
      <c r="A204" s="4">
        <v>14123</v>
      </c>
      <c r="B204" s="6">
        <f>'Monthly CFS'!C210 * 86400 * DAY(EOMONTH(A204,0)) / 43560</f>
        <v>4250.6499170690286</v>
      </c>
      <c r="C204">
        <v>3887.7225060000001</v>
      </c>
    </row>
    <row r="205" spans="1:3" x14ac:dyDescent="0.25">
      <c r="A205" s="4">
        <v>14153</v>
      </c>
      <c r="B205" s="6">
        <f>'Monthly CFS'!C211 * 86400 * DAY(EOMONTH(A205,0)) / 43560</f>
        <v>3585.2828654276937</v>
      </c>
      <c r="C205">
        <v>4113.5323010000002</v>
      </c>
    </row>
    <row r="206" spans="1:3" x14ac:dyDescent="0.25">
      <c r="A206" s="4">
        <v>14184</v>
      </c>
      <c r="B206" s="6">
        <f>'Monthly CFS'!C212 * 86400 * DAY(EOMONTH(A206,0)) / 43560</f>
        <v>2441.5116681819272</v>
      </c>
      <c r="C206">
        <v>3704.792289</v>
      </c>
    </row>
    <row r="207" spans="1:3" x14ac:dyDescent="0.25">
      <c r="A207" s="4">
        <v>14214</v>
      </c>
      <c r="B207" s="6">
        <f>'Monthly CFS'!C213 * 86400 * DAY(EOMONTH(A207,0)) / 43560</f>
        <v>1550.6899042060875</v>
      </c>
      <c r="C207">
        <v>2362.7533210000001</v>
      </c>
    </row>
    <row r="208" spans="1:3" x14ac:dyDescent="0.25">
      <c r="A208" s="4">
        <v>14245</v>
      </c>
      <c r="B208" s="6">
        <f>'Monthly CFS'!C214 * 86400 * DAY(EOMONTH(A208,0)) / 43560</f>
        <v>1275.7448662618176</v>
      </c>
      <c r="C208">
        <v>1602.3795749999999</v>
      </c>
    </row>
    <row r="209" spans="1:3" x14ac:dyDescent="0.25">
      <c r="A209" s="4">
        <v>14276</v>
      </c>
      <c r="B209" s="6">
        <f>'Monthly CFS'!C215 * 86400 * DAY(EOMONTH(A209,0)) / 43560</f>
        <v>681.94731463800952</v>
      </c>
      <c r="C209">
        <v>1275.7448609999999</v>
      </c>
    </row>
    <row r="210" spans="1:3" x14ac:dyDescent="0.25">
      <c r="A210" s="4">
        <v>14304</v>
      </c>
      <c r="B210" s="6">
        <f>'Monthly CFS'!C216 * 86400 * DAY(EOMONTH(A210,0)) / 43560</f>
        <v>462.46135735896428</v>
      </c>
      <c r="C210">
        <v>615.95241299999998</v>
      </c>
    </row>
    <row r="211" spans="1:3" x14ac:dyDescent="0.25">
      <c r="A211" s="4">
        <v>14335</v>
      </c>
      <c r="B211" s="6">
        <f>'Monthly CFS'!C217 * 86400 * DAY(EOMONTH(A211,0)) / 43560</f>
        <v>740.88863226670526</v>
      </c>
      <c r="C211">
        <v>512.01076999999998</v>
      </c>
    </row>
    <row r="212" spans="1:3" x14ac:dyDescent="0.25">
      <c r="A212" s="4">
        <v>14365</v>
      </c>
      <c r="B212" s="6">
        <f>'Monthly CFS'!C218 * 86400 * DAY(EOMONTH(A212,0)) / 43560</f>
        <v>1215.1346529287155</v>
      </c>
      <c r="C212">
        <v>716.98899700000004</v>
      </c>
    </row>
    <row r="213" spans="1:3" x14ac:dyDescent="0.25">
      <c r="A213" s="4">
        <v>14396</v>
      </c>
      <c r="B213" s="6">
        <f>'Monthly CFS'!C219 * 86400 * DAY(EOMONTH(A213,0)) / 43560</f>
        <v>1792.7514647002647</v>
      </c>
      <c r="C213">
        <v>1255.6391389999999</v>
      </c>
    </row>
    <row r="214" spans="1:3" x14ac:dyDescent="0.25">
      <c r="A214" s="4">
        <v>14426</v>
      </c>
      <c r="B214" s="6">
        <f>'Monthly CFS'!C220 * 86400 * DAY(EOMONTH(A214,0)) / 43560</f>
        <v>2357.5323529886032</v>
      </c>
      <c r="C214">
        <v>1734.92076</v>
      </c>
    </row>
    <row r="215" spans="1:3" x14ac:dyDescent="0.25">
      <c r="A215" s="4">
        <v>14457</v>
      </c>
      <c r="B215" s="6">
        <f>'Monthly CFS'!C221 * 86400 * DAY(EOMONTH(A215,0)) / 43560</f>
        <v>3025.0006291426389</v>
      </c>
      <c r="C215">
        <v>2436.1167289999999</v>
      </c>
    </row>
    <row r="216" spans="1:3" x14ac:dyDescent="0.25">
      <c r="A216" s="4">
        <v>14488</v>
      </c>
      <c r="B216" s="6">
        <f>'Monthly CFS'!C222 * 86400 * DAY(EOMONTH(A216,0)) / 43560</f>
        <v>3307.3911370435576</v>
      </c>
      <c r="C216">
        <v>3025.0006079999998</v>
      </c>
    </row>
    <row r="217" spans="1:3" x14ac:dyDescent="0.25">
      <c r="A217" s="4">
        <v>14518</v>
      </c>
      <c r="B217" s="6">
        <f>'Monthly CFS'!C223 * 86400 * DAY(EOMONTH(A217,0)) / 43560</f>
        <v>2789.6752271441228</v>
      </c>
      <c r="C217">
        <v>3200.700996</v>
      </c>
    </row>
    <row r="218" spans="1:3" x14ac:dyDescent="0.25">
      <c r="A218" s="4">
        <v>14549</v>
      </c>
      <c r="B218" s="6">
        <f>'Monthly CFS'!C224 * 86400 * DAY(EOMONTH(A218,0)) / 43560</f>
        <v>1899.717504353159</v>
      </c>
      <c r="C218">
        <v>2882.6643960000001</v>
      </c>
    </row>
    <row r="219" spans="1:3" x14ac:dyDescent="0.25">
      <c r="A219" s="4">
        <v>14579</v>
      </c>
      <c r="B219" s="6">
        <f>'Monthly CFS'!C225 * 86400 * DAY(EOMONTH(A219,0)) / 43560</f>
        <v>1206.5773812327</v>
      </c>
      <c r="C219">
        <v>1838.4362590000001</v>
      </c>
    </row>
    <row r="220" spans="1:3" x14ac:dyDescent="0.25">
      <c r="A220" s="4">
        <v>14610</v>
      </c>
      <c r="B220" s="6">
        <f>'Monthly CFS'!C226 * 86400 * DAY(EOMONTH(A220,0)) / 43560</f>
        <v>992.6452062917873</v>
      </c>
      <c r="C220">
        <v>1246.7965899999999</v>
      </c>
    </row>
    <row r="221" spans="1:3" x14ac:dyDescent="0.25">
      <c r="A221" s="4">
        <v>14641</v>
      </c>
      <c r="B221" s="6">
        <f>'Monthly CFS'!C227 * 86400 * DAY(EOMONTH(A221,0)) / 43560</f>
        <v>133.67826149478657</v>
      </c>
      <c r="C221">
        <v>992.64525700000002</v>
      </c>
    </row>
    <row r="222" spans="1:3" x14ac:dyDescent="0.25">
      <c r="A222" s="4">
        <v>14670</v>
      </c>
      <c r="B222" s="6">
        <f>'Monthly CFS'!C228 * 86400 * DAY(EOMONTH(A222,0)) / 43560</f>
        <v>136.88032949191097</v>
      </c>
      <c r="C222">
        <v>125.053855</v>
      </c>
    </row>
    <row r="223" spans="1:3" x14ac:dyDescent="0.25">
      <c r="A223" s="4">
        <v>14701</v>
      </c>
      <c r="B223" s="6">
        <f>'Monthly CFS'!C229 * 86400 * DAY(EOMONTH(A223,0)) / 43560</f>
        <v>1062.9503184666141</v>
      </c>
      <c r="C223">
        <v>146.320346</v>
      </c>
    </row>
    <row r="224" spans="1:3" x14ac:dyDescent="0.25">
      <c r="A224" s="4">
        <v>14731</v>
      </c>
      <c r="B224" s="6">
        <f>'Monthly CFS'!C230 * 86400 * DAY(EOMONTH(A224,0)) / 43560</f>
        <v>1213.8966124096064</v>
      </c>
      <c r="C224">
        <v>1028.6615919999999</v>
      </c>
    </row>
    <row r="225" spans="1:3" x14ac:dyDescent="0.25">
      <c r="A225" s="4">
        <v>14762</v>
      </c>
      <c r="B225" s="6">
        <f>'Monthly CFS'!C231 * 86400 * DAY(EOMONTH(A225,0)) / 43560</f>
        <v>1888.613406373921</v>
      </c>
      <c r="C225">
        <v>1254.3598669999999</v>
      </c>
    </row>
    <row r="226" spans="1:3" x14ac:dyDescent="0.25">
      <c r="A226" s="4">
        <v>14792</v>
      </c>
      <c r="B226" s="6">
        <f>'Monthly CFS'!C232 * 86400 * DAY(EOMONTH(A226,0)) / 43560</f>
        <v>2483.5942379547582</v>
      </c>
      <c r="C226">
        <v>1827.690427</v>
      </c>
    </row>
    <row r="227" spans="1:3" x14ac:dyDescent="0.25">
      <c r="A227" s="4">
        <v>14823</v>
      </c>
      <c r="B227" s="6">
        <f>'Monthly CFS'!C233 * 86400 * DAY(EOMONTH(A227,0)) / 43560</f>
        <v>3186.7533537023282</v>
      </c>
      <c r="C227">
        <v>2566.3807820000002</v>
      </c>
    </row>
    <row r="228" spans="1:3" x14ac:dyDescent="0.25">
      <c r="A228" s="4">
        <v>14854</v>
      </c>
      <c r="B228" s="6">
        <f>'Monthly CFS'!C234 * 86400 * DAY(EOMONTH(A228,0)) / 43560</f>
        <v>3484.2438366586948</v>
      </c>
      <c r="C228">
        <v>3186.7534139999998</v>
      </c>
    </row>
    <row r="229" spans="1:3" x14ac:dyDescent="0.25">
      <c r="A229" s="4">
        <v>14884</v>
      </c>
      <c r="B229" s="6">
        <f>'Monthly CFS'!C235 * 86400 * DAY(EOMONTH(A229,0)) / 43560</f>
        <v>2938.8446402940071</v>
      </c>
      <c r="C229">
        <v>3371.8489209999998</v>
      </c>
    </row>
    <row r="230" spans="1:3" x14ac:dyDescent="0.25">
      <c r="A230" s="4">
        <v>14915</v>
      </c>
      <c r="B230" s="6">
        <f>'Monthly CFS'!C236 * 86400 * DAY(EOMONTH(A230,0)) / 43560</f>
        <v>2001.2991302419273</v>
      </c>
      <c r="C230">
        <v>3036.8060759999998</v>
      </c>
    </row>
    <row r="231" spans="1:3" x14ac:dyDescent="0.25">
      <c r="A231" s="4">
        <v>14945</v>
      </c>
      <c r="B231" s="6">
        <f>'Monthly CFS'!C237 * 86400 * DAY(EOMONTH(A231,0)) / 43560</f>
        <v>1271.0954434526734</v>
      </c>
      <c r="C231">
        <v>1936.7411970000001</v>
      </c>
    </row>
    <row r="232" spans="1:3" x14ac:dyDescent="0.25">
      <c r="A232" s="4">
        <v>14976</v>
      </c>
      <c r="B232" s="6">
        <f>'Monthly CFS'!C238 * 86400 * DAY(EOMONTH(A232,0)) / 43560</f>
        <v>1045.723894967736</v>
      </c>
      <c r="C232">
        <v>1313.465314</v>
      </c>
    </row>
    <row r="233" spans="1:3" x14ac:dyDescent="0.25">
      <c r="A233" s="4">
        <v>15007</v>
      </c>
      <c r="B233" s="6">
        <f>'Monthly CFS'!C239 * 86400 * DAY(EOMONTH(A233,0)) / 43560</f>
        <v>1215.256922679878</v>
      </c>
      <c r="C233">
        <v>1045.72389</v>
      </c>
    </row>
    <row r="234" spans="1:3" x14ac:dyDescent="0.25">
      <c r="A234" s="4">
        <v>15035</v>
      </c>
      <c r="B234" s="6">
        <f>'Monthly CFS'!C240 * 86400 * DAY(EOMONTH(A234,0)) / 43560</f>
        <v>0</v>
      </c>
      <c r="C234">
        <v>1097.6514279999999</v>
      </c>
    </row>
    <row r="235" spans="1:3" x14ac:dyDescent="0.25">
      <c r="A235" s="4">
        <v>15066</v>
      </c>
      <c r="B235" s="6">
        <f>'Monthly CFS'!C241 * 86400 * DAY(EOMONTH(A235,0)) / 43560</f>
        <v>1314.2371232294151</v>
      </c>
      <c r="C235">
        <v>0</v>
      </c>
    </row>
    <row r="236" spans="1:3" x14ac:dyDescent="0.25">
      <c r="A236" s="4">
        <v>15096</v>
      </c>
      <c r="B236" s="6">
        <f>'Monthly CFS'!C242 * 86400 * DAY(EOMONTH(A236,0)) / 43560</f>
        <v>1561.687686058259</v>
      </c>
      <c r="C236">
        <v>1271.8423760000001</v>
      </c>
    </row>
    <row r="237" spans="1:3" x14ac:dyDescent="0.25">
      <c r="A237" s="4">
        <v>15127</v>
      </c>
      <c r="B237" s="6">
        <f>'Monthly CFS'!C243 * 86400 * DAY(EOMONTH(A237,0)) / 43560</f>
        <v>2304.0392106647905</v>
      </c>
      <c r="C237">
        <v>1613.74396</v>
      </c>
    </row>
    <row r="238" spans="1:3" x14ac:dyDescent="0.25">
      <c r="A238" s="4">
        <v>15157</v>
      </c>
      <c r="B238" s="6">
        <f>'Monthly CFS'!C244 * 86400 * DAY(EOMONTH(A238,0)) / 43560</f>
        <v>3029.8940420080662</v>
      </c>
      <c r="C238">
        <v>2229.7154700000001</v>
      </c>
    </row>
    <row r="239" spans="1:3" x14ac:dyDescent="0.25">
      <c r="A239" s="4">
        <v>15188</v>
      </c>
      <c r="B239" s="6">
        <f>'Monthly CFS'!C245 * 86400 * DAY(EOMONTH(A239,0)) / 43560</f>
        <v>3887.7224194573905</v>
      </c>
      <c r="C239">
        <v>3130.8904779999998</v>
      </c>
    </row>
    <row r="240" spans="1:3" x14ac:dyDescent="0.25">
      <c r="A240" s="4">
        <v>15219</v>
      </c>
      <c r="B240" s="6">
        <f>'Monthly CFS'!C246 * 86400 * DAY(EOMONTH(A240,0)) / 43560</f>
        <v>4250.6499170690295</v>
      </c>
      <c r="C240">
        <v>3887.7225060000001</v>
      </c>
    </row>
    <row r="241" spans="1:3" x14ac:dyDescent="0.25">
      <c r="A241" s="4">
        <v>15249</v>
      </c>
      <c r="B241" s="6">
        <f>'Monthly CFS'!C247 * 86400 * DAY(EOMONTH(A241,0)) / 43560</f>
        <v>3585.2828654276946</v>
      </c>
      <c r="C241">
        <v>4113.5323010000002</v>
      </c>
    </row>
    <row r="242" spans="1:3" x14ac:dyDescent="0.25">
      <c r="A242" s="4">
        <v>15280</v>
      </c>
      <c r="B242" s="6">
        <f>'Monthly CFS'!C248 * 86400 * DAY(EOMONTH(A242,0)) / 43560</f>
        <v>2441.5116681819263</v>
      </c>
      <c r="C242">
        <v>3704.792289</v>
      </c>
    </row>
    <row r="243" spans="1:3" x14ac:dyDescent="0.25">
      <c r="A243" s="4">
        <v>15310</v>
      </c>
      <c r="B243" s="6">
        <f>'Monthly CFS'!C249 * 86400 * DAY(EOMONTH(A243,0)) / 43560</f>
        <v>1550.6899042060877</v>
      </c>
      <c r="C243">
        <v>2362.7533210000001</v>
      </c>
    </row>
    <row r="244" spans="1:3" x14ac:dyDescent="0.25">
      <c r="A244" s="4">
        <v>15341</v>
      </c>
      <c r="B244" s="6">
        <f>'Monthly CFS'!C250 * 86400 * DAY(EOMONTH(A244,0)) / 43560</f>
        <v>1275.7448662618181</v>
      </c>
      <c r="C244">
        <v>1602.3795749999999</v>
      </c>
    </row>
    <row r="245" spans="1:3" x14ac:dyDescent="0.25">
      <c r="A245" s="4">
        <v>15372</v>
      </c>
      <c r="B245" s="6">
        <f>'Monthly CFS'!C251 * 86400 * DAY(EOMONTH(A245,0)) / 43560</f>
        <v>1215.2569226798778</v>
      </c>
      <c r="C245">
        <v>1275.7448609999999</v>
      </c>
    </row>
    <row r="246" spans="1:3" x14ac:dyDescent="0.25">
      <c r="A246" s="4">
        <v>15400</v>
      </c>
      <c r="B246" s="6">
        <f>'Monthly CFS'!C252 * 86400 * DAY(EOMONTH(A246,0)) / 43560</f>
        <v>1083.2833765738274</v>
      </c>
      <c r="C246">
        <v>1097.6514279999999</v>
      </c>
    </row>
    <row r="247" spans="1:3" x14ac:dyDescent="0.25">
      <c r="A247" s="4">
        <v>15431</v>
      </c>
      <c r="B247" s="6">
        <f>'Monthly CFS'!C253 * 86400 * DAY(EOMONTH(A247,0)) / 43560</f>
        <v>1314.2371232294156</v>
      </c>
      <c r="C247">
        <v>1199.3494270000001</v>
      </c>
    </row>
    <row r="248" spans="1:3" x14ac:dyDescent="0.25">
      <c r="A248" s="4">
        <v>15461</v>
      </c>
      <c r="B248" s="6">
        <f>'Monthly CFS'!C254 * 86400 * DAY(EOMONTH(A248,0)) / 43560</f>
        <v>1358.0283933563528</v>
      </c>
      <c r="C248">
        <v>1271.8423760000001</v>
      </c>
    </row>
    <row r="249" spans="1:3" x14ac:dyDescent="0.25">
      <c r="A249" s="4">
        <v>15492</v>
      </c>
      <c r="B249" s="6">
        <f>'Monthly CFS'!C255 * 86400 * DAY(EOMONTH(A249,0)) / 43560</f>
        <v>2304.0392106647896</v>
      </c>
      <c r="C249">
        <v>1403.296032</v>
      </c>
    </row>
    <row r="250" spans="1:3" x14ac:dyDescent="0.25">
      <c r="A250" s="4">
        <v>15522</v>
      </c>
      <c r="B250" s="6">
        <f>'Monthly CFS'!C256 * 86400 * DAY(EOMONTH(A250,0)) / 43560</f>
        <v>3029.8940420080658</v>
      </c>
      <c r="C250">
        <v>2229.7154700000001</v>
      </c>
    </row>
    <row r="251" spans="1:3" x14ac:dyDescent="0.25">
      <c r="A251" s="4">
        <v>15553</v>
      </c>
      <c r="B251" s="6">
        <f>'Monthly CFS'!C257 * 86400 * DAY(EOMONTH(A251,0)) / 43560</f>
        <v>3887.7224194573919</v>
      </c>
      <c r="C251">
        <v>3130.8904779999998</v>
      </c>
    </row>
    <row r="252" spans="1:3" x14ac:dyDescent="0.25">
      <c r="A252" s="4">
        <v>15584</v>
      </c>
      <c r="B252" s="6">
        <f>'Monthly CFS'!C258 * 86400 * DAY(EOMONTH(A252,0)) / 43560</f>
        <v>4250.6499170690286</v>
      </c>
      <c r="C252">
        <v>3887.7225060000001</v>
      </c>
    </row>
    <row r="253" spans="1:3" x14ac:dyDescent="0.25">
      <c r="A253" s="4">
        <v>15614</v>
      </c>
      <c r="B253" s="6">
        <f>'Monthly CFS'!C259 * 86400 * DAY(EOMONTH(A253,0)) / 43560</f>
        <v>3585.2828654276946</v>
      </c>
      <c r="C253">
        <v>4113.5323010000002</v>
      </c>
    </row>
    <row r="254" spans="1:3" x14ac:dyDescent="0.25">
      <c r="A254" s="4">
        <v>15645</v>
      </c>
      <c r="B254" s="6">
        <f>'Monthly CFS'!C260 * 86400 * DAY(EOMONTH(A254,0)) / 43560</f>
        <v>2441.5116681819272</v>
      </c>
      <c r="C254">
        <v>3704.792289</v>
      </c>
    </row>
    <row r="255" spans="1:3" x14ac:dyDescent="0.25">
      <c r="A255" s="4">
        <v>15675</v>
      </c>
      <c r="B255" s="6">
        <f>'Monthly CFS'!C261 * 86400 * DAY(EOMONTH(A255,0)) / 43560</f>
        <v>1550.6899042060888</v>
      </c>
      <c r="C255">
        <v>2362.7533210000001</v>
      </c>
    </row>
    <row r="256" spans="1:3" x14ac:dyDescent="0.25">
      <c r="A256" s="4">
        <v>15706</v>
      </c>
      <c r="B256" s="6">
        <f>'Monthly CFS'!C262 * 86400 * DAY(EOMONTH(A256,0)) / 43560</f>
        <v>1275.7448662618176</v>
      </c>
      <c r="C256">
        <v>1602.3795749999999</v>
      </c>
    </row>
    <row r="257" spans="1:3" x14ac:dyDescent="0.25">
      <c r="A257" s="4">
        <v>15737</v>
      </c>
      <c r="B257" s="6">
        <f>'Monthly CFS'!C263 * 86400 * DAY(EOMONTH(A257,0)) / 43560</f>
        <v>1076.9517985641032</v>
      </c>
      <c r="C257">
        <v>1275.7448609999999</v>
      </c>
    </row>
    <row r="258" spans="1:3" x14ac:dyDescent="0.25">
      <c r="A258" s="4">
        <v>15765</v>
      </c>
      <c r="B258" s="6">
        <f>'Monthly CFS'!C264 * 86400 * DAY(EOMONTH(A258,0)) / 43560</f>
        <v>1083.2833765738276</v>
      </c>
      <c r="C258">
        <v>972.73067300000002</v>
      </c>
    </row>
    <row r="259" spans="1:3" x14ac:dyDescent="0.25">
      <c r="A259" s="4">
        <v>15796</v>
      </c>
      <c r="B259" s="6">
        <f>'Monthly CFS'!C265 * 86400 * DAY(EOMONTH(A259,0)) / 43560</f>
        <v>1314.2371232294147</v>
      </c>
      <c r="C259">
        <v>1199.3494270000001</v>
      </c>
    </row>
    <row r="260" spans="1:3" x14ac:dyDescent="0.25">
      <c r="A260" s="4">
        <v>15826</v>
      </c>
      <c r="B260" s="6">
        <f>'Monthly CFS'!C266 * 86400 * DAY(EOMONTH(A260,0)) / 43560</f>
        <v>1561.6876860582584</v>
      </c>
      <c r="C260">
        <v>1271.8423760000001</v>
      </c>
    </row>
    <row r="261" spans="1:3" x14ac:dyDescent="0.25">
      <c r="A261" s="4">
        <v>15857</v>
      </c>
      <c r="B261" s="6">
        <f>'Monthly CFS'!C267 * 86400 * DAY(EOMONTH(A261,0)) / 43560</f>
        <v>2304.0392106647896</v>
      </c>
      <c r="C261">
        <v>1613.74396</v>
      </c>
    </row>
    <row r="262" spans="1:3" x14ac:dyDescent="0.25">
      <c r="A262" s="4">
        <v>15887</v>
      </c>
      <c r="B262" s="6">
        <f>'Monthly CFS'!C268 * 86400 * DAY(EOMONTH(A262,0)) / 43560</f>
        <v>3029.8940420080648</v>
      </c>
      <c r="C262">
        <v>2229.7154700000001</v>
      </c>
    </row>
    <row r="263" spans="1:3" x14ac:dyDescent="0.25">
      <c r="A263" s="4">
        <v>15918</v>
      </c>
      <c r="B263" s="6">
        <f>'Monthly CFS'!C269 * 86400 * DAY(EOMONTH(A263,0)) / 43560</f>
        <v>3887.7224194573905</v>
      </c>
      <c r="C263">
        <v>3130.8904779999998</v>
      </c>
    </row>
    <row r="264" spans="1:3" x14ac:dyDescent="0.25">
      <c r="A264" s="4">
        <v>15949</v>
      </c>
      <c r="B264" s="6">
        <f>'Monthly CFS'!C270 * 86400 * DAY(EOMONTH(A264,0)) / 43560</f>
        <v>4250.6499170690286</v>
      </c>
      <c r="C264">
        <v>3887.7225060000001</v>
      </c>
    </row>
    <row r="265" spans="1:3" x14ac:dyDescent="0.25">
      <c r="A265" s="4">
        <v>15979</v>
      </c>
      <c r="B265" s="6">
        <f>'Monthly CFS'!C271 * 86400 * DAY(EOMONTH(A265,0)) / 43560</f>
        <v>3585.2828654276932</v>
      </c>
      <c r="C265">
        <v>4113.5323010000002</v>
      </c>
    </row>
    <row r="266" spans="1:3" x14ac:dyDescent="0.25">
      <c r="A266" s="4">
        <v>16010</v>
      </c>
      <c r="B266" s="6">
        <f>'Monthly CFS'!C272 * 86400 * DAY(EOMONTH(A266,0)) / 43560</f>
        <v>2441.511668181925</v>
      </c>
      <c r="C266">
        <v>3704.792289</v>
      </c>
    </row>
    <row r="267" spans="1:3" x14ac:dyDescent="0.25">
      <c r="A267" s="4">
        <v>16040</v>
      </c>
      <c r="B267" s="6">
        <f>'Monthly CFS'!C273 * 86400 * DAY(EOMONTH(A267,0)) / 43560</f>
        <v>1550.6899042060877</v>
      </c>
      <c r="C267">
        <v>2362.7533210000001</v>
      </c>
    </row>
    <row r="268" spans="1:3" x14ac:dyDescent="0.25">
      <c r="A268" s="4">
        <v>16071</v>
      </c>
      <c r="B268" s="6">
        <f>'Monthly CFS'!C274 * 86400 * DAY(EOMONTH(A268,0)) / 43560</f>
        <v>1275.7448662618165</v>
      </c>
      <c r="C268">
        <v>1602.3795749999999</v>
      </c>
    </row>
    <row r="269" spans="1:3" x14ac:dyDescent="0.25">
      <c r="A269" s="4">
        <v>16102</v>
      </c>
      <c r="B269" s="6">
        <f>'Monthly CFS'!C275 * 86400 * DAY(EOMONTH(A269,0)) / 43560</f>
        <v>133.67826149478654</v>
      </c>
      <c r="C269">
        <v>1275.7448609999999</v>
      </c>
    </row>
    <row r="270" spans="1:3" x14ac:dyDescent="0.25">
      <c r="A270" s="4">
        <v>16131</v>
      </c>
      <c r="B270" s="6">
        <f>'Monthly CFS'!C276 * 86400 * DAY(EOMONTH(A270,0)) / 43560</f>
        <v>119.1611714231211</v>
      </c>
      <c r="C270">
        <v>125.053855</v>
      </c>
    </row>
    <row r="271" spans="1:3" x14ac:dyDescent="0.25">
      <c r="A271" s="4">
        <v>16162</v>
      </c>
      <c r="B271" s="6">
        <f>'Monthly CFS'!C277 * 86400 * DAY(EOMONTH(A271,0)) / 43560</f>
        <v>222.92405650590749</v>
      </c>
      <c r="C271">
        <v>127.379183</v>
      </c>
    </row>
    <row r="272" spans="1:3" x14ac:dyDescent="0.25">
      <c r="A272" s="4">
        <v>16192</v>
      </c>
      <c r="B272" s="6">
        <f>'Monthly CFS'!C278 * 86400 * DAY(EOMONTH(A272,0)) / 43560</f>
        <v>821.60199328797171</v>
      </c>
      <c r="C272">
        <v>215.73295300000001</v>
      </c>
    </row>
    <row r="273" spans="1:3" x14ac:dyDescent="0.25">
      <c r="A273" s="4">
        <v>16223</v>
      </c>
      <c r="B273" s="6">
        <f>'Monthly CFS'!C279 * 86400 * DAY(EOMONTH(A273,0)) / 43560</f>
        <v>1212.1522280000986</v>
      </c>
      <c r="C273">
        <v>848.98872700000004</v>
      </c>
    </row>
    <row r="274" spans="1:3" x14ac:dyDescent="0.25">
      <c r="A274" s="4">
        <v>16253</v>
      </c>
      <c r="B274" s="6">
        <f>'Monthly CFS'!C280 * 86400 * DAY(EOMONTH(A274,0)) / 43560</f>
        <v>1594.0235724393813</v>
      </c>
      <c r="C274">
        <v>1173.0505450000001</v>
      </c>
    </row>
    <row r="275" spans="1:3" x14ac:dyDescent="0.25">
      <c r="A275" s="4">
        <v>16284</v>
      </c>
      <c r="B275" s="6">
        <f>'Monthly CFS'!C281 * 86400 * DAY(EOMONTH(A275,0)) / 43560</f>
        <v>2045.3260390614169</v>
      </c>
      <c r="C275">
        <v>1647.157719</v>
      </c>
    </row>
    <row r="276" spans="1:3" x14ac:dyDescent="0.25">
      <c r="A276" s="4">
        <v>16315</v>
      </c>
      <c r="B276" s="6">
        <f>'Monthly CFS'!C282 * 86400 * DAY(EOMONTH(A276,0)) / 43560</f>
        <v>2236.2617543895922</v>
      </c>
      <c r="C276">
        <v>2045.3259780000001</v>
      </c>
    </row>
    <row r="277" spans="1:3" x14ac:dyDescent="0.25">
      <c r="A277" s="4">
        <v>16345</v>
      </c>
      <c r="B277" s="6">
        <f>'Monthly CFS'!C283 * 86400 * DAY(EOMONTH(A277,0)) / 43560</f>
        <v>1886.2129573241157</v>
      </c>
      <c r="C277">
        <v>2164.1243669999999</v>
      </c>
    </row>
    <row r="278" spans="1:3" x14ac:dyDescent="0.25">
      <c r="A278" s="4">
        <v>16376</v>
      </c>
      <c r="B278" s="6">
        <f>'Monthly CFS'!C284 * 86400 * DAY(EOMONTH(A278,0)) / 43560</f>
        <v>1284.4763207918891</v>
      </c>
      <c r="C278">
        <v>1949.0867049999999</v>
      </c>
    </row>
    <row r="279" spans="1:3" x14ac:dyDescent="0.25">
      <c r="A279" s="4">
        <v>16406</v>
      </c>
      <c r="B279" s="6">
        <f>'Monthly CFS'!C285 * 86400 * DAY(EOMONTH(A279,0)) / 43560</f>
        <v>815.81607362416435</v>
      </c>
      <c r="C279">
        <v>1243.041626</v>
      </c>
    </row>
    <row r="280" spans="1:3" x14ac:dyDescent="0.25">
      <c r="A280" s="4">
        <v>16437</v>
      </c>
      <c r="B280" s="6">
        <f>'Monthly CFS'!C286 * 86400 * DAY(EOMONTH(A280,0)) / 43560</f>
        <v>671.16782337778147</v>
      </c>
      <c r="C280">
        <v>843.00993800000003</v>
      </c>
    </row>
    <row r="281" spans="1:3" x14ac:dyDescent="0.25">
      <c r="A281" s="4">
        <v>16468</v>
      </c>
      <c r="B281" s="6">
        <f>'Monthly CFS'!C287 * 86400 * DAY(EOMONTH(A281,0)) / 43560</f>
        <v>565.43097336543224</v>
      </c>
      <c r="C281">
        <v>671.16779699999995</v>
      </c>
    </row>
    <row r="282" spans="1:3" x14ac:dyDescent="0.25">
      <c r="A282" s="4">
        <v>16496</v>
      </c>
      <c r="B282" s="6">
        <f>'Monthly CFS'!C288 * 86400 * DAY(EOMONTH(A282,0)) / 43560</f>
        <v>172.25701732950793</v>
      </c>
      <c r="C282">
        <v>510.71184899999997</v>
      </c>
    </row>
    <row r="283" spans="1:3" x14ac:dyDescent="0.25">
      <c r="A283" s="4">
        <v>16527</v>
      </c>
      <c r="B283" s="6">
        <f>'Monthly CFS'!C289 * 86400 * DAY(EOMONTH(A283,0)) / 43560</f>
        <v>902.59888131717446</v>
      </c>
      <c r="C283">
        <v>190.71312699999999</v>
      </c>
    </row>
    <row r="284" spans="1:3" x14ac:dyDescent="0.25">
      <c r="A284" s="4">
        <v>16557</v>
      </c>
      <c r="B284" s="6">
        <f>'Monthly CFS'!C290 * 86400 * DAY(EOMONTH(A284,0)) / 43560</f>
        <v>1561.6876860582588</v>
      </c>
      <c r="C284">
        <v>873.48277199999995</v>
      </c>
    </row>
    <row r="285" spans="1:3" x14ac:dyDescent="0.25">
      <c r="A285" s="4">
        <v>16588</v>
      </c>
      <c r="B285" s="6">
        <f>'Monthly CFS'!C291 * 86400 * DAY(EOMONTH(A285,0)) / 43560</f>
        <v>2304.0392106647892</v>
      </c>
      <c r="C285">
        <v>1613.74396</v>
      </c>
    </row>
    <row r="286" spans="1:3" x14ac:dyDescent="0.25">
      <c r="A286" s="4">
        <v>16618</v>
      </c>
      <c r="B286" s="6">
        <f>'Monthly CFS'!C292 * 86400 * DAY(EOMONTH(A286,0)) / 43560</f>
        <v>3029.8940420080648</v>
      </c>
      <c r="C286">
        <v>2229.7154700000001</v>
      </c>
    </row>
    <row r="287" spans="1:3" x14ac:dyDescent="0.25">
      <c r="A287" s="4">
        <v>16649</v>
      </c>
      <c r="B287" s="6">
        <f>'Monthly CFS'!C293 * 86400 * DAY(EOMONTH(A287,0)) / 43560</f>
        <v>3887.7224194573901</v>
      </c>
      <c r="C287">
        <v>3130.8904779999998</v>
      </c>
    </row>
    <row r="288" spans="1:3" x14ac:dyDescent="0.25">
      <c r="A288" s="4">
        <v>16680</v>
      </c>
      <c r="B288" s="6">
        <f>'Monthly CFS'!C294 * 86400 * DAY(EOMONTH(A288,0)) / 43560</f>
        <v>4250.6499170690267</v>
      </c>
      <c r="C288">
        <v>3887.7225060000001</v>
      </c>
    </row>
    <row r="289" spans="1:3" x14ac:dyDescent="0.25">
      <c r="A289" s="4">
        <v>16710</v>
      </c>
      <c r="B289" s="6">
        <f>'Monthly CFS'!C295 * 86400 * DAY(EOMONTH(A289,0)) / 43560</f>
        <v>3585.2828654276937</v>
      </c>
      <c r="C289">
        <v>4113.5323010000002</v>
      </c>
    </row>
    <row r="290" spans="1:3" x14ac:dyDescent="0.25">
      <c r="A290" s="4">
        <v>16741</v>
      </c>
      <c r="B290" s="6">
        <f>'Monthly CFS'!C296 * 86400 * DAY(EOMONTH(A290,0)) / 43560</f>
        <v>2441.511668181925</v>
      </c>
      <c r="C290">
        <v>3704.792289</v>
      </c>
    </row>
    <row r="291" spans="1:3" x14ac:dyDescent="0.25">
      <c r="A291" s="4">
        <v>16771</v>
      </c>
      <c r="B291" s="6">
        <f>'Monthly CFS'!C297 * 86400 * DAY(EOMONTH(A291,0)) / 43560</f>
        <v>1550.6899042060882</v>
      </c>
      <c r="C291">
        <v>2362.7533210000001</v>
      </c>
    </row>
    <row r="292" spans="1:3" x14ac:dyDescent="0.25">
      <c r="A292" s="4">
        <v>16802</v>
      </c>
      <c r="B292" s="6">
        <f>'Monthly CFS'!C298 * 86400 * DAY(EOMONTH(A292,0)) / 43560</f>
        <v>1275.7448662618172</v>
      </c>
      <c r="C292">
        <v>1602.3795749999999</v>
      </c>
    </row>
    <row r="293" spans="1:3" x14ac:dyDescent="0.25">
      <c r="A293" s="4">
        <v>16833</v>
      </c>
      <c r="B293" s="6">
        <f>'Monthly CFS'!C299 * 86400 * DAY(EOMONTH(A293,0)) / 43560</f>
        <v>1215.2569226798776</v>
      </c>
      <c r="C293">
        <v>1275.7448609999999</v>
      </c>
    </row>
    <row r="294" spans="1:3" x14ac:dyDescent="0.25">
      <c r="A294" s="4">
        <v>16861</v>
      </c>
      <c r="B294" s="6">
        <f>'Monthly CFS'!C300 * 86400 * DAY(EOMONTH(A294,0)) / 43560</f>
        <v>1083.2833765738276</v>
      </c>
      <c r="C294">
        <v>1097.6514279999999</v>
      </c>
    </row>
    <row r="295" spans="1:3" x14ac:dyDescent="0.25">
      <c r="A295" s="4">
        <v>16892</v>
      </c>
      <c r="B295" s="6">
        <f>'Monthly CFS'!C301 * 86400 * DAY(EOMONTH(A295,0)) / 43560</f>
        <v>1235.833012938009</v>
      </c>
      <c r="C295">
        <v>1199.3494270000001</v>
      </c>
    </row>
    <row r="296" spans="1:3" x14ac:dyDescent="0.25">
      <c r="A296" s="4">
        <v>16922</v>
      </c>
      <c r="B296" s="6">
        <f>'Monthly CFS'!C302 * 86400 * DAY(EOMONTH(A296,0)) / 43560</f>
        <v>1302.0611004446541</v>
      </c>
      <c r="C296">
        <v>1195.96748</v>
      </c>
    </row>
    <row r="297" spans="1:3" x14ac:dyDescent="0.25">
      <c r="A297" s="4">
        <v>16953</v>
      </c>
      <c r="B297" s="6">
        <f>'Monthly CFS'!C303 * 86400 * DAY(EOMONTH(A297,0)) / 43560</f>
        <v>2209.162677315333</v>
      </c>
      <c r="C297">
        <v>1345.463172</v>
      </c>
    </row>
    <row r="298" spans="1:3" x14ac:dyDescent="0.25">
      <c r="A298" s="4">
        <v>16983</v>
      </c>
      <c r="B298" s="6">
        <f>'Monthly CFS'!C304 * 86400 * DAY(EOMONTH(A298,0)) / 43560</f>
        <v>2905.1280042638737</v>
      </c>
      <c r="C298">
        <v>2137.8992760000001</v>
      </c>
    </row>
    <row r="299" spans="1:3" x14ac:dyDescent="0.25">
      <c r="A299" s="4">
        <v>17014</v>
      </c>
      <c r="B299" s="6">
        <f>'Monthly CFS'!C305 * 86400 * DAY(EOMONTH(A299,0)) / 43560</f>
        <v>3727.6324244278985</v>
      </c>
      <c r="C299">
        <v>3001.9655090000001</v>
      </c>
    </row>
    <row r="300" spans="1:3" x14ac:dyDescent="0.25">
      <c r="A300" s="4">
        <v>17045</v>
      </c>
      <c r="B300" s="6">
        <f>'Monthly CFS'!C306 * 86400 * DAY(EOMONTH(A300,0)) / 43560</f>
        <v>4075.6151664680133</v>
      </c>
      <c r="C300">
        <v>3727.6324719999998</v>
      </c>
    </row>
    <row r="301" spans="1:3" x14ac:dyDescent="0.25">
      <c r="A301" s="4">
        <v>17075</v>
      </c>
      <c r="B301" s="6">
        <f>'Monthly CFS'!C307 * 86400 * DAY(EOMONTH(A301,0)) / 43560</f>
        <v>3437.6468322497499</v>
      </c>
      <c r="C301">
        <v>3944.1435510000001</v>
      </c>
    </row>
    <row r="302" spans="1:3" x14ac:dyDescent="0.25">
      <c r="A302" s="4">
        <v>17106</v>
      </c>
      <c r="B302" s="6">
        <f>'Monthly CFS'!C308 * 86400 * DAY(EOMONTH(A302,0)) / 43560</f>
        <v>2340.9742458424344</v>
      </c>
      <c r="C302">
        <v>3552.2350390000001</v>
      </c>
    </row>
    <row r="303" spans="1:3" x14ac:dyDescent="0.25">
      <c r="A303" s="4">
        <v>17136</v>
      </c>
      <c r="B303" s="6">
        <f>'Monthly CFS'!C309 * 86400 * DAY(EOMONTH(A303,0)) / 43560</f>
        <v>1486.8350523745403</v>
      </c>
      <c r="C303">
        <v>2265.458944</v>
      </c>
    </row>
    <row r="304" spans="1:3" x14ac:dyDescent="0.25">
      <c r="A304" s="4">
        <v>17167</v>
      </c>
      <c r="B304" s="6">
        <f>'Monthly CFS'!C310 * 86400 * DAY(EOMONTH(A304,0)) / 43560</f>
        <v>1223.2117974715663</v>
      </c>
      <c r="C304">
        <v>1536.3962260000001</v>
      </c>
    </row>
    <row r="305" spans="1:3" x14ac:dyDescent="0.25">
      <c r="A305" s="4">
        <v>17198</v>
      </c>
      <c r="B305" s="6">
        <f>'Monthly CFS'!C311 * 86400 * DAY(EOMONTH(A305,0)) / 43560</f>
        <v>207.075436816148</v>
      </c>
      <c r="C305">
        <v>1223.2118069999999</v>
      </c>
    </row>
    <row r="306" spans="1:3" x14ac:dyDescent="0.25">
      <c r="A306" s="4">
        <v>17226</v>
      </c>
      <c r="B306" s="6">
        <f>'Monthly CFS'!C312 * 86400 * DAY(EOMONTH(A306,0)) / 43560</f>
        <v>119.16117142312102</v>
      </c>
      <c r="C306">
        <v>187.03588400000001</v>
      </c>
    </row>
    <row r="307" spans="1:3" x14ac:dyDescent="0.25">
      <c r="A307" s="4">
        <v>17257</v>
      </c>
      <c r="B307" s="6">
        <f>'Monthly CFS'!C313 * 86400 * DAY(EOMONTH(A307,0)) / 43560</f>
        <v>286.69640658167236</v>
      </c>
      <c r="C307">
        <v>131.928437</v>
      </c>
    </row>
    <row r="308" spans="1:3" x14ac:dyDescent="0.25">
      <c r="A308" s="4">
        <v>17287</v>
      </c>
      <c r="B308" s="6">
        <f>'Monthly CFS'!C314 * 86400 * DAY(EOMONTH(A308,0)) / 43560</f>
        <v>886.92196938492327</v>
      </c>
      <c r="C308">
        <v>277.44814000000002</v>
      </c>
    </row>
    <row r="309" spans="1:3" x14ac:dyDescent="0.25">
      <c r="A309" s="4">
        <v>17318</v>
      </c>
      <c r="B309" s="6">
        <f>'Monthly CFS'!C315 * 86400 * DAY(EOMONTH(A309,0)) / 43560</f>
        <v>1308.522192052852</v>
      </c>
      <c r="C309">
        <v>916.48602200000005</v>
      </c>
    </row>
    <row r="310" spans="1:3" x14ac:dyDescent="0.25">
      <c r="A310" s="4">
        <v>17348</v>
      </c>
      <c r="B310" s="6">
        <f>'Monthly CFS'!C316 * 86400 * DAY(EOMONTH(A310,0)) / 43560</f>
        <v>1720.7535250202332</v>
      </c>
      <c r="C310">
        <v>1266.3117589999999</v>
      </c>
    </row>
    <row r="311" spans="1:3" x14ac:dyDescent="0.25">
      <c r="A311" s="4">
        <v>17379</v>
      </c>
      <c r="B311" s="6">
        <f>'Monthly CFS'!C317 * 86400 * DAY(EOMONTH(A311,0)) / 43560</f>
        <v>2207.9359755920068</v>
      </c>
      <c r="C311">
        <v>1778.111954</v>
      </c>
    </row>
    <row r="312" spans="1:3" x14ac:dyDescent="0.25">
      <c r="A312" s="4">
        <v>17410</v>
      </c>
      <c r="B312" s="6">
        <f>'Monthly CFS'!C318 * 86400 * DAY(EOMONTH(A312,0)) / 43560</f>
        <v>2414.0516886114983</v>
      </c>
      <c r="C312">
        <v>2207.9360889999998</v>
      </c>
    </row>
    <row r="313" spans="1:3" x14ac:dyDescent="0.25">
      <c r="A313" s="4">
        <v>17440</v>
      </c>
      <c r="B313" s="6">
        <f>'Monthly CFS'!C319 * 86400 * DAY(EOMONTH(A313,0)) / 43560</f>
        <v>2036.1728969210333</v>
      </c>
      <c r="C313">
        <v>2336.1791189999999</v>
      </c>
    </row>
    <row r="314" spans="1:3" x14ac:dyDescent="0.25">
      <c r="A314" s="4">
        <v>17471</v>
      </c>
      <c r="B314" s="6">
        <f>'Monthly CFS'!C320 * 86400 * DAY(EOMONTH(A314,0)) / 43560</f>
        <v>1386.5962806467317</v>
      </c>
      <c r="C314">
        <v>2104.045345</v>
      </c>
    </row>
    <row r="315" spans="1:3" x14ac:dyDescent="0.25">
      <c r="A315" s="4">
        <v>17501</v>
      </c>
      <c r="B315" s="6">
        <f>'Monthly CFS'!C321 * 86400 * DAY(EOMONTH(A315,0)) / 43560</f>
        <v>880.67605067385659</v>
      </c>
      <c r="C315">
        <v>1341.867393</v>
      </c>
    </row>
    <row r="316" spans="1:3" x14ac:dyDescent="0.25">
      <c r="A316" s="4">
        <v>17532</v>
      </c>
      <c r="B316" s="6">
        <f>'Monthly CFS'!C322 * 86400 * DAY(EOMONTH(A316,0)) / 43560</f>
        <v>724.52780368239746</v>
      </c>
      <c r="C316">
        <v>910.03190400000005</v>
      </c>
    </row>
    <row r="317" spans="1:3" x14ac:dyDescent="0.25">
      <c r="A317" s="4">
        <v>17563</v>
      </c>
      <c r="B317" s="6">
        <f>'Monthly CFS'!C323 * 86400 * DAY(EOMONTH(A317,0)) / 43560</f>
        <v>133.67826149478657</v>
      </c>
      <c r="C317">
        <v>724.52778000000001</v>
      </c>
    </row>
    <row r="318" spans="1:3" x14ac:dyDescent="0.25">
      <c r="A318" s="4">
        <v>17592</v>
      </c>
      <c r="B318" s="6">
        <f>'Monthly CFS'!C324 * 86400 * DAY(EOMONTH(A318,0)) / 43560</f>
        <v>119.16117142312106</v>
      </c>
      <c r="C318">
        <v>125.053855</v>
      </c>
    </row>
    <row r="319" spans="1:3" x14ac:dyDescent="0.25">
      <c r="A319" s="4">
        <v>17623</v>
      </c>
      <c r="B319" s="6">
        <f>'Monthly CFS'!C325 * 86400 * DAY(EOMONTH(A319,0)) / 43560</f>
        <v>233.04677598645114</v>
      </c>
      <c r="C319">
        <v>127.379183</v>
      </c>
    </row>
    <row r="320" spans="1:3" x14ac:dyDescent="0.25">
      <c r="A320" s="4">
        <v>17653</v>
      </c>
      <c r="B320" s="6">
        <f>'Monthly CFS'!C326 * 86400 * DAY(EOMONTH(A320,0)) / 43560</f>
        <v>924.58727128872488</v>
      </c>
      <c r="C320">
        <v>225.529143</v>
      </c>
    </row>
    <row r="321" spans="1:3" x14ac:dyDescent="0.25">
      <c r="A321" s="4">
        <v>17684</v>
      </c>
      <c r="B321" s="6">
        <f>'Monthly CFS'!C327 * 86400 * DAY(EOMONTH(A321,0)) / 43560</f>
        <v>2195.7324822930932</v>
      </c>
      <c r="C321">
        <v>955.40681800000004</v>
      </c>
    </row>
    <row r="322" spans="1:3" x14ac:dyDescent="0.25">
      <c r="A322" s="4">
        <v>17714</v>
      </c>
      <c r="B322" s="6">
        <f>'Monthly CFS'!C328 * 86400 * DAY(EOMONTH(A322,0)) / 43560</f>
        <v>2887.4668170355758</v>
      </c>
      <c r="C322">
        <v>2124.9024949999998</v>
      </c>
    </row>
    <row r="323" spans="1:3" x14ac:dyDescent="0.25">
      <c r="A323" s="4">
        <v>17745</v>
      </c>
      <c r="B323" s="6">
        <f>'Monthly CFS'!C329 * 86400 * DAY(EOMONTH(A323,0)) / 43560</f>
        <v>3704.9709740307139</v>
      </c>
      <c r="C323">
        <v>2983.7155980000002</v>
      </c>
    </row>
    <row r="324" spans="1:3" x14ac:dyDescent="0.25">
      <c r="A324" s="4">
        <v>17776</v>
      </c>
      <c r="B324" s="6">
        <f>'Monthly CFS'!C330 * 86400 * DAY(EOMONTH(A324,0)) / 43560</f>
        <v>4050.8382194901765</v>
      </c>
      <c r="C324">
        <v>3704.9710209999998</v>
      </c>
    </row>
    <row r="325" spans="1:3" x14ac:dyDescent="0.25">
      <c r="A325" s="4">
        <v>17806</v>
      </c>
      <c r="B325" s="6">
        <f>'Monthly CFS'!C331 * 86400 * DAY(EOMONTH(A325,0)) / 43560</f>
        <v>3416.7482955105706</v>
      </c>
      <c r="C325">
        <v>3920.1661170000002</v>
      </c>
    </row>
    <row r="326" spans="1:3" x14ac:dyDescent="0.25">
      <c r="A326" s="4">
        <v>17837</v>
      </c>
      <c r="B326" s="6">
        <f>'Monthly CFS'!C332 * 86400 * DAY(EOMONTH(A326,0)) / 43560</f>
        <v>2326.7427268209781</v>
      </c>
      <c r="C326">
        <v>3530.6398829999998</v>
      </c>
    </row>
    <row r="327" spans="1:3" x14ac:dyDescent="0.25">
      <c r="A327" s="4">
        <v>17867</v>
      </c>
      <c r="B327" s="6">
        <f>'Monthly CFS'!C333 * 86400 * DAY(EOMONTH(A327,0)) / 43560</f>
        <v>1477.7961142626757</v>
      </c>
      <c r="C327">
        <v>2251.6865379999999</v>
      </c>
    </row>
    <row r="328" spans="1:3" x14ac:dyDescent="0.25">
      <c r="A328" s="4">
        <v>17898</v>
      </c>
      <c r="B328" s="6">
        <f>'Monthly CFS'!C334 * 86400 * DAY(EOMONTH(A328,0)) / 43560</f>
        <v>1215.7755080745746</v>
      </c>
      <c r="C328">
        <v>1527.0559479999999</v>
      </c>
    </row>
    <row r="329" spans="1:3" x14ac:dyDescent="0.25">
      <c r="A329" s="4">
        <v>17929</v>
      </c>
      <c r="B329" s="6">
        <f>'Monthly CFS'!C335 * 86400 * DAY(EOMONTH(A329,0)) / 43560</f>
        <v>133.67826149478657</v>
      </c>
      <c r="C329">
        <v>1215.7755420000001</v>
      </c>
    </row>
    <row r="330" spans="1:3" x14ac:dyDescent="0.25">
      <c r="A330" s="4">
        <v>17957</v>
      </c>
      <c r="B330" s="6">
        <f>'Monthly CFS'!C336 * 86400 * DAY(EOMONTH(A330,0)) / 43560</f>
        <v>119.16117142312102</v>
      </c>
      <c r="C330">
        <v>120.741653</v>
      </c>
    </row>
    <row r="331" spans="1:3" x14ac:dyDescent="0.25">
      <c r="A331" s="4">
        <v>17988</v>
      </c>
      <c r="B331" s="6">
        <f>'Monthly CFS'!C337 * 86400 * DAY(EOMONTH(A331,0)) / 43560</f>
        <v>234.79291588763459</v>
      </c>
      <c r="C331">
        <v>131.928437</v>
      </c>
    </row>
    <row r="332" spans="1:3" x14ac:dyDescent="0.25">
      <c r="A332" s="4">
        <v>18018</v>
      </c>
      <c r="B332" s="6">
        <f>'Monthly CFS'!C338 * 86400 * DAY(EOMONTH(A332,0)) / 43560</f>
        <v>317.23884601060871</v>
      </c>
      <c r="C332">
        <v>227.21895699999999</v>
      </c>
    </row>
    <row r="333" spans="1:3" x14ac:dyDescent="0.25">
      <c r="A333" s="4">
        <v>18049</v>
      </c>
      <c r="B333" s="6">
        <f>'Monthly CFS'!C339 * 86400 * DAY(EOMONTH(A333,0)) / 43560</f>
        <v>491.73619294122113</v>
      </c>
      <c r="C333">
        <v>327.81347899999997</v>
      </c>
    </row>
    <row r="334" spans="1:3" x14ac:dyDescent="0.25">
      <c r="A334" s="4">
        <v>18079</v>
      </c>
      <c r="B334" s="6">
        <f>'Monthly CFS'!C340 * 86400 * DAY(EOMONTH(A334,0)) / 43560</f>
        <v>646.65069688742244</v>
      </c>
      <c r="C334">
        <v>475.873739</v>
      </c>
    </row>
    <row r="335" spans="1:3" x14ac:dyDescent="0.25">
      <c r="A335" s="4">
        <v>18110</v>
      </c>
      <c r="B335" s="6">
        <f>'Monthly CFS'!C341 * 86400 * DAY(EOMONTH(A335,0)) / 43560</f>
        <v>829.73146155989798</v>
      </c>
      <c r="C335">
        <v>668.20569899999998</v>
      </c>
    </row>
    <row r="336" spans="1:3" x14ac:dyDescent="0.25">
      <c r="A336" s="4">
        <v>18141</v>
      </c>
      <c r="B336" s="6">
        <f>'Monthly CFS'!C342 * 86400 * DAY(EOMONTH(A336,0)) / 43560</f>
        <v>907.18873102092311</v>
      </c>
      <c r="C336">
        <v>829.73145499999998</v>
      </c>
    </row>
    <row r="337" spans="1:3" x14ac:dyDescent="0.25">
      <c r="A337" s="4">
        <v>18171</v>
      </c>
      <c r="B337" s="6">
        <f>'Monthly CFS'!C343 * 86400 * DAY(EOMONTH(A337,0)) / 43560</f>
        <v>765.18374283835192</v>
      </c>
      <c r="C337">
        <v>877.92457400000001</v>
      </c>
    </row>
    <row r="338" spans="1:3" x14ac:dyDescent="0.25">
      <c r="A338" s="4">
        <v>18202</v>
      </c>
      <c r="B338" s="6">
        <f>'Monthly CFS'!C344 * 86400 * DAY(EOMONTH(A338,0)) / 43560</f>
        <v>521.07605077907635</v>
      </c>
      <c r="C338">
        <v>790.68986199999995</v>
      </c>
    </row>
    <row r="339" spans="1:3" x14ac:dyDescent="0.25">
      <c r="A339" s="4">
        <v>18232</v>
      </c>
      <c r="B339" s="6">
        <f>'Monthly CFS'!C345 * 86400 * DAY(EOMONTH(A339,0)) / 43560</f>
        <v>330.95372092503294</v>
      </c>
      <c r="C339">
        <v>504.26712700000002</v>
      </c>
    </row>
    <row r="340" spans="1:3" x14ac:dyDescent="0.25">
      <c r="A340" s="4">
        <v>18263</v>
      </c>
      <c r="B340" s="6">
        <f>'Monthly CFS'!C346 * 86400 * DAY(EOMONTH(A340,0)) / 43560</f>
        <v>272.27397901743524</v>
      </c>
      <c r="C340">
        <v>341.98550499999999</v>
      </c>
    </row>
    <row r="341" spans="1:3" x14ac:dyDescent="0.25">
      <c r="A341" s="4">
        <v>18294</v>
      </c>
      <c r="B341" s="6">
        <f>'Monthly CFS'!C347 * 86400 * DAY(EOMONTH(A341,0)) / 43560</f>
        <v>133.67826149478657</v>
      </c>
      <c r="C341">
        <v>272.27396700000003</v>
      </c>
    </row>
    <row r="342" spans="1:3" x14ac:dyDescent="0.25">
      <c r="A342" s="4">
        <v>18322</v>
      </c>
      <c r="B342" s="6">
        <f>'Monthly CFS'!C348 * 86400 * DAY(EOMONTH(A342,0)) / 43560</f>
        <v>119.16117142312106</v>
      </c>
      <c r="C342">
        <v>120.741653</v>
      </c>
    </row>
    <row r="343" spans="1:3" x14ac:dyDescent="0.25">
      <c r="A343" s="4">
        <v>18353</v>
      </c>
      <c r="B343" s="6">
        <f>'Monthly CFS'!C349 * 86400 * DAY(EOMONTH(A343,0)) / 43560</f>
        <v>191.13490481600289</v>
      </c>
      <c r="C343">
        <v>131.928437</v>
      </c>
    </row>
    <row r="344" spans="1:3" x14ac:dyDescent="0.25">
      <c r="A344" s="4">
        <v>18383</v>
      </c>
      <c r="B344" s="6">
        <f>'Monthly CFS'!C350 * 86400 * DAY(EOMONTH(A344,0)) / 43560</f>
        <v>1009.9437078843921</v>
      </c>
      <c r="C344">
        <v>184.96926199999999</v>
      </c>
    </row>
    <row r="345" spans="1:3" x14ac:dyDescent="0.25">
      <c r="A345" s="4">
        <v>18414</v>
      </c>
      <c r="B345" s="6">
        <f>'Monthly CFS'!C351 * 86400 * DAY(EOMONTH(A345,0)) / 43560</f>
        <v>1490.0225725689811</v>
      </c>
      <c r="C345">
        <v>1043.6085410000001</v>
      </c>
    </row>
    <row r="346" spans="1:3" x14ac:dyDescent="0.25">
      <c r="A346" s="4">
        <v>18444</v>
      </c>
      <c r="B346" s="6">
        <f>'Monthly CFS'!C352 * 86400 * DAY(EOMONTH(A346,0)) / 43560</f>
        <v>1959.433022748633</v>
      </c>
      <c r="C346">
        <v>1441.9573820000001</v>
      </c>
    </row>
    <row r="347" spans="1:3" x14ac:dyDescent="0.25">
      <c r="A347" s="4">
        <v>18475</v>
      </c>
      <c r="B347" s="6">
        <f>'Monthly CFS'!C353 * 86400 * DAY(EOMONTH(A347,0)) / 43560</f>
        <v>2514.1907889677782</v>
      </c>
      <c r="C347">
        <v>2024.74739</v>
      </c>
    </row>
    <row r="348" spans="1:3" x14ac:dyDescent="0.25">
      <c r="A348" s="4">
        <v>18506</v>
      </c>
      <c r="B348" s="6">
        <f>'Monthly CFS'!C354 * 86400 * DAY(EOMONTH(A348,0)) / 43560</f>
        <v>2748.8960670482174</v>
      </c>
      <c r="C348">
        <v>2514.1907670000001</v>
      </c>
    </row>
    <row r="349" spans="1:3" x14ac:dyDescent="0.25">
      <c r="A349" s="4">
        <v>18536</v>
      </c>
      <c r="B349" s="6">
        <f>'Monthly CFS'!C355 * 86400 * DAY(EOMONTH(A349,0)) / 43560</f>
        <v>2318.6030748976164</v>
      </c>
      <c r="C349">
        <v>2660.222002</v>
      </c>
    </row>
    <row r="350" spans="1:3" x14ac:dyDescent="0.25">
      <c r="A350" s="4">
        <v>18567</v>
      </c>
      <c r="B350" s="6">
        <f>'Monthly CFS'!C356 * 86400 * DAY(EOMONTH(A350,0)) / 43560</f>
        <v>1578.9260356085526</v>
      </c>
      <c r="C350">
        <v>2395.8898039999999</v>
      </c>
    </row>
    <row r="351" spans="1:3" x14ac:dyDescent="0.25">
      <c r="A351" s="4">
        <v>18597</v>
      </c>
      <c r="B351" s="6">
        <f>'Monthly CFS'!C357 * 86400 * DAY(EOMONTH(A351,0)) / 43560</f>
        <v>1002.831440379536</v>
      </c>
      <c r="C351">
        <v>1527.9929299999999</v>
      </c>
    </row>
    <row r="352" spans="1:3" x14ac:dyDescent="0.25">
      <c r="A352" s="4">
        <v>18628</v>
      </c>
      <c r="B352" s="6">
        <f>'Monthly CFS'!C358 * 86400 * DAY(EOMONTH(A352,0)) / 43560</f>
        <v>825.02443481447244</v>
      </c>
      <c r="C352">
        <v>1036.2591789999999</v>
      </c>
    </row>
    <row r="353" spans="1:3" x14ac:dyDescent="0.25">
      <c r="A353" s="4">
        <v>18659</v>
      </c>
      <c r="B353" s="6">
        <f>'Monthly CFS'!C359 * 86400 * DAY(EOMONTH(A353,0)) / 43560</f>
        <v>1215.256922679878</v>
      </c>
      <c r="C353">
        <v>825.02443200000005</v>
      </c>
    </row>
    <row r="354" spans="1:3" x14ac:dyDescent="0.25">
      <c r="A354" s="4">
        <v>18687</v>
      </c>
      <c r="B354" s="6">
        <f>'Monthly CFS'!C360 * 86400 * DAY(EOMONTH(A354,0)) / 43560</f>
        <v>1083.2833765738274</v>
      </c>
      <c r="C354">
        <v>1097.6514279999999</v>
      </c>
    </row>
    <row r="355" spans="1:3" x14ac:dyDescent="0.25">
      <c r="A355" s="4">
        <v>18718</v>
      </c>
      <c r="B355" s="6">
        <f>'Monthly CFS'!C361 * 86400 * DAY(EOMONTH(A355,0)) / 43560</f>
        <v>1314.2371232294149</v>
      </c>
      <c r="C355">
        <v>1199.3494270000001</v>
      </c>
    </row>
    <row r="356" spans="1:3" x14ac:dyDescent="0.25">
      <c r="A356" s="4">
        <v>18748</v>
      </c>
      <c r="B356" s="6">
        <f>'Monthly CFS'!C362 * 86400 * DAY(EOMONTH(A356,0)) / 43560</f>
        <v>1561.687686058259</v>
      </c>
      <c r="C356">
        <v>1271.8423760000001</v>
      </c>
    </row>
    <row r="357" spans="1:3" x14ac:dyDescent="0.25">
      <c r="A357" s="4">
        <v>18779</v>
      </c>
      <c r="B357" s="6">
        <f>'Monthly CFS'!C363 * 86400 * DAY(EOMONTH(A357,0)) / 43560</f>
        <v>2304.0392106647896</v>
      </c>
      <c r="C357">
        <v>1613.74396</v>
      </c>
    </row>
    <row r="358" spans="1:3" x14ac:dyDescent="0.25">
      <c r="A358" s="4">
        <v>18809</v>
      </c>
      <c r="B358" s="6">
        <f>'Monthly CFS'!C364 * 86400 * DAY(EOMONTH(A358,0)) / 43560</f>
        <v>3029.8940420080658</v>
      </c>
      <c r="C358">
        <v>2229.7154700000001</v>
      </c>
    </row>
    <row r="359" spans="1:3" x14ac:dyDescent="0.25">
      <c r="A359" s="4">
        <v>18840</v>
      </c>
      <c r="B359" s="6">
        <f>'Monthly CFS'!C365 * 86400 * DAY(EOMONTH(A359,0)) / 43560</f>
        <v>3887.7224194573914</v>
      </c>
      <c r="C359">
        <v>3130.8904779999998</v>
      </c>
    </row>
    <row r="360" spans="1:3" x14ac:dyDescent="0.25">
      <c r="A360" s="4">
        <v>18871</v>
      </c>
      <c r="B360" s="6">
        <f>'Monthly CFS'!C366 * 86400 * DAY(EOMONTH(A360,0)) / 43560</f>
        <v>4250.6499170690286</v>
      </c>
      <c r="C360">
        <v>3887.7225060000001</v>
      </c>
    </row>
    <row r="361" spans="1:3" x14ac:dyDescent="0.25">
      <c r="A361" s="4">
        <v>18901</v>
      </c>
      <c r="B361" s="6">
        <f>'Monthly CFS'!C367 * 86400 * DAY(EOMONTH(A361,0)) / 43560</f>
        <v>3585.2828654276932</v>
      </c>
      <c r="C361">
        <v>4113.5323010000002</v>
      </c>
    </row>
    <row r="362" spans="1:3" x14ac:dyDescent="0.25">
      <c r="A362" s="4">
        <v>18932</v>
      </c>
      <c r="B362" s="6">
        <f>'Monthly CFS'!C368 * 86400 * DAY(EOMONTH(A362,0)) / 43560</f>
        <v>2441.5116681819259</v>
      </c>
      <c r="C362">
        <v>3704.792289</v>
      </c>
    </row>
    <row r="363" spans="1:3" x14ac:dyDescent="0.25">
      <c r="A363" s="4">
        <v>18962</v>
      </c>
      <c r="B363" s="6">
        <f>'Monthly CFS'!C369 * 86400 * DAY(EOMONTH(A363,0)) / 43560</f>
        <v>1550.6899042060882</v>
      </c>
      <c r="C363">
        <v>2362.7533210000001</v>
      </c>
    </row>
    <row r="364" spans="1:3" x14ac:dyDescent="0.25">
      <c r="A364" s="4">
        <v>18993</v>
      </c>
      <c r="B364" s="6">
        <f>'Monthly CFS'!C370 * 86400 * DAY(EOMONTH(A364,0)) / 43560</f>
        <v>1275.7448662618176</v>
      </c>
      <c r="C364">
        <v>1602.3795749999999</v>
      </c>
    </row>
    <row r="365" spans="1:3" x14ac:dyDescent="0.25">
      <c r="A365" s="4">
        <v>19024</v>
      </c>
      <c r="B365" s="6">
        <f>'Monthly CFS'!C371 * 86400 * DAY(EOMONTH(A365,0)) / 43560</f>
        <v>1215.2569226798773</v>
      </c>
      <c r="C365">
        <v>1275.7448609999999</v>
      </c>
    </row>
    <row r="366" spans="1:3" x14ac:dyDescent="0.25">
      <c r="A366" s="4">
        <v>19053</v>
      </c>
      <c r="B366" s="6">
        <f>'Monthly CFS'!C372 * 86400 * DAY(EOMONTH(A366,0)) / 43560</f>
        <v>1083.2833765738278</v>
      </c>
      <c r="C366">
        <v>1136.8532640000001</v>
      </c>
    </row>
    <row r="367" spans="1:3" x14ac:dyDescent="0.25">
      <c r="A367" s="4">
        <v>19084</v>
      </c>
      <c r="B367" s="6">
        <f>'Monthly CFS'!C373 * 86400 * DAY(EOMONTH(A367,0)) / 43560</f>
        <v>1314.2371232294154</v>
      </c>
      <c r="C367">
        <v>1157.992526</v>
      </c>
    </row>
    <row r="368" spans="1:3" x14ac:dyDescent="0.25">
      <c r="A368" s="4">
        <v>19114</v>
      </c>
      <c r="B368" s="6">
        <f>'Monthly CFS'!C374 * 86400 * DAY(EOMONTH(A368,0)) / 43560</f>
        <v>1561.6876860582588</v>
      </c>
      <c r="C368">
        <v>1271.8423760000001</v>
      </c>
    </row>
    <row r="369" spans="1:3" x14ac:dyDescent="0.25">
      <c r="A369" s="4">
        <v>19145</v>
      </c>
      <c r="B369" s="6">
        <f>'Monthly CFS'!C375 * 86400 * DAY(EOMONTH(A369,0)) / 43560</f>
        <v>2304.039210664791</v>
      </c>
      <c r="C369">
        <v>1613.74396</v>
      </c>
    </row>
    <row r="370" spans="1:3" x14ac:dyDescent="0.25">
      <c r="A370" s="4">
        <v>19175</v>
      </c>
      <c r="B370" s="6">
        <f>'Monthly CFS'!C376 * 86400 * DAY(EOMONTH(A370,0)) / 43560</f>
        <v>3029.8940420080648</v>
      </c>
      <c r="C370">
        <v>2229.7154700000001</v>
      </c>
    </row>
    <row r="371" spans="1:3" x14ac:dyDescent="0.25">
      <c r="A371" s="4">
        <v>19206</v>
      </c>
      <c r="B371" s="6">
        <f>'Monthly CFS'!C377 * 86400 * DAY(EOMONTH(A371,0)) / 43560</f>
        <v>3887.7224194573914</v>
      </c>
      <c r="C371">
        <v>3130.8904779999998</v>
      </c>
    </row>
    <row r="372" spans="1:3" x14ac:dyDescent="0.25">
      <c r="A372" s="4">
        <v>19237</v>
      </c>
      <c r="B372" s="6">
        <f>'Monthly CFS'!C378 * 86400 * DAY(EOMONTH(A372,0)) / 43560</f>
        <v>4250.6499170690286</v>
      </c>
      <c r="C372">
        <v>3887.7225060000001</v>
      </c>
    </row>
    <row r="373" spans="1:3" x14ac:dyDescent="0.25">
      <c r="A373" s="4">
        <v>19267</v>
      </c>
      <c r="B373" s="6">
        <f>'Monthly CFS'!C379 * 86400 * DAY(EOMONTH(A373,0)) / 43560</f>
        <v>3585.2828654276946</v>
      </c>
      <c r="C373">
        <v>4113.5323010000002</v>
      </c>
    </row>
    <row r="374" spans="1:3" x14ac:dyDescent="0.25">
      <c r="A374" s="4">
        <v>19298</v>
      </c>
      <c r="B374" s="6">
        <f>'Monthly CFS'!C380 * 86400 * DAY(EOMONTH(A374,0)) / 43560</f>
        <v>2441.5116681819277</v>
      </c>
      <c r="C374">
        <v>3704.792289</v>
      </c>
    </row>
    <row r="375" spans="1:3" x14ac:dyDescent="0.25">
      <c r="A375" s="4">
        <v>19328</v>
      </c>
      <c r="B375" s="6">
        <f>'Monthly CFS'!C381 * 86400 * DAY(EOMONTH(A375,0)) / 43560</f>
        <v>1550.6899042060877</v>
      </c>
      <c r="C375">
        <v>2362.7533210000001</v>
      </c>
    </row>
    <row r="376" spans="1:3" x14ac:dyDescent="0.25">
      <c r="A376" s="4">
        <v>19359</v>
      </c>
      <c r="B376" s="6">
        <f>'Monthly CFS'!C382 * 86400 * DAY(EOMONTH(A376,0)) / 43560</f>
        <v>1275.7448662618169</v>
      </c>
      <c r="C376">
        <v>1602.3795749999999</v>
      </c>
    </row>
    <row r="377" spans="1:3" x14ac:dyDescent="0.25">
      <c r="A377" s="4">
        <v>19390</v>
      </c>
      <c r="B377" s="6">
        <f>'Monthly CFS'!C383 * 86400 * DAY(EOMONTH(A377,0)) / 43560</f>
        <v>1215.2569226798782</v>
      </c>
      <c r="C377">
        <v>1275.7448609999999</v>
      </c>
    </row>
    <row r="378" spans="1:3" x14ac:dyDescent="0.25">
      <c r="A378" s="4">
        <v>19418</v>
      </c>
      <c r="B378" s="6">
        <f>'Monthly CFS'!C384 * 86400 * DAY(EOMONTH(A378,0)) / 43560</f>
        <v>1083.2833765738271</v>
      </c>
      <c r="C378">
        <v>1097.6514279999999</v>
      </c>
    </row>
    <row r="379" spans="1:3" x14ac:dyDescent="0.25">
      <c r="A379" s="4">
        <v>19449</v>
      </c>
      <c r="B379" s="6">
        <f>'Monthly CFS'!C385 * 86400 * DAY(EOMONTH(A379,0)) / 43560</f>
        <v>1314.2371232294161</v>
      </c>
      <c r="C379">
        <v>1199.3494270000001</v>
      </c>
    </row>
    <row r="380" spans="1:3" x14ac:dyDescent="0.25">
      <c r="A380" s="4">
        <v>19479</v>
      </c>
      <c r="B380" s="6">
        <f>'Monthly CFS'!C386 * 86400 * DAY(EOMONTH(A380,0)) / 43560</f>
        <v>1561.6876860582595</v>
      </c>
      <c r="C380">
        <v>1271.8423760000001</v>
      </c>
    </row>
    <row r="381" spans="1:3" x14ac:dyDescent="0.25">
      <c r="A381" s="4">
        <v>19510</v>
      </c>
      <c r="B381" s="6">
        <f>'Monthly CFS'!C387 * 86400 * DAY(EOMONTH(A381,0)) / 43560</f>
        <v>2304.0392106647919</v>
      </c>
      <c r="C381">
        <v>1613.74396</v>
      </c>
    </row>
    <row r="382" spans="1:3" x14ac:dyDescent="0.25">
      <c r="A382" s="4">
        <v>19540</v>
      </c>
      <c r="B382" s="6">
        <f>'Monthly CFS'!C388 * 86400 * DAY(EOMONTH(A382,0)) / 43560</f>
        <v>3029.8940420080676</v>
      </c>
      <c r="C382">
        <v>2229.7154700000001</v>
      </c>
    </row>
    <row r="383" spans="1:3" x14ac:dyDescent="0.25">
      <c r="A383" s="4">
        <v>19571</v>
      </c>
      <c r="B383" s="6">
        <f>'Monthly CFS'!C389 * 86400 * DAY(EOMONTH(A383,0)) / 43560</f>
        <v>3887.7224194573919</v>
      </c>
      <c r="C383">
        <v>3130.8904779999998</v>
      </c>
    </row>
    <row r="384" spans="1:3" x14ac:dyDescent="0.25">
      <c r="A384" s="4">
        <v>19602</v>
      </c>
      <c r="B384" s="6">
        <f>'Monthly CFS'!C390 * 86400 * DAY(EOMONTH(A384,0)) / 43560</f>
        <v>4250.6499170690295</v>
      </c>
      <c r="C384">
        <v>3887.7225060000001</v>
      </c>
    </row>
    <row r="385" spans="1:3" x14ac:dyDescent="0.25">
      <c r="A385" s="4">
        <v>19632</v>
      </c>
      <c r="B385" s="6">
        <f>'Monthly CFS'!C391 * 86400 * DAY(EOMONTH(A385,0)) / 43560</f>
        <v>3585.2828654276959</v>
      </c>
      <c r="C385">
        <v>4113.5323010000002</v>
      </c>
    </row>
    <row r="386" spans="1:3" x14ac:dyDescent="0.25">
      <c r="A386" s="4">
        <v>19663</v>
      </c>
      <c r="B386" s="6">
        <f>'Monthly CFS'!C392 * 86400 * DAY(EOMONTH(A386,0)) / 43560</f>
        <v>2441.5116681819263</v>
      </c>
      <c r="C386">
        <v>3704.792289</v>
      </c>
    </row>
    <row r="387" spans="1:3" x14ac:dyDescent="0.25">
      <c r="A387" s="4">
        <v>19693</v>
      </c>
      <c r="B387" s="6">
        <f>'Monthly CFS'!C393 * 86400 * DAY(EOMONTH(A387,0)) / 43560</f>
        <v>1550.6899042060888</v>
      </c>
      <c r="C387">
        <v>2362.7533210000001</v>
      </c>
    </row>
    <row r="388" spans="1:3" x14ac:dyDescent="0.25">
      <c r="A388" s="4">
        <v>19724</v>
      </c>
      <c r="B388" s="6">
        <f>'Monthly CFS'!C394 * 86400 * DAY(EOMONTH(A388,0)) / 43560</f>
        <v>1275.7448662618178</v>
      </c>
      <c r="C388">
        <v>1602.3795749999999</v>
      </c>
    </row>
    <row r="389" spans="1:3" x14ac:dyDescent="0.25">
      <c r="A389" s="4">
        <v>19755</v>
      </c>
      <c r="B389" s="6">
        <f>'Monthly CFS'!C395 * 86400 * DAY(EOMONTH(A389,0)) / 43560</f>
        <v>188.44018654851169</v>
      </c>
      <c r="C389">
        <v>1275.7448609999999</v>
      </c>
    </row>
    <row r="390" spans="1:3" x14ac:dyDescent="0.25">
      <c r="A390" s="4">
        <v>19783</v>
      </c>
      <c r="B390" s="6">
        <f>'Monthly CFS'!C396 * 86400 * DAY(EOMONTH(A390,0)) / 43560</f>
        <v>608.07017923828437</v>
      </c>
      <c r="C390">
        <v>170.20403899999999</v>
      </c>
    </row>
    <row r="391" spans="1:3" x14ac:dyDescent="0.25">
      <c r="A391" s="4">
        <v>19814</v>
      </c>
      <c r="B391" s="6">
        <f>'Monthly CFS'!C397 * 86400 * DAY(EOMONTH(A391,0)) / 43560</f>
        <v>862.26529946117398</v>
      </c>
      <c r="C391">
        <v>673.22057800000005</v>
      </c>
    </row>
    <row r="392" spans="1:3" x14ac:dyDescent="0.25">
      <c r="A392" s="4">
        <v>19844</v>
      </c>
      <c r="B392" s="6">
        <f>'Monthly CFS'!C398 * 86400 * DAY(EOMONTH(A392,0)) / 43560</f>
        <v>1467.0898949684408</v>
      </c>
      <c r="C392">
        <v>834.45026600000006</v>
      </c>
    </row>
    <row r="393" spans="1:3" x14ac:dyDescent="0.25">
      <c r="A393" s="4">
        <v>19875</v>
      </c>
      <c r="B393" s="6">
        <f>'Monthly CFS'!C399 * 86400 * DAY(EOMONTH(A393,0)) / 43560</f>
        <v>2304.039210664791</v>
      </c>
      <c r="C393">
        <v>1515.9928520000001</v>
      </c>
    </row>
    <row r="394" spans="1:3" x14ac:dyDescent="0.25">
      <c r="A394" s="4">
        <v>19905</v>
      </c>
      <c r="B394" s="6">
        <f>'Monthly CFS'!C400 * 86400 * DAY(EOMONTH(A394,0)) / 43560</f>
        <v>3029.8940420080658</v>
      </c>
      <c r="C394">
        <v>2229.7154700000001</v>
      </c>
    </row>
    <row r="395" spans="1:3" x14ac:dyDescent="0.25">
      <c r="A395" s="4">
        <v>19936</v>
      </c>
      <c r="B395" s="6">
        <f>'Monthly CFS'!C401 * 86400 * DAY(EOMONTH(A395,0)) / 43560</f>
        <v>3887.7224194573919</v>
      </c>
      <c r="C395">
        <v>3130.8904779999998</v>
      </c>
    </row>
    <row r="396" spans="1:3" x14ac:dyDescent="0.25">
      <c r="A396" s="4">
        <v>19967</v>
      </c>
      <c r="B396" s="6">
        <f>'Monthly CFS'!C402 * 86400 * DAY(EOMONTH(A396,0)) / 43560</f>
        <v>4250.6499170690313</v>
      </c>
      <c r="C396">
        <v>3887.7225060000001</v>
      </c>
    </row>
    <row r="397" spans="1:3" x14ac:dyDescent="0.25">
      <c r="A397" s="4">
        <v>19997</v>
      </c>
      <c r="B397" s="6">
        <f>'Monthly CFS'!C403 * 86400 * DAY(EOMONTH(A397,0)) / 43560</f>
        <v>3585.282865427695</v>
      </c>
      <c r="C397">
        <v>4113.5323010000002</v>
      </c>
    </row>
    <row r="398" spans="1:3" x14ac:dyDescent="0.25">
      <c r="A398" s="4">
        <v>20028</v>
      </c>
      <c r="B398" s="6">
        <f>'Monthly CFS'!C404 * 86400 * DAY(EOMONTH(A398,0)) / 43560</f>
        <v>2441.5116681819272</v>
      </c>
      <c r="C398">
        <v>3704.792289</v>
      </c>
    </row>
    <row r="399" spans="1:3" x14ac:dyDescent="0.25">
      <c r="A399" s="4">
        <v>20058</v>
      </c>
      <c r="B399" s="6">
        <f>'Monthly CFS'!C405 * 86400 * DAY(EOMONTH(A399,0)) / 43560</f>
        <v>1550.6899042060877</v>
      </c>
      <c r="C399">
        <v>2362.7533210000001</v>
      </c>
    </row>
    <row r="400" spans="1:3" x14ac:dyDescent="0.25">
      <c r="A400" s="4">
        <v>20089</v>
      </c>
      <c r="B400" s="6">
        <f>'Monthly CFS'!C406 * 86400 * DAY(EOMONTH(A400,0)) / 43560</f>
        <v>1275.7448662618176</v>
      </c>
      <c r="C400">
        <v>1602.3795749999999</v>
      </c>
    </row>
    <row r="401" spans="1:3" x14ac:dyDescent="0.25">
      <c r="A401" s="4">
        <v>20120</v>
      </c>
      <c r="B401" s="6">
        <f>'Monthly CFS'!C407 * 86400 * DAY(EOMONTH(A401,0)) / 43560</f>
        <v>133.67826149478657</v>
      </c>
      <c r="C401">
        <v>1275.7448609999999</v>
      </c>
    </row>
    <row r="402" spans="1:3" x14ac:dyDescent="0.25">
      <c r="A402" s="4">
        <v>20148</v>
      </c>
      <c r="B402" s="6">
        <f>'Monthly CFS'!C408 * 86400 * DAY(EOMONTH(A402,0)) / 43560</f>
        <v>119.16117142312102</v>
      </c>
      <c r="C402">
        <v>120.741653</v>
      </c>
    </row>
    <row r="403" spans="1:3" x14ac:dyDescent="0.25">
      <c r="A403" s="4">
        <v>20179</v>
      </c>
      <c r="B403" s="6">
        <f>'Monthly CFS'!C409 * 86400 * DAY(EOMONTH(A403,0)) / 43560</f>
        <v>227.51100046451558</v>
      </c>
      <c r="C403">
        <v>131.928437</v>
      </c>
    </row>
    <row r="404" spans="1:3" x14ac:dyDescent="0.25">
      <c r="A404" s="4">
        <v>20209</v>
      </c>
      <c r="B404" s="6">
        <f>'Monthly CFS'!C410 * 86400 * DAY(EOMONTH(A404,0)) / 43560</f>
        <v>309.75906445522861</v>
      </c>
      <c r="C404">
        <v>220.171932</v>
      </c>
    </row>
    <row r="405" spans="1:3" x14ac:dyDescent="0.25">
      <c r="A405" s="4">
        <v>20240</v>
      </c>
      <c r="B405" s="6">
        <f>'Monthly CFS'!C411 * 86400 * DAY(EOMONTH(A405,0)) / 43560</f>
        <v>491.75361594891189</v>
      </c>
      <c r="C405">
        <v>320.08436999999998</v>
      </c>
    </row>
    <row r="406" spans="1:3" x14ac:dyDescent="0.25">
      <c r="A406" s="4">
        <v>20270</v>
      </c>
      <c r="B406" s="6">
        <f>'Monthly CFS'!C412 * 86400 * DAY(EOMONTH(A406,0)) / 43560</f>
        <v>646.67360876624514</v>
      </c>
      <c r="C406">
        <v>475.89059300000002</v>
      </c>
    </row>
    <row r="407" spans="1:3" x14ac:dyDescent="0.25">
      <c r="A407" s="4">
        <v>20301</v>
      </c>
      <c r="B407" s="6">
        <f>'Monthly CFS'!C413 * 86400 * DAY(EOMONTH(A407,0)) / 43560</f>
        <v>829.76086028597047</v>
      </c>
      <c r="C407">
        <v>668.22938999999997</v>
      </c>
    </row>
    <row r="408" spans="1:3" x14ac:dyDescent="0.25">
      <c r="A408" s="4">
        <v>20332</v>
      </c>
      <c r="B408" s="6">
        <f>'Monthly CFS'!C414 * 86400 * DAY(EOMONTH(A408,0)) / 43560</f>
        <v>907.22087418318108</v>
      </c>
      <c r="C408">
        <v>829.76083300000005</v>
      </c>
    </row>
    <row r="409" spans="1:3" x14ac:dyDescent="0.25">
      <c r="A409" s="4">
        <v>20362</v>
      </c>
      <c r="B409" s="6">
        <f>'Monthly CFS'!C415 * 86400 * DAY(EOMONTH(A409,0)) / 43560</f>
        <v>765.21085453447631</v>
      </c>
      <c r="C409">
        <v>877.95567200000005</v>
      </c>
    </row>
    <row r="410" spans="1:3" x14ac:dyDescent="0.25">
      <c r="A410" s="4">
        <v>20393</v>
      </c>
      <c r="B410" s="6">
        <f>'Monthly CFS'!C416 * 86400 * DAY(EOMONTH(A410,0)) / 43560</f>
        <v>521.09451334532787</v>
      </c>
      <c r="C410">
        <v>790.71789100000001</v>
      </c>
    </row>
    <row r="411" spans="1:3" x14ac:dyDescent="0.25">
      <c r="A411" s="4">
        <v>20423</v>
      </c>
      <c r="B411" s="6">
        <f>'Monthly CFS'!C417 * 86400 * DAY(EOMONTH(A411,0)) / 43560</f>
        <v>330.96544715000442</v>
      </c>
      <c r="C411">
        <v>504.28500200000002</v>
      </c>
    </row>
    <row r="412" spans="1:3" x14ac:dyDescent="0.25">
      <c r="A412" s="4">
        <v>20454</v>
      </c>
      <c r="B412" s="6">
        <f>'Monthly CFS'!C418 * 86400 * DAY(EOMONTH(A412,0)) / 43560</f>
        <v>272.28362612435666</v>
      </c>
      <c r="C412">
        <v>341.997614</v>
      </c>
    </row>
    <row r="413" spans="1:3" x14ac:dyDescent="0.25">
      <c r="A413" s="4">
        <v>20485</v>
      </c>
      <c r="B413" s="6">
        <f>'Monthly CFS'!C419 * 86400 * DAY(EOMONTH(A413,0)) / 43560</f>
        <v>1215.2569226798778</v>
      </c>
      <c r="C413">
        <v>272.283613</v>
      </c>
    </row>
    <row r="414" spans="1:3" x14ac:dyDescent="0.25">
      <c r="A414" s="4">
        <v>20514</v>
      </c>
      <c r="B414" s="6">
        <f>'Monthly CFS'!C420 * 86400 * DAY(EOMONTH(A414,0)) / 43560</f>
        <v>1083.2833765738278</v>
      </c>
      <c r="C414">
        <v>1136.8532640000001</v>
      </c>
    </row>
    <row r="415" spans="1:3" x14ac:dyDescent="0.25">
      <c r="A415" s="4">
        <v>20545</v>
      </c>
      <c r="B415" s="6">
        <f>'Monthly CFS'!C421 * 86400 * DAY(EOMONTH(A415,0)) / 43560</f>
        <v>1314.2371232294149</v>
      </c>
      <c r="C415">
        <v>1157.992526</v>
      </c>
    </row>
    <row r="416" spans="1:3" x14ac:dyDescent="0.25">
      <c r="A416" s="4">
        <v>20575</v>
      </c>
      <c r="B416" s="6">
        <f>'Monthly CFS'!C422 * 86400 * DAY(EOMONTH(A416,0)) / 43560</f>
        <v>1561.6876860582588</v>
      </c>
      <c r="C416">
        <v>1271.8423760000001</v>
      </c>
    </row>
    <row r="417" spans="1:3" x14ac:dyDescent="0.25">
      <c r="A417" s="4">
        <v>20606</v>
      </c>
      <c r="B417" s="6">
        <f>'Monthly CFS'!C423 * 86400 * DAY(EOMONTH(A417,0)) / 43560</f>
        <v>2304.0392106647905</v>
      </c>
      <c r="C417">
        <v>1613.74396</v>
      </c>
    </row>
    <row r="418" spans="1:3" x14ac:dyDescent="0.25">
      <c r="A418" s="4">
        <v>20636</v>
      </c>
      <c r="B418" s="6">
        <f>'Monthly CFS'!C424 * 86400 * DAY(EOMONTH(A418,0)) / 43560</f>
        <v>3029.8940420080662</v>
      </c>
      <c r="C418">
        <v>2229.7154700000001</v>
      </c>
    </row>
    <row r="419" spans="1:3" x14ac:dyDescent="0.25">
      <c r="A419" s="4">
        <v>20667</v>
      </c>
      <c r="B419" s="6">
        <f>'Monthly CFS'!C425 * 86400 * DAY(EOMONTH(A419,0)) / 43560</f>
        <v>3887.7224194573919</v>
      </c>
      <c r="C419">
        <v>3130.8904779999998</v>
      </c>
    </row>
    <row r="420" spans="1:3" x14ac:dyDescent="0.25">
      <c r="A420" s="4">
        <v>20698</v>
      </c>
      <c r="B420" s="6">
        <f>'Monthly CFS'!C426 * 86400 * DAY(EOMONTH(A420,0)) / 43560</f>
        <v>4250.6499170690286</v>
      </c>
      <c r="C420">
        <v>3887.7225060000001</v>
      </c>
    </row>
    <row r="421" spans="1:3" x14ac:dyDescent="0.25">
      <c r="A421" s="4">
        <v>20728</v>
      </c>
      <c r="B421" s="6">
        <f>'Monthly CFS'!C427 * 86400 * DAY(EOMONTH(A421,0)) / 43560</f>
        <v>3585.282865427695</v>
      </c>
      <c r="C421">
        <v>4113.5323010000002</v>
      </c>
    </row>
    <row r="422" spans="1:3" x14ac:dyDescent="0.25">
      <c r="A422" s="4">
        <v>20759</v>
      </c>
      <c r="B422" s="6">
        <f>'Monthly CFS'!C428 * 86400 * DAY(EOMONTH(A422,0)) / 43560</f>
        <v>2441.5116681819272</v>
      </c>
      <c r="C422">
        <v>3704.792289</v>
      </c>
    </row>
    <row r="423" spans="1:3" x14ac:dyDescent="0.25">
      <c r="A423" s="4">
        <v>20789</v>
      </c>
      <c r="B423" s="6">
        <f>'Monthly CFS'!C429 * 86400 * DAY(EOMONTH(A423,0)) / 43560</f>
        <v>1550.6899042060884</v>
      </c>
      <c r="C423">
        <v>2362.7533210000001</v>
      </c>
    </row>
    <row r="424" spans="1:3" x14ac:dyDescent="0.25">
      <c r="A424" s="4">
        <v>20820</v>
      </c>
      <c r="B424" s="6">
        <f>'Monthly CFS'!C430 * 86400 * DAY(EOMONTH(A424,0)) / 43560</f>
        <v>1275.7448662618176</v>
      </c>
      <c r="C424">
        <v>1602.3795749999999</v>
      </c>
    </row>
    <row r="425" spans="1:3" x14ac:dyDescent="0.25">
      <c r="A425" s="4">
        <v>20851</v>
      </c>
      <c r="B425" s="6">
        <f>'Monthly CFS'!C431 * 86400 * DAY(EOMONTH(A425,0)) / 43560</f>
        <v>259.33706145568033</v>
      </c>
      <c r="C425">
        <v>1275.7448609999999</v>
      </c>
    </row>
    <row r="426" spans="1:3" x14ac:dyDescent="0.25">
      <c r="A426" s="4">
        <v>20879</v>
      </c>
      <c r="B426" s="6">
        <f>'Monthly CFS'!C432 * 86400 * DAY(EOMONTH(A426,0)) / 43560</f>
        <v>311.08760791984162</v>
      </c>
      <c r="C426">
        <v>234.23992200000001</v>
      </c>
    </row>
    <row r="427" spans="1:3" x14ac:dyDescent="0.25">
      <c r="A427" s="4">
        <v>20910</v>
      </c>
      <c r="B427" s="6">
        <f>'Monthly CFS'!C433 * 86400 * DAY(EOMONTH(A427,0)) / 43560</f>
        <v>780.78234546217823</v>
      </c>
      <c r="C427">
        <v>344.41841399999998</v>
      </c>
    </row>
    <row r="428" spans="1:3" x14ac:dyDescent="0.25">
      <c r="A428" s="4">
        <v>20940</v>
      </c>
      <c r="B428" s="6">
        <f>'Monthly CFS'!C434 * 86400 * DAY(EOMONTH(A428,0)) / 43560</f>
        <v>1254.1511248528982</v>
      </c>
      <c r="C428">
        <v>755.59583899999996</v>
      </c>
    </row>
    <row r="429" spans="1:3" x14ac:dyDescent="0.25">
      <c r="A429" s="4">
        <v>20971</v>
      </c>
      <c r="B429" s="6">
        <f>'Monthly CFS'!C435 * 86400 * DAY(EOMONTH(A429,0)) / 43560</f>
        <v>1850.3144985755066</v>
      </c>
      <c r="C429">
        <v>1295.9561329999999</v>
      </c>
    </row>
    <row r="430" spans="1:3" x14ac:dyDescent="0.25">
      <c r="A430" s="4">
        <v>21001</v>
      </c>
      <c r="B430" s="6">
        <f>'Monthly CFS'!C436 * 86400 * DAY(EOMONTH(A430,0)) / 43560</f>
        <v>2433.2298031757387</v>
      </c>
      <c r="C430">
        <v>1790.626892</v>
      </c>
    </row>
    <row r="431" spans="1:3" x14ac:dyDescent="0.25">
      <c r="A431" s="4">
        <v>21032</v>
      </c>
      <c r="B431" s="6">
        <f>'Monthly CFS'!C437 * 86400 * DAY(EOMONTH(A431,0)) / 43560</f>
        <v>3122.1296607549921</v>
      </c>
      <c r="C431">
        <v>2514.3373649999999</v>
      </c>
    </row>
    <row r="432" spans="1:3" x14ac:dyDescent="0.25">
      <c r="A432" s="4">
        <v>21063</v>
      </c>
      <c r="B432" s="6">
        <f>'Monthly CFS'!C438 * 86400 * DAY(EOMONTH(A432,0)) / 43560</f>
        <v>3413.5873788590075</v>
      </c>
      <c r="C432">
        <v>3122.1295540000001</v>
      </c>
    </row>
    <row r="433" spans="1:3" x14ac:dyDescent="0.25">
      <c r="A433" s="4">
        <v>21093</v>
      </c>
      <c r="B433" s="6">
        <f>'Monthly CFS'!C439 * 86400 * DAY(EOMONTH(A433,0)) / 43560</f>
        <v>2879.2482509362781</v>
      </c>
      <c r="C433">
        <v>3303.47174</v>
      </c>
    </row>
    <row r="434" spans="1:3" x14ac:dyDescent="0.25">
      <c r="A434" s="4">
        <v>21124</v>
      </c>
      <c r="B434" s="6">
        <f>'Monthly CFS'!C440 * 86400 * DAY(EOMONTH(A434,0)) / 43560</f>
        <v>1960.7150855626385</v>
      </c>
      <c r="C434">
        <v>2975.223242</v>
      </c>
    </row>
    <row r="435" spans="1:3" x14ac:dyDescent="0.25">
      <c r="A435" s="4">
        <v>21154</v>
      </c>
      <c r="B435" s="6">
        <f>'Monthly CFS'!C441 * 86400 * DAY(EOMONTH(A435,0)) / 43560</f>
        <v>1245.3190897386303</v>
      </c>
      <c r="C435">
        <v>1897.4662089999999</v>
      </c>
    </row>
    <row r="436" spans="1:3" x14ac:dyDescent="0.25">
      <c r="A436" s="4">
        <v>21185</v>
      </c>
      <c r="B436" s="6">
        <f>'Monthly CFS'!C442 * 86400 * DAY(EOMONTH(A436,0)) / 43560</f>
        <v>1024.5178170585134</v>
      </c>
      <c r="C436">
        <v>1286.8297709999999</v>
      </c>
    </row>
    <row r="437" spans="1:3" x14ac:dyDescent="0.25">
      <c r="A437" s="4">
        <v>21216</v>
      </c>
      <c r="B437" s="6">
        <f>'Monthly CFS'!C443 * 86400 * DAY(EOMONTH(A437,0)) / 43560</f>
        <v>853.8290317824825</v>
      </c>
      <c r="C437">
        <v>1024.517863</v>
      </c>
    </row>
    <row r="438" spans="1:3" x14ac:dyDescent="0.25">
      <c r="A438" s="4">
        <v>21244</v>
      </c>
      <c r="B438" s="6">
        <f>'Monthly CFS'!C444 * 86400 * DAY(EOMONTH(A438,0)) / 43560</f>
        <v>0</v>
      </c>
      <c r="C438">
        <v>771.20042000000001</v>
      </c>
    </row>
    <row r="439" spans="1:3" x14ac:dyDescent="0.25">
      <c r="A439" s="4">
        <v>21275</v>
      </c>
      <c r="B439" s="6">
        <f>'Monthly CFS'!C445 * 86400 * DAY(EOMONTH(A439,0)) / 43560</f>
        <v>1314.2371232294154</v>
      </c>
      <c r="C439">
        <v>0</v>
      </c>
    </row>
    <row r="440" spans="1:3" x14ac:dyDescent="0.25">
      <c r="A440" s="4">
        <v>21305</v>
      </c>
      <c r="B440" s="6">
        <f>'Monthly CFS'!C446 * 86400 * DAY(EOMONTH(A440,0)) / 43560</f>
        <v>1561.6876860582588</v>
      </c>
      <c r="C440">
        <v>1271.8423760000001</v>
      </c>
    </row>
    <row r="441" spans="1:3" x14ac:dyDescent="0.25">
      <c r="A441" s="4">
        <v>21336</v>
      </c>
      <c r="B441" s="6">
        <f>'Monthly CFS'!C447 * 86400 * DAY(EOMONTH(A441,0)) / 43560</f>
        <v>2304.0392106647905</v>
      </c>
      <c r="C441">
        <v>1613.74396</v>
      </c>
    </row>
    <row r="442" spans="1:3" x14ac:dyDescent="0.25">
      <c r="A442" s="4">
        <v>21366</v>
      </c>
      <c r="B442" s="6">
        <f>'Monthly CFS'!C448 * 86400 * DAY(EOMONTH(A442,0)) / 43560</f>
        <v>3029.8940420080658</v>
      </c>
      <c r="C442">
        <v>2229.7154700000001</v>
      </c>
    </row>
    <row r="443" spans="1:3" x14ac:dyDescent="0.25">
      <c r="A443" s="4">
        <v>21397</v>
      </c>
      <c r="B443" s="6">
        <f>'Monthly CFS'!C449 * 86400 * DAY(EOMONTH(A443,0)) / 43560</f>
        <v>3887.7224194573919</v>
      </c>
      <c r="C443">
        <v>3130.8904779999998</v>
      </c>
    </row>
    <row r="444" spans="1:3" x14ac:dyDescent="0.25">
      <c r="A444" s="4">
        <v>21428</v>
      </c>
      <c r="B444" s="6">
        <f>'Monthly CFS'!C450 * 86400 * DAY(EOMONTH(A444,0)) / 43560</f>
        <v>4250.6499170690313</v>
      </c>
      <c r="C444">
        <v>3887.7225060000001</v>
      </c>
    </row>
    <row r="445" spans="1:3" x14ac:dyDescent="0.25">
      <c r="A445" s="4">
        <v>21458</v>
      </c>
      <c r="B445" s="6">
        <f>'Monthly CFS'!C451 * 86400 * DAY(EOMONTH(A445,0)) / 43560</f>
        <v>3585.2828654276946</v>
      </c>
      <c r="C445">
        <v>4113.5323010000002</v>
      </c>
    </row>
    <row r="446" spans="1:3" x14ac:dyDescent="0.25">
      <c r="A446" s="4">
        <v>21489</v>
      </c>
      <c r="B446" s="6">
        <f>'Monthly CFS'!C452 * 86400 * DAY(EOMONTH(A446,0)) / 43560</f>
        <v>2441.5116681819263</v>
      </c>
      <c r="C446">
        <v>3704.792289</v>
      </c>
    </row>
    <row r="447" spans="1:3" x14ac:dyDescent="0.25">
      <c r="A447" s="4">
        <v>21519</v>
      </c>
      <c r="B447" s="6">
        <f>'Monthly CFS'!C453 * 86400 * DAY(EOMONTH(A447,0)) / 43560</f>
        <v>1550.6899042060882</v>
      </c>
      <c r="C447">
        <v>2362.7533210000001</v>
      </c>
    </row>
    <row r="448" spans="1:3" x14ac:dyDescent="0.25">
      <c r="A448" s="4">
        <v>21550</v>
      </c>
      <c r="B448" s="6">
        <f>'Monthly CFS'!C454 * 86400 * DAY(EOMONTH(A448,0)) / 43560</f>
        <v>1275.7448662618178</v>
      </c>
      <c r="C448">
        <v>1602.3795749999999</v>
      </c>
    </row>
    <row r="449" spans="1:3" x14ac:dyDescent="0.25">
      <c r="A449" s="4">
        <v>21581</v>
      </c>
      <c r="B449" s="6">
        <f>'Monthly CFS'!C455 * 86400 * DAY(EOMONTH(A449,0)) / 43560</f>
        <v>766.28081167588107</v>
      </c>
      <c r="C449">
        <v>1275.7448609999999</v>
      </c>
    </row>
    <row r="450" spans="1:3" x14ac:dyDescent="0.25">
      <c r="A450" s="4">
        <v>21609</v>
      </c>
      <c r="B450" s="6">
        <f>'Monthly CFS'!C456 * 86400 * DAY(EOMONTH(A450,0)) / 43560</f>
        <v>668.84011641393647</v>
      </c>
      <c r="C450">
        <v>692.12458300000003</v>
      </c>
    </row>
    <row r="451" spans="1:3" x14ac:dyDescent="0.25">
      <c r="A451" s="4">
        <v>21640</v>
      </c>
      <c r="B451" s="6">
        <f>'Monthly CFS'!C457 * 86400 * DAY(EOMONTH(A451,0)) / 43560</f>
        <v>852.1045620995036</v>
      </c>
      <c r="C451">
        <v>740.50155299999994</v>
      </c>
    </row>
    <row r="452" spans="1:3" x14ac:dyDescent="0.25">
      <c r="A452" s="4">
        <v>21670</v>
      </c>
      <c r="B452" s="6">
        <f>'Monthly CFS'!C458 * 86400 * DAY(EOMONTH(A452,0)) / 43560</f>
        <v>1285.4147744224354</v>
      </c>
      <c r="C452">
        <v>824.61733200000003</v>
      </c>
    </row>
    <row r="453" spans="1:3" x14ac:dyDescent="0.25">
      <c r="A453" s="4">
        <v>21701</v>
      </c>
      <c r="B453" s="6">
        <f>'Monthly CFS'!C459 * 86400 * DAY(EOMONTH(A453,0)) / 43560</f>
        <v>1896.4393896915469</v>
      </c>
      <c r="C453">
        <v>1328.2619649999999</v>
      </c>
    </row>
    <row r="454" spans="1:3" x14ac:dyDescent="0.25">
      <c r="A454" s="4">
        <v>21731</v>
      </c>
      <c r="B454" s="6">
        <f>'Monthly CFS'!C460 * 86400 * DAY(EOMONTH(A454,0)) / 43560</f>
        <v>2493.8856861719469</v>
      </c>
      <c r="C454">
        <v>1835.2639569999999</v>
      </c>
    </row>
    <row r="455" spans="1:3" x14ac:dyDescent="0.25">
      <c r="A455" s="4">
        <v>21762</v>
      </c>
      <c r="B455" s="6">
        <f>'Monthly CFS'!C461 * 86400 * DAY(EOMONTH(A455,0)) / 43560</f>
        <v>3199.9585329620395</v>
      </c>
      <c r="C455">
        <v>2577.0151080000001</v>
      </c>
    </row>
    <row r="456" spans="1:3" x14ac:dyDescent="0.25">
      <c r="A456" s="4">
        <v>21793</v>
      </c>
      <c r="B456" s="6">
        <f>'Monthly CFS'!C462 * 86400 * DAY(EOMONTH(A456,0)) / 43560</f>
        <v>3498.6817486465106</v>
      </c>
      <c r="C456">
        <v>3199.9584810000001</v>
      </c>
    </row>
    <row r="457" spans="1:3" x14ac:dyDescent="0.25">
      <c r="A457" s="4">
        <v>21823</v>
      </c>
      <c r="B457" s="6">
        <f>'Monthly CFS'!C463 * 86400 * DAY(EOMONTH(A457,0)) / 43560</f>
        <v>2951.0225423730717</v>
      </c>
      <c r="C457">
        <v>3385.8210789999998</v>
      </c>
    </row>
    <row r="458" spans="1:3" x14ac:dyDescent="0.25">
      <c r="A458" s="4">
        <v>21854</v>
      </c>
      <c r="B458" s="6">
        <f>'Monthly CFS'!C464 * 86400 * DAY(EOMONTH(A458,0)) / 43560</f>
        <v>2009.5920575048578</v>
      </c>
      <c r="C458">
        <v>3049.3900370000001</v>
      </c>
    </row>
    <row r="459" spans="1:3" x14ac:dyDescent="0.25">
      <c r="A459" s="4">
        <v>21884</v>
      </c>
      <c r="B459" s="6">
        <f>'Monthly CFS'!C465 * 86400 * DAY(EOMONTH(A459,0)) / 43560</f>
        <v>1276.36257313734</v>
      </c>
      <c r="C459">
        <v>1944.766437</v>
      </c>
    </row>
    <row r="460" spans="1:3" x14ac:dyDescent="0.25">
      <c r="A460" s="4">
        <v>21915</v>
      </c>
      <c r="B460" s="6">
        <f>'Monthly CFS'!C466 * 86400 * DAY(EOMONTH(A460,0)) / 43560</f>
        <v>1050.0571363443148</v>
      </c>
      <c r="C460">
        <v>1318.9079650000001</v>
      </c>
    </row>
    <row r="461" spans="1:3" x14ac:dyDescent="0.25">
      <c r="A461" s="4">
        <v>21946</v>
      </c>
      <c r="B461" s="6">
        <f>'Monthly CFS'!C467 * 86400 * DAY(EOMONTH(A461,0)) / 43560</f>
        <v>133.67826149478651</v>
      </c>
      <c r="C461">
        <v>1050.057088</v>
      </c>
    </row>
    <row r="462" spans="1:3" x14ac:dyDescent="0.25">
      <c r="A462" s="4">
        <v>21975</v>
      </c>
      <c r="B462" s="6">
        <f>'Monthly CFS'!C468 * 86400 * DAY(EOMONTH(A462,0)) / 43560</f>
        <v>119.16117142312112</v>
      </c>
      <c r="C462">
        <v>125.053855</v>
      </c>
    </row>
    <row r="463" spans="1:3" x14ac:dyDescent="0.25">
      <c r="A463" s="4">
        <v>22006</v>
      </c>
      <c r="B463" s="6">
        <f>'Monthly CFS'!C469 * 86400 * DAY(EOMONTH(A463,0)) / 43560</f>
        <v>144.56608355523571</v>
      </c>
      <c r="C463">
        <v>127.379183</v>
      </c>
    </row>
    <row r="464" spans="1:3" x14ac:dyDescent="0.25">
      <c r="A464" s="4">
        <v>22036</v>
      </c>
      <c r="B464" s="6">
        <f>'Monthly CFS'!C470 * 86400 * DAY(EOMONTH(A464,0)) / 43560</f>
        <v>862.78413895500637</v>
      </c>
      <c r="C464">
        <v>139.90266</v>
      </c>
    </row>
    <row r="465" spans="1:3" x14ac:dyDescent="0.25">
      <c r="A465" s="4">
        <v>22067</v>
      </c>
      <c r="B465" s="6">
        <f>'Monthly CFS'!C471 * 86400 * DAY(EOMONTH(A465,0)) / 43560</f>
        <v>1272.9103931846173</v>
      </c>
      <c r="C465">
        <v>891.54362600000002</v>
      </c>
    </row>
    <row r="466" spans="1:3" x14ac:dyDescent="0.25">
      <c r="A466" s="4">
        <v>22097</v>
      </c>
      <c r="B466" s="6">
        <f>'Monthly CFS'!C472 * 86400 * DAY(EOMONTH(A466,0)) / 43560</f>
        <v>1673.9227346775101</v>
      </c>
      <c r="C466">
        <v>1231.848737</v>
      </c>
    </row>
    <row r="467" spans="1:3" x14ac:dyDescent="0.25">
      <c r="A467" s="4">
        <v>22128</v>
      </c>
      <c r="B467" s="6">
        <f>'Monthly CFS'!C473 * 86400 * DAY(EOMONTH(A467,0)) / 43560</f>
        <v>2147.8463780641523</v>
      </c>
      <c r="C467">
        <v>1729.7201150000001</v>
      </c>
    </row>
    <row r="468" spans="1:3" x14ac:dyDescent="0.25">
      <c r="A468" s="4">
        <v>22159</v>
      </c>
      <c r="B468" s="6">
        <f>'Monthly CFS'!C474 * 86400 * DAY(EOMONTH(A468,0)) / 43560</f>
        <v>2348.3525940799145</v>
      </c>
      <c r="C468">
        <v>2147.8464429999999</v>
      </c>
    </row>
    <row r="469" spans="1:3" x14ac:dyDescent="0.25">
      <c r="A469" s="4">
        <v>22189</v>
      </c>
      <c r="B469" s="6">
        <f>'Monthly CFS'!C475 * 86400 * DAY(EOMONTH(A469,0)) / 43560</f>
        <v>1980.7578798074576</v>
      </c>
      <c r="C469">
        <v>2272.5993760000001</v>
      </c>
    </row>
    <row r="470" spans="1:3" x14ac:dyDescent="0.25">
      <c r="A470" s="4">
        <v>22220</v>
      </c>
      <c r="B470" s="6">
        <f>'Monthly CFS'!C476 * 86400 * DAY(EOMONTH(A470,0)) / 43560</f>
        <v>1348.8596735354943</v>
      </c>
      <c r="C470">
        <v>2046.783044</v>
      </c>
    </row>
    <row r="471" spans="1:3" x14ac:dyDescent="0.25">
      <c r="A471" s="4">
        <v>22250</v>
      </c>
      <c r="B471" s="6">
        <f>'Monthly CFS'!C477 * 86400 * DAY(EOMONTH(A471,0)) / 43560</f>
        <v>856.70820467541319</v>
      </c>
      <c r="C471">
        <v>1305.3480669999999</v>
      </c>
    </row>
    <row r="472" spans="1:3" x14ac:dyDescent="0.25">
      <c r="A472" s="4">
        <v>22281</v>
      </c>
      <c r="B472" s="6">
        <f>'Monthly CFS'!C478 * 86400 * DAY(EOMONTH(A472,0)) / 43560</f>
        <v>704.80957606968673</v>
      </c>
      <c r="C472">
        <v>885.26513199999999</v>
      </c>
    </row>
    <row r="473" spans="1:3" x14ac:dyDescent="0.25">
      <c r="A473" s="4">
        <v>22312</v>
      </c>
      <c r="B473" s="6">
        <f>'Monthly CFS'!C479 * 86400 * DAY(EOMONTH(A473,0)) / 43560</f>
        <v>153.99631990510716</v>
      </c>
      <c r="C473">
        <v>704.80960400000004</v>
      </c>
    </row>
    <row r="474" spans="1:3" x14ac:dyDescent="0.25">
      <c r="A474" s="4">
        <v>22340</v>
      </c>
      <c r="B474" s="6">
        <f>'Monthly CFS'!C480 * 86400 * DAY(EOMONTH(A474,0)) / 43560</f>
        <v>119.16117142312106</v>
      </c>
      <c r="C474">
        <v>139.09344400000001</v>
      </c>
    </row>
    <row r="475" spans="1:3" x14ac:dyDescent="0.25">
      <c r="A475" s="4">
        <v>22371</v>
      </c>
      <c r="B475" s="6">
        <f>'Monthly CFS'!C481 * 86400 * DAY(EOMONTH(A475,0)) / 43560</f>
        <v>747.81948744369799</v>
      </c>
      <c r="C475">
        <v>131.928437</v>
      </c>
    </row>
    <row r="476" spans="1:3" x14ac:dyDescent="0.25">
      <c r="A476" s="4">
        <v>22401</v>
      </c>
      <c r="B476" s="6">
        <f>'Monthly CFS'!C482 * 86400 * DAY(EOMONTH(A476,0)) / 43560</f>
        <v>924.23990672794832</v>
      </c>
      <c r="C476">
        <v>723.69627500000001</v>
      </c>
    </row>
    <row r="477" spans="1:3" x14ac:dyDescent="0.25">
      <c r="A477" s="4">
        <v>22432</v>
      </c>
      <c r="B477" s="6">
        <f>'Monthly CFS'!C483 * 86400 * DAY(EOMONTH(A477,0)) / 43560</f>
        <v>1422.2462217276548</v>
      </c>
      <c r="C477">
        <v>955.04788799999994</v>
      </c>
    </row>
    <row r="478" spans="1:3" x14ac:dyDescent="0.25">
      <c r="A478" s="4">
        <v>22462</v>
      </c>
      <c r="B478" s="6">
        <f>'Monthly CFS'!C484 * 86400 * DAY(EOMONTH(A478,0)) / 43560</f>
        <v>1870.3046951348285</v>
      </c>
      <c r="C478">
        <v>1376.367301</v>
      </c>
    </row>
    <row r="479" spans="1:3" x14ac:dyDescent="0.25">
      <c r="A479" s="4">
        <v>22493</v>
      </c>
      <c r="B479" s="6">
        <f>'Monthly CFS'!C485 * 86400 * DAY(EOMONTH(A479,0)) / 43560</f>
        <v>2399.8283087394966</v>
      </c>
      <c r="C479">
        <v>1932.648158</v>
      </c>
    </row>
    <row r="480" spans="1:3" x14ac:dyDescent="0.25">
      <c r="A480" s="4">
        <v>22524</v>
      </c>
      <c r="B480" s="6">
        <f>'Monthly CFS'!C486 * 86400 * DAY(EOMONTH(A480,0)) / 43560</f>
        <v>2623.8575960233252</v>
      </c>
      <c r="C480">
        <v>2399.8282439999998</v>
      </c>
    </row>
    <row r="481" spans="1:3" x14ac:dyDescent="0.25">
      <c r="A481" s="4">
        <v>22554</v>
      </c>
      <c r="B481" s="6">
        <f>'Monthly CFS'!C487 * 86400 * DAY(EOMONTH(A481,0)) / 43560</f>
        <v>2213.1372528630559</v>
      </c>
      <c r="C481">
        <v>2539.2171309999999</v>
      </c>
    </row>
    <row r="482" spans="1:3" x14ac:dyDescent="0.25">
      <c r="A482" s="4">
        <v>22585</v>
      </c>
      <c r="B482" s="6">
        <f>'Monthly CFS'!C488 * 86400 * DAY(EOMONTH(A482,0)) / 43560</f>
        <v>1507.1057511967508</v>
      </c>
      <c r="C482">
        <v>2286.9084790000002</v>
      </c>
    </row>
    <row r="483" spans="1:3" x14ac:dyDescent="0.25">
      <c r="A483" s="4">
        <v>22615</v>
      </c>
      <c r="B483" s="6">
        <f>'Monthly CFS'!C489 * 86400 * DAY(EOMONTH(A483,0)) / 43560</f>
        <v>957.2158525427094</v>
      </c>
      <c r="C483">
        <v>1458.489423</v>
      </c>
    </row>
    <row r="484" spans="1:3" x14ac:dyDescent="0.25">
      <c r="A484" s="4">
        <v>22646</v>
      </c>
      <c r="B484" s="6">
        <f>'Monthly CFS'!C490 * 86400 * DAY(EOMONTH(A484,0)) / 43560</f>
        <v>787.49671773415764</v>
      </c>
      <c r="C484">
        <v>989.12303799999995</v>
      </c>
    </row>
    <row r="485" spans="1:3" x14ac:dyDescent="0.25">
      <c r="A485" s="4">
        <v>22677</v>
      </c>
      <c r="B485" s="6">
        <f>'Monthly CFS'!C491 * 86400 * DAY(EOMONTH(A485,0)) / 43560</f>
        <v>133.67826149478651</v>
      </c>
      <c r="C485">
        <v>787.49672599999997</v>
      </c>
    </row>
    <row r="486" spans="1:3" x14ac:dyDescent="0.25">
      <c r="A486" s="4">
        <v>22705</v>
      </c>
      <c r="B486" s="6">
        <f>'Monthly CFS'!C492 * 86400 * DAY(EOMONTH(A486,0)) / 43560</f>
        <v>119.16117142312108</v>
      </c>
      <c r="C486">
        <v>120.741653</v>
      </c>
    </row>
    <row r="487" spans="1:3" x14ac:dyDescent="0.25">
      <c r="A487" s="4">
        <v>22736</v>
      </c>
      <c r="B487" s="6">
        <f>'Monthly CFS'!C493 * 86400 * DAY(EOMONTH(A487,0)) / 43560</f>
        <v>840.92431509651999</v>
      </c>
      <c r="C487">
        <v>131.928437</v>
      </c>
    </row>
    <row r="488" spans="1:3" x14ac:dyDescent="0.25">
      <c r="A488" s="4">
        <v>22766</v>
      </c>
      <c r="B488" s="6">
        <f>'Monthly CFS'!C494 * 86400 * DAY(EOMONTH(A488,0)) / 43560</f>
        <v>1561.6876860582588</v>
      </c>
      <c r="C488">
        <v>813.79772800000001</v>
      </c>
    </row>
    <row r="489" spans="1:3" x14ac:dyDescent="0.25">
      <c r="A489" s="4">
        <v>22797</v>
      </c>
      <c r="B489" s="6">
        <f>'Monthly CFS'!C495 * 86400 * DAY(EOMONTH(A489,0)) / 43560</f>
        <v>2304.039210664791</v>
      </c>
      <c r="C489">
        <v>1613.74396</v>
      </c>
    </row>
    <row r="490" spans="1:3" x14ac:dyDescent="0.25">
      <c r="A490" s="4">
        <v>22827</v>
      </c>
      <c r="B490" s="6">
        <f>'Monthly CFS'!C496 * 86400 * DAY(EOMONTH(A490,0)) / 43560</f>
        <v>3029.8940420080662</v>
      </c>
      <c r="C490">
        <v>2229.7154700000001</v>
      </c>
    </row>
    <row r="491" spans="1:3" x14ac:dyDescent="0.25">
      <c r="A491" s="4">
        <v>22858</v>
      </c>
      <c r="B491" s="6">
        <f>'Monthly CFS'!C497 * 86400 * DAY(EOMONTH(A491,0)) / 43560</f>
        <v>3887.7224194573928</v>
      </c>
      <c r="C491">
        <v>3130.8904779999998</v>
      </c>
    </row>
    <row r="492" spans="1:3" x14ac:dyDescent="0.25">
      <c r="A492" s="4">
        <v>22889</v>
      </c>
      <c r="B492" s="6">
        <f>'Monthly CFS'!C498 * 86400 * DAY(EOMONTH(A492,0)) / 43560</f>
        <v>4250.6499170690295</v>
      </c>
      <c r="C492">
        <v>3887.7225060000001</v>
      </c>
    </row>
    <row r="493" spans="1:3" x14ac:dyDescent="0.25">
      <c r="A493" s="4">
        <v>22919</v>
      </c>
      <c r="B493" s="6">
        <f>'Monthly CFS'!C499 * 86400 * DAY(EOMONTH(A493,0)) / 43560</f>
        <v>3585.2828654276946</v>
      </c>
      <c r="C493">
        <v>4113.5323010000002</v>
      </c>
    </row>
    <row r="494" spans="1:3" x14ac:dyDescent="0.25">
      <c r="A494" s="4">
        <v>22950</v>
      </c>
      <c r="B494" s="6">
        <f>'Monthly CFS'!C500 * 86400 * DAY(EOMONTH(A494,0)) / 43560</f>
        <v>2441.5116681819263</v>
      </c>
      <c r="C494">
        <v>3704.792289</v>
      </c>
    </row>
    <row r="495" spans="1:3" x14ac:dyDescent="0.25">
      <c r="A495" s="4">
        <v>22980</v>
      </c>
      <c r="B495" s="6">
        <f>'Monthly CFS'!C501 * 86400 * DAY(EOMONTH(A495,0)) / 43560</f>
        <v>1550.6899042060877</v>
      </c>
      <c r="C495">
        <v>2362.7533210000001</v>
      </c>
    </row>
    <row r="496" spans="1:3" x14ac:dyDescent="0.25">
      <c r="A496" s="4">
        <v>23011</v>
      </c>
      <c r="B496" s="6">
        <f>'Monthly CFS'!C502 * 86400 * DAY(EOMONTH(A496,0)) / 43560</f>
        <v>1275.7448662618178</v>
      </c>
      <c r="C496">
        <v>1602.3795749999999</v>
      </c>
    </row>
    <row r="497" spans="1:3" x14ac:dyDescent="0.25">
      <c r="A497" s="4">
        <v>23042</v>
      </c>
      <c r="B497" s="6">
        <f>'Monthly CFS'!C503 * 86400 * DAY(EOMONTH(A497,0)) / 43560</f>
        <v>871.7395333514479</v>
      </c>
      <c r="C497">
        <v>1275.7448609999999</v>
      </c>
    </row>
    <row r="498" spans="1:3" x14ac:dyDescent="0.25">
      <c r="A498" s="4">
        <v>23070</v>
      </c>
      <c r="B498" s="6">
        <f>'Monthly CFS'!C504 * 86400 * DAY(EOMONTH(A498,0)) / 43560</f>
        <v>855.85489213201424</v>
      </c>
      <c r="C498">
        <v>787.37765200000001</v>
      </c>
    </row>
    <row r="499" spans="1:3" x14ac:dyDescent="0.25">
      <c r="A499" s="4">
        <v>23101</v>
      </c>
      <c r="B499" s="6">
        <f>'Monthly CFS'!C505 * 86400 * DAY(EOMONTH(A499,0)) / 43560</f>
        <v>952.86312022238792</v>
      </c>
      <c r="C499">
        <v>947.553629</v>
      </c>
    </row>
    <row r="500" spans="1:3" x14ac:dyDescent="0.25">
      <c r="A500" s="4">
        <v>23131</v>
      </c>
      <c r="B500" s="6">
        <f>'Monthly CFS'!C506 * 86400 * DAY(EOMONTH(A500,0)) / 43560</f>
        <v>1152.8643598015847</v>
      </c>
      <c r="C500">
        <v>922.12559099999999</v>
      </c>
    </row>
    <row r="501" spans="1:3" x14ac:dyDescent="0.25">
      <c r="A501" s="4">
        <v>23162</v>
      </c>
      <c r="B501" s="6">
        <f>'Monthly CFS'!C507 * 86400 * DAY(EOMONTH(A501,0)) / 43560</f>
        <v>1804.7183402371384</v>
      </c>
      <c r="C501">
        <v>1191.2932290000001</v>
      </c>
    </row>
    <row r="502" spans="1:3" x14ac:dyDescent="0.25">
      <c r="A502" s="4">
        <v>23192</v>
      </c>
      <c r="B502" s="6">
        <f>'Monthly CFS'!C508 * 86400 * DAY(EOMONTH(A502,0)) / 43560</f>
        <v>2373.2692227097409</v>
      </c>
      <c r="C502">
        <v>1746.5015760000001</v>
      </c>
    </row>
    <row r="503" spans="1:3" x14ac:dyDescent="0.25">
      <c r="A503" s="4">
        <v>23223</v>
      </c>
      <c r="B503" s="6">
        <f>'Monthly CFS'!C509 * 86400 * DAY(EOMONTH(A503,0)) / 43560</f>
        <v>3045.1929462265712</v>
      </c>
      <c r="C503">
        <v>2452.378303</v>
      </c>
    </row>
    <row r="504" spans="1:3" x14ac:dyDescent="0.25">
      <c r="A504" s="4">
        <v>23254</v>
      </c>
      <c r="B504" s="6">
        <f>'Monthly CFS'!C510 * 86400 * DAY(EOMONTH(A504,0)) / 43560</f>
        <v>3329.468451645208</v>
      </c>
      <c r="C504">
        <v>3045.1928809999999</v>
      </c>
    </row>
    <row r="505" spans="1:3" x14ac:dyDescent="0.25">
      <c r="A505" s="4">
        <v>23284</v>
      </c>
      <c r="B505" s="6">
        <f>'Monthly CFS'!C511 * 86400 * DAY(EOMONTH(A505,0)) / 43560</f>
        <v>2808.2967131051528</v>
      </c>
      <c r="C505">
        <v>3222.0662269999998</v>
      </c>
    </row>
    <row r="506" spans="1:3" x14ac:dyDescent="0.25">
      <c r="A506" s="4">
        <v>23315</v>
      </c>
      <c r="B506" s="6">
        <f>'Monthly CFS'!C512 * 86400 * DAY(EOMONTH(A506,0)) / 43560</f>
        <v>1912.3983936885988</v>
      </c>
      <c r="C506">
        <v>2901.906716</v>
      </c>
    </row>
    <row r="507" spans="1:3" x14ac:dyDescent="0.25">
      <c r="A507" s="4">
        <v>23345</v>
      </c>
      <c r="B507" s="6">
        <f>'Monthly CFS'!C513 * 86400 * DAY(EOMONTH(A507,0)) / 43560</f>
        <v>1214.6314599107111</v>
      </c>
      <c r="C507">
        <v>1850.7081470000001</v>
      </c>
    </row>
    <row r="508" spans="1:3" x14ac:dyDescent="0.25">
      <c r="A508" s="4">
        <v>23376</v>
      </c>
      <c r="B508" s="6">
        <f>'Monthly CFS'!C514 * 86400 * DAY(EOMONTH(A508,0)) / 43560</f>
        <v>999.27125673428543</v>
      </c>
      <c r="C508">
        <v>1255.1191269999999</v>
      </c>
    </row>
    <row r="509" spans="1:3" x14ac:dyDescent="0.25">
      <c r="A509" s="4">
        <v>23407</v>
      </c>
      <c r="B509" s="6">
        <f>'Monthly CFS'!C515 * 86400 * DAY(EOMONTH(A509,0)) / 43560</f>
        <v>921.07216526496916</v>
      </c>
      <c r="C509">
        <v>999.27124700000002</v>
      </c>
    </row>
    <row r="510" spans="1:3" x14ac:dyDescent="0.25">
      <c r="A510" s="4">
        <v>23436</v>
      </c>
      <c r="B510" s="6">
        <f>'Monthly CFS'!C516 * 86400 * DAY(EOMONTH(A510,0)) / 43560</f>
        <v>1013.866130956293</v>
      </c>
      <c r="C510">
        <v>861.64817700000003</v>
      </c>
    </row>
    <row r="511" spans="1:3" x14ac:dyDescent="0.25">
      <c r="A511" s="4">
        <v>23467</v>
      </c>
      <c r="B511" s="6">
        <f>'Monthly CFS'!C517 * 86400 * DAY(EOMONTH(A511,0)) / 43560</f>
        <v>971.822880555805</v>
      </c>
      <c r="C511">
        <v>1083.7879680000001</v>
      </c>
    </row>
    <row r="512" spans="1:3" x14ac:dyDescent="0.25">
      <c r="A512" s="4">
        <v>23497</v>
      </c>
      <c r="B512" s="6">
        <f>'Monthly CFS'!C518 * 86400 * DAY(EOMONTH(A512,0)) / 43560</f>
        <v>1440.1890010497145</v>
      </c>
      <c r="C512">
        <v>940.47378000000003</v>
      </c>
    </row>
    <row r="513" spans="1:3" x14ac:dyDescent="0.25">
      <c r="A513" s="4">
        <v>23528</v>
      </c>
      <c r="B513" s="6">
        <f>'Monthly CFS'!C519 * 86400 * DAY(EOMONTH(A513,0)) / 43560</f>
        <v>2124.7858703183188</v>
      </c>
      <c r="C513">
        <v>1488.1953149999999</v>
      </c>
    </row>
    <row r="514" spans="1:3" x14ac:dyDescent="0.25">
      <c r="A514" s="4">
        <v>23558</v>
      </c>
      <c r="B514" s="6">
        <f>'Monthly CFS'!C520 * 86400 * DAY(EOMONTH(A514,0)) / 43560</f>
        <v>2794.1694825422956</v>
      </c>
      <c r="C514">
        <v>2056.2442999999998</v>
      </c>
    </row>
    <row r="515" spans="1:3" x14ac:dyDescent="0.25">
      <c r="A515" s="4">
        <v>23589</v>
      </c>
      <c r="B515" s="6">
        <f>'Monthly CFS'!C521 * 86400 * DAY(EOMONTH(A515,0)) / 43560</f>
        <v>3585.2591511232854</v>
      </c>
      <c r="C515">
        <v>2887.3083820000002</v>
      </c>
    </row>
    <row r="516" spans="1:3" x14ac:dyDescent="0.25">
      <c r="A516" s="4">
        <v>23620</v>
      </c>
      <c r="B516" s="6">
        <f>'Monthly CFS'!C522 * 86400 * DAY(EOMONTH(A516,0)) / 43560</f>
        <v>3919.951032800373</v>
      </c>
      <c r="C516">
        <v>3585.2592</v>
      </c>
    </row>
    <row r="517" spans="1:3" x14ac:dyDescent="0.25">
      <c r="A517" s="4">
        <v>23650</v>
      </c>
      <c r="B517" s="6">
        <f>'Monthly CFS'!C523 * 86400 * DAY(EOMONTH(A517,0)) / 43560</f>
        <v>3306.3492749140801</v>
      </c>
      <c r="C517">
        <v>3793.501017</v>
      </c>
    </row>
    <row r="518" spans="1:3" x14ac:dyDescent="0.25">
      <c r="A518" s="4">
        <v>23681</v>
      </c>
      <c r="B518" s="6">
        <f>'Monthly CFS'!C524 * 86400 * DAY(EOMONTH(A518,0)) / 43560</f>
        <v>2251.5630249510577</v>
      </c>
      <c r="C518">
        <v>3416.560939</v>
      </c>
    </row>
    <row r="519" spans="1:3" x14ac:dyDescent="0.25">
      <c r="A519" s="4">
        <v>23711</v>
      </c>
      <c r="B519" s="6">
        <f>'Monthly CFS'!C525 * 86400 * DAY(EOMONTH(A519,0)) / 43560</f>
        <v>1430.0468422808128</v>
      </c>
      <c r="C519">
        <v>2178.9318490000001</v>
      </c>
    </row>
    <row r="520" spans="1:3" x14ac:dyDescent="0.25">
      <c r="A520" s="4">
        <v>23742</v>
      </c>
      <c r="B520" s="6">
        <f>'Monthly CFS'!C526 * 86400 * DAY(EOMONTH(A520,0)) / 43560</f>
        <v>1176.4924196676839</v>
      </c>
      <c r="C520">
        <v>1477.7150919999999</v>
      </c>
    </row>
    <row r="521" spans="1:3" x14ac:dyDescent="0.25">
      <c r="A521" s="4">
        <v>23773</v>
      </c>
      <c r="B521" s="6">
        <f>'Monthly CFS'!C527 * 86400 * DAY(EOMONTH(A521,0)) / 43560</f>
        <v>992.59677544180101</v>
      </c>
      <c r="C521">
        <v>1176.4924739999999</v>
      </c>
    </row>
    <row r="522" spans="1:3" x14ac:dyDescent="0.25">
      <c r="A522" s="4">
        <v>23801</v>
      </c>
      <c r="B522" s="6">
        <f>'Monthly CFS'!C528 * 86400 * DAY(EOMONTH(A522,0)) / 43560</f>
        <v>1083.2833765738271</v>
      </c>
      <c r="C522">
        <v>896.53906500000005</v>
      </c>
    </row>
    <row r="523" spans="1:3" x14ac:dyDescent="0.25">
      <c r="A523" s="4">
        <v>23832</v>
      </c>
      <c r="B523" s="6">
        <f>'Monthly CFS'!C529 * 86400 * DAY(EOMONTH(A523,0)) / 43560</f>
        <v>1031.3815144092825</v>
      </c>
      <c r="C523">
        <v>1199.3494270000001</v>
      </c>
    </row>
    <row r="524" spans="1:3" x14ac:dyDescent="0.25">
      <c r="A524" s="4">
        <v>23862</v>
      </c>
      <c r="B524" s="6">
        <f>'Monthly CFS'!C530 * 86400 * DAY(EOMONTH(A524,0)) / 43560</f>
        <v>1193.4624104746563</v>
      </c>
      <c r="C524">
        <v>998.111088</v>
      </c>
    </row>
    <row r="525" spans="1:3" x14ac:dyDescent="0.25">
      <c r="A525" s="4">
        <v>23893</v>
      </c>
      <c r="B525" s="6">
        <f>'Monthly CFS'!C531 * 86400 * DAY(EOMONTH(A525,0)) / 43560</f>
        <v>2304.0392106647905</v>
      </c>
      <c r="C525">
        <v>1233.244496</v>
      </c>
    </row>
    <row r="526" spans="1:3" x14ac:dyDescent="0.25">
      <c r="A526" s="4">
        <v>23923</v>
      </c>
      <c r="B526" s="6">
        <f>'Monthly CFS'!C532 * 86400 * DAY(EOMONTH(A526,0)) / 43560</f>
        <v>3029.8940420080662</v>
      </c>
      <c r="C526">
        <v>2229.7154700000001</v>
      </c>
    </row>
    <row r="527" spans="1:3" x14ac:dyDescent="0.25">
      <c r="A527" s="4">
        <v>23954</v>
      </c>
      <c r="B527" s="6">
        <f>'Monthly CFS'!C533 * 86400 * DAY(EOMONTH(A527,0)) / 43560</f>
        <v>3887.7224194573919</v>
      </c>
      <c r="C527">
        <v>3130.8904779999998</v>
      </c>
    </row>
    <row r="528" spans="1:3" x14ac:dyDescent="0.25">
      <c r="A528" s="4">
        <v>23985</v>
      </c>
      <c r="B528" s="6">
        <f>'Monthly CFS'!C534 * 86400 * DAY(EOMONTH(A528,0)) / 43560</f>
        <v>4250.6499170690286</v>
      </c>
      <c r="C528">
        <v>3887.7225060000001</v>
      </c>
    </row>
    <row r="529" spans="1:3" x14ac:dyDescent="0.25">
      <c r="A529" s="4">
        <v>24015</v>
      </c>
      <c r="B529" s="6">
        <f>'Monthly CFS'!C535 * 86400 * DAY(EOMONTH(A529,0)) / 43560</f>
        <v>3585.2828654276959</v>
      </c>
      <c r="C529">
        <v>4113.5323010000002</v>
      </c>
    </row>
    <row r="530" spans="1:3" x14ac:dyDescent="0.25">
      <c r="A530" s="4">
        <v>24046</v>
      </c>
      <c r="B530" s="6">
        <f>'Monthly CFS'!C536 * 86400 * DAY(EOMONTH(A530,0)) / 43560</f>
        <v>2441.511668181925</v>
      </c>
      <c r="C530">
        <v>3704.792289</v>
      </c>
    </row>
    <row r="531" spans="1:3" x14ac:dyDescent="0.25">
      <c r="A531" s="4">
        <v>24076</v>
      </c>
      <c r="B531" s="6">
        <f>'Monthly CFS'!C537 * 86400 * DAY(EOMONTH(A531,0)) / 43560</f>
        <v>1550.6899042060882</v>
      </c>
      <c r="C531">
        <v>2362.7533210000001</v>
      </c>
    </row>
    <row r="532" spans="1:3" x14ac:dyDescent="0.25">
      <c r="A532" s="4">
        <v>24107</v>
      </c>
      <c r="B532" s="6">
        <f>'Monthly CFS'!C538 * 86400 * DAY(EOMONTH(A532,0)) / 43560</f>
        <v>1275.7448662618172</v>
      </c>
      <c r="C532">
        <v>1602.3795749999999</v>
      </c>
    </row>
    <row r="533" spans="1:3" x14ac:dyDescent="0.25">
      <c r="A533" s="4">
        <v>24138</v>
      </c>
      <c r="B533" s="6">
        <f>'Monthly CFS'!C539 * 86400 * DAY(EOMONTH(A533,0)) / 43560</f>
        <v>787.56580416032034</v>
      </c>
      <c r="C533">
        <v>1275.7448609999999</v>
      </c>
    </row>
    <row r="534" spans="1:3" x14ac:dyDescent="0.25">
      <c r="A534" s="4">
        <v>24166</v>
      </c>
      <c r="B534" s="6">
        <f>'Monthly CFS'!C540 * 86400 * DAY(EOMONTH(A534,0)) / 43560</f>
        <v>659.45231632870173</v>
      </c>
      <c r="C534">
        <v>711.34975699999995</v>
      </c>
    </row>
    <row r="535" spans="1:3" x14ac:dyDescent="0.25">
      <c r="A535" s="4">
        <v>24197</v>
      </c>
      <c r="B535" s="6">
        <f>'Monthly CFS'!C541 * 86400 * DAY(EOMONTH(A535,0)) / 43560</f>
        <v>801.83962985686037</v>
      </c>
      <c r="C535">
        <v>730.10793999999999</v>
      </c>
    </row>
    <row r="536" spans="1:3" x14ac:dyDescent="0.25">
      <c r="A536" s="4">
        <v>24227</v>
      </c>
      <c r="B536" s="6">
        <f>'Monthly CFS'!C542 * 86400 * DAY(EOMONTH(A536,0)) / 43560</f>
        <v>1175.9124471362768</v>
      </c>
      <c r="C536">
        <v>775.97383200000002</v>
      </c>
    </row>
    <row r="537" spans="1:3" x14ac:dyDescent="0.25">
      <c r="A537" s="4">
        <v>24258</v>
      </c>
      <c r="B537" s="6">
        <f>'Monthly CFS'!C543 * 86400 * DAY(EOMONTH(A537,0)) / 43560</f>
        <v>1734.8849009299902</v>
      </c>
      <c r="C537">
        <v>1215.1095190000001</v>
      </c>
    </row>
    <row r="538" spans="1:3" x14ac:dyDescent="0.25">
      <c r="A538" s="4">
        <v>24288</v>
      </c>
      <c r="B538" s="6">
        <f>'Monthly CFS'!C544 * 86400 * DAY(EOMONTH(A538,0)) / 43560</f>
        <v>2281.4357501237387</v>
      </c>
      <c r="C538">
        <v>1678.920903</v>
      </c>
    </row>
    <row r="539" spans="1:3" x14ac:dyDescent="0.25">
      <c r="A539" s="4">
        <v>24319</v>
      </c>
      <c r="B539" s="6">
        <f>'Monthly CFS'!C545 * 86400 * DAY(EOMONTH(A539,0)) / 43560</f>
        <v>2927.3594361172172</v>
      </c>
      <c r="C539">
        <v>2357.4835079999998</v>
      </c>
    </row>
    <row r="540" spans="1:3" x14ac:dyDescent="0.25">
      <c r="A540" s="4">
        <v>24350</v>
      </c>
      <c r="B540" s="6">
        <f>'Monthly CFS'!C546 * 86400 * DAY(EOMONTH(A540,0)) / 43560</f>
        <v>3200.6349224128971</v>
      </c>
      <c r="C540">
        <v>2927.3593900000001</v>
      </c>
    </row>
    <row r="541" spans="1:3" x14ac:dyDescent="0.25">
      <c r="A541" s="4">
        <v>24380</v>
      </c>
      <c r="B541" s="6">
        <f>'Monthly CFS'!C547 * 86400 * DAY(EOMONTH(A541,0)) / 43560</f>
        <v>2699.6298847704197</v>
      </c>
      <c r="C541">
        <v>3097.3886539999999</v>
      </c>
    </row>
    <row r="542" spans="1:3" x14ac:dyDescent="0.25">
      <c r="A542" s="4">
        <v>24411</v>
      </c>
      <c r="B542" s="6">
        <f>'Monthly CFS'!C548 * 86400 * DAY(EOMONTH(A542,0)) / 43560</f>
        <v>1838.398282879512</v>
      </c>
      <c r="C542">
        <v>2789.6174380000002</v>
      </c>
    </row>
    <row r="543" spans="1:3" x14ac:dyDescent="0.25">
      <c r="A543" s="4">
        <v>24441</v>
      </c>
      <c r="B543" s="6">
        <f>'Monthly CFS'!C549 * 86400 * DAY(EOMONTH(A543,0)) / 43560</f>
        <v>1167.6313876860997</v>
      </c>
      <c r="C543">
        <v>1779.095106</v>
      </c>
    </row>
    <row r="544" spans="1:3" x14ac:dyDescent="0.25">
      <c r="A544" s="4">
        <v>24472</v>
      </c>
      <c r="B544" s="6">
        <f>'Monthly CFS'!C550 * 86400 * DAY(EOMONTH(A544,0)) / 43560</f>
        <v>960.60453123884793</v>
      </c>
      <c r="C544">
        <v>1206.5524250000001</v>
      </c>
    </row>
    <row r="545" spans="1:3" x14ac:dyDescent="0.25">
      <c r="A545" s="4">
        <v>24503</v>
      </c>
      <c r="B545" s="6">
        <f>'Monthly CFS'!C551 * 86400 * DAY(EOMONTH(A545,0)) / 43560</f>
        <v>819.49926909370186</v>
      </c>
      <c r="C545">
        <v>960.60453399999994</v>
      </c>
    </row>
    <row r="546" spans="1:3" x14ac:dyDescent="0.25">
      <c r="A546" s="4">
        <v>24531</v>
      </c>
      <c r="B546" s="6">
        <f>'Monthly CFS'!C552 * 86400 * DAY(EOMONTH(A546,0)) / 43560</f>
        <v>1083.2833765738274</v>
      </c>
      <c r="C546">
        <v>740.19289400000002</v>
      </c>
    </row>
    <row r="547" spans="1:3" x14ac:dyDescent="0.25">
      <c r="A547" s="4">
        <v>24562</v>
      </c>
      <c r="B547" s="6">
        <f>'Monthly CFS'!C553 * 86400 * DAY(EOMONTH(A547,0)) / 43560</f>
        <v>1314.2371232294161</v>
      </c>
      <c r="C547">
        <v>1199.3494270000001</v>
      </c>
    </row>
    <row r="548" spans="1:3" x14ac:dyDescent="0.25">
      <c r="A548" s="4">
        <v>24592</v>
      </c>
      <c r="B548" s="6">
        <f>'Monthly CFS'!C554 * 86400 * DAY(EOMONTH(A548,0)) / 43560</f>
        <v>1561.687686058259</v>
      </c>
      <c r="C548">
        <v>1271.8423760000001</v>
      </c>
    </row>
    <row r="549" spans="1:3" x14ac:dyDescent="0.25">
      <c r="A549" s="4">
        <v>24623</v>
      </c>
      <c r="B549" s="6">
        <f>'Monthly CFS'!C555 * 86400 * DAY(EOMONTH(A549,0)) / 43560</f>
        <v>2304.0392106647905</v>
      </c>
      <c r="C549">
        <v>1613.74396</v>
      </c>
    </row>
    <row r="550" spans="1:3" x14ac:dyDescent="0.25">
      <c r="A550" s="4">
        <v>24653</v>
      </c>
      <c r="B550" s="6">
        <f>'Monthly CFS'!C556 * 86400 * DAY(EOMONTH(A550,0)) / 43560</f>
        <v>3029.8940420080662</v>
      </c>
      <c r="C550">
        <v>2229.7154700000001</v>
      </c>
    </row>
    <row r="551" spans="1:3" x14ac:dyDescent="0.25">
      <c r="A551" s="4">
        <v>24684</v>
      </c>
      <c r="B551" s="6">
        <f>'Monthly CFS'!C557 * 86400 * DAY(EOMONTH(A551,0)) / 43560</f>
        <v>3887.7224194573919</v>
      </c>
      <c r="C551">
        <v>3130.8904779999998</v>
      </c>
    </row>
    <row r="552" spans="1:3" x14ac:dyDescent="0.25">
      <c r="A552" s="4">
        <v>24715</v>
      </c>
      <c r="B552" s="6">
        <f>'Monthly CFS'!C558 * 86400 * DAY(EOMONTH(A552,0)) / 43560</f>
        <v>4250.6499170690267</v>
      </c>
      <c r="C552">
        <v>3887.7225060000001</v>
      </c>
    </row>
    <row r="553" spans="1:3" x14ac:dyDescent="0.25">
      <c r="A553" s="4">
        <v>24745</v>
      </c>
      <c r="B553" s="6">
        <f>'Monthly CFS'!C559 * 86400 * DAY(EOMONTH(A553,0)) / 43560</f>
        <v>3585.2828654276932</v>
      </c>
      <c r="C553">
        <v>4113.5323010000002</v>
      </c>
    </row>
    <row r="554" spans="1:3" x14ac:dyDescent="0.25">
      <c r="A554" s="4">
        <v>24776</v>
      </c>
      <c r="B554" s="6">
        <f>'Monthly CFS'!C560 * 86400 * DAY(EOMONTH(A554,0)) / 43560</f>
        <v>2441.5116681819263</v>
      </c>
      <c r="C554">
        <v>3704.792289</v>
      </c>
    </row>
    <row r="555" spans="1:3" x14ac:dyDescent="0.25">
      <c r="A555" s="4">
        <v>24806</v>
      </c>
      <c r="B555" s="6">
        <f>'Monthly CFS'!C561 * 86400 * DAY(EOMONTH(A555,0)) / 43560</f>
        <v>1550.6899042060875</v>
      </c>
      <c r="C555">
        <v>2362.7533210000001</v>
      </c>
    </row>
    <row r="556" spans="1:3" x14ac:dyDescent="0.25">
      <c r="A556" s="4">
        <v>24837</v>
      </c>
      <c r="B556" s="6">
        <f>'Monthly CFS'!C562 * 86400 * DAY(EOMONTH(A556,0)) / 43560</f>
        <v>1275.7448662618169</v>
      </c>
      <c r="C556">
        <v>1602.3795749999999</v>
      </c>
    </row>
    <row r="557" spans="1:3" x14ac:dyDescent="0.25">
      <c r="A557" s="4">
        <v>24868</v>
      </c>
      <c r="B557" s="6">
        <f>'Monthly CFS'!C563 * 86400 * DAY(EOMONTH(A557,0)) / 43560</f>
        <v>1215.256922679878</v>
      </c>
      <c r="C557">
        <v>1275.7448609999999</v>
      </c>
    </row>
    <row r="558" spans="1:3" x14ac:dyDescent="0.25">
      <c r="A558" s="4">
        <v>24897</v>
      </c>
      <c r="B558" s="6">
        <f>'Monthly CFS'!C564 * 86400 * DAY(EOMONTH(A558,0)) / 43560</f>
        <v>907.2613549480742</v>
      </c>
      <c r="C558">
        <v>1136.8532640000001</v>
      </c>
    </row>
    <row r="559" spans="1:3" x14ac:dyDescent="0.25">
      <c r="A559" s="4">
        <v>24928</v>
      </c>
      <c r="B559" s="6">
        <f>'Monthly CFS'!C565 * 86400 * DAY(EOMONTH(A559,0)) / 43560</f>
        <v>1093.4222964042119</v>
      </c>
      <c r="C559">
        <v>969.83110999999997</v>
      </c>
    </row>
    <row r="560" spans="1:3" x14ac:dyDescent="0.25">
      <c r="A560" s="4">
        <v>24958</v>
      </c>
      <c r="B560" s="6">
        <f>'Monthly CFS'!C566 * 86400 * DAY(EOMONTH(A560,0)) / 43560</f>
        <v>1542.0566967576124</v>
      </c>
      <c r="C560">
        <v>1058.1505770000001</v>
      </c>
    </row>
    <row r="561" spans="1:3" x14ac:dyDescent="0.25">
      <c r="A561" s="4">
        <v>24989</v>
      </c>
      <c r="B561" s="6">
        <f>'Monthly CFS'!C567 * 86400 * DAY(EOMONTH(A561,0)) / 43560</f>
        <v>2275.0765893310745</v>
      </c>
      <c r="C561">
        <v>1593.4585669999999</v>
      </c>
    </row>
    <row r="562" spans="1:3" x14ac:dyDescent="0.25">
      <c r="A562" s="4">
        <v>25019</v>
      </c>
      <c r="B562" s="6">
        <f>'Monthly CFS'!C568 * 86400 * DAY(EOMONTH(A562,0)) / 43560</f>
        <v>2991.8071581504601</v>
      </c>
      <c r="C562">
        <v>2201.6869409999999</v>
      </c>
    </row>
    <row r="563" spans="1:3" x14ac:dyDescent="0.25">
      <c r="A563" s="4">
        <v>25050</v>
      </c>
      <c r="B563" s="6">
        <f>'Monthly CFS'!C569 * 86400 * DAY(EOMONTH(A563,0)) / 43560</f>
        <v>3838.8523170024705</v>
      </c>
      <c r="C563">
        <v>3091.533993</v>
      </c>
    </row>
    <row r="564" spans="1:3" x14ac:dyDescent="0.25">
      <c r="A564" s="4">
        <v>25081</v>
      </c>
      <c r="B564" s="6">
        <f>'Monthly CFS'!C570 * 86400 * DAY(EOMONTH(A564,0)) / 43560</f>
        <v>4197.217682322148</v>
      </c>
      <c r="C564">
        <v>3838.8524050000001</v>
      </c>
    </row>
    <row r="565" spans="1:3" x14ac:dyDescent="0.25">
      <c r="A565" s="4">
        <v>25111</v>
      </c>
      <c r="B565" s="6">
        <f>'Monthly CFS'!C571 * 86400 * DAY(EOMONTH(A565,0)) / 43560</f>
        <v>3540.2145395394023</v>
      </c>
      <c r="C565">
        <v>4061.823468</v>
      </c>
    </row>
    <row r="566" spans="1:3" x14ac:dyDescent="0.25">
      <c r="A566" s="4">
        <v>25142</v>
      </c>
      <c r="B566" s="6">
        <f>'Monthly CFS'!C572 * 86400 * DAY(EOMONTH(A566,0)) / 43560</f>
        <v>2410.8209674333921</v>
      </c>
      <c r="C566">
        <v>3658.2217810000002</v>
      </c>
    </row>
    <row r="567" spans="1:3" x14ac:dyDescent="0.25">
      <c r="A567" s="4">
        <v>25172</v>
      </c>
      <c r="B567" s="6">
        <f>'Monthly CFS'!C573 * 86400 * DAY(EOMONTH(A567,0)) / 43560</f>
        <v>1531.1971610732228</v>
      </c>
      <c r="C567">
        <v>2333.0525550000002</v>
      </c>
    </row>
    <row r="568" spans="1:3" x14ac:dyDescent="0.25">
      <c r="A568" s="4">
        <v>25203</v>
      </c>
      <c r="B568" s="6">
        <f>'Monthly CFS'!C574 * 86400 * DAY(EOMONTH(A568,0)) / 43560</f>
        <v>1259.7082835036133</v>
      </c>
      <c r="C568">
        <v>1582.237028</v>
      </c>
    </row>
    <row r="569" spans="1:3" x14ac:dyDescent="0.25">
      <c r="A569" s="4">
        <v>25234</v>
      </c>
      <c r="B569" s="6">
        <f>'Monthly CFS'!C575 * 86400 * DAY(EOMONTH(A569,0)) / 43560</f>
        <v>718.66140789686665</v>
      </c>
      <c r="C569">
        <v>1259.7082270000001</v>
      </c>
    </row>
    <row r="570" spans="1:3" x14ac:dyDescent="0.25">
      <c r="A570" s="4">
        <v>25262</v>
      </c>
      <c r="B570" s="6">
        <f>'Monthly CFS'!C576 * 86400 * DAY(EOMONTH(A570,0)) / 43560</f>
        <v>1083.2833765738271</v>
      </c>
      <c r="C570">
        <v>649.11352499999998</v>
      </c>
    </row>
    <row r="571" spans="1:3" x14ac:dyDescent="0.25">
      <c r="A571" s="4">
        <v>25293</v>
      </c>
      <c r="B571" s="6">
        <f>'Monthly CFS'!C577 * 86400 * DAY(EOMONTH(A571,0)) / 43560</f>
        <v>1314.2371232294147</v>
      </c>
      <c r="C571">
        <v>1199.3494270000001</v>
      </c>
    </row>
    <row r="572" spans="1:3" x14ac:dyDescent="0.25">
      <c r="A572" s="4">
        <v>25323</v>
      </c>
      <c r="B572" s="6">
        <f>'Monthly CFS'!C578 * 86400 * DAY(EOMONTH(A572,0)) / 43560</f>
        <v>1561.6876860582588</v>
      </c>
      <c r="C572">
        <v>1271.8423760000001</v>
      </c>
    </row>
    <row r="573" spans="1:3" x14ac:dyDescent="0.25">
      <c r="A573" s="4">
        <v>25354</v>
      </c>
      <c r="B573" s="6">
        <f>'Monthly CFS'!C579 * 86400 * DAY(EOMONTH(A573,0)) / 43560</f>
        <v>2304.0392106647892</v>
      </c>
      <c r="C573">
        <v>1613.74396</v>
      </c>
    </row>
    <row r="574" spans="1:3" x14ac:dyDescent="0.25">
      <c r="A574" s="4">
        <v>25384</v>
      </c>
      <c r="B574" s="6">
        <f>'Monthly CFS'!C580 * 86400 * DAY(EOMONTH(A574,0)) / 43560</f>
        <v>3029.8940420080635</v>
      </c>
      <c r="C574">
        <v>2229.7154700000001</v>
      </c>
    </row>
    <row r="575" spans="1:3" x14ac:dyDescent="0.25">
      <c r="A575" s="4">
        <v>25415</v>
      </c>
      <c r="B575" s="6">
        <f>'Monthly CFS'!C581 * 86400 * DAY(EOMONTH(A575,0)) / 43560</f>
        <v>3887.7224194573901</v>
      </c>
      <c r="C575">
        <v>3130.8904779999998</v>
      </c>
    </row>
    <row r="576" spans="1:3" x14ac:dyDescent="0.25">
      <c r="A576" s="4">
        <v>25446</v>
      </c>
      <c r="B576" s="6">
        <f>'Monthly CFS'!C582 * 86400 * DAY(EOMONTH(A576,0)) / 43560</f>
        <v>4250.6499170690286</v>
      </c>
      <c r="C576">
        <v>3887.7225060000001</v>
      </c>
    </row>
    <row r="577" spans="1:3" x14ac:dyDescent="0.25">
      <c r="A577" s="4">
        <v>25476</v>
      </c>
      <c r="B577" s="6">
        <f>'Monthly CFS'!C583 * 86400 * DAY(EOMONTH(A577,0)) / 43560</f>
        <v>3585.2828654276918</v>
      </c>
      <c r="C577">
        <v>4113.5323010000002</v>
      </c>
    </row>
    <row r="578" spans="1:3" x14ac:dyDescent="0.25">
      <c r="A578" s="4">
        <v>25507</v>
      </c>
      <c r="B578" s="6">
        <f>'Monthly CFS'!C584 * 86400 * DAY(EOMONTH(A578,0)) / 43560</f>
        <v>2441.5116681819259</v>
      </c>
      <c r="C578">
        <v>3704.792289</v>
      </c>
    </row>
    <row r="579" spans="1:3" x14ac:dyDescent="0.25">
      <c r="A579" s="4">
        <v>25537</v>
      </c>
      <c r="B579" s="6">
        <f>'Monthly CFS'!C585 * 86400 * DAY(EOMONTH(A579,0)) / 43560</f>
        <v>1550.6899042060877</v>
      </c>
      <c r="C579">
        <v>2362.7533210000001</v>
      </c>
    </row>
    <row r="580" spans="1:3" x14ac:dyDescent="0.25">
      <c r="A580" s="4">
        <v>25568</v>
      </c>
      <c r="B580" s="6">
        <f>'Monthly CFS'!C586 * 86400 * DAY(EOMONTH(A580,0)) / 43560</f>
        <v>1275.7448662618172</v>
      </c>
      <c r="C580">
        <v>1602.3795749999999</v>
      </c>
    </row>
    <row r="581" spans="1:3" x14ac:dyDescent="0.25">
      <c r="A581" s="4">
        <v>25599</v>
      </c>
      <c r="B581" s="6">
        <f>'Monthly CFS'!C587 * 86400 * DAY(EOMONTH(A581,0)) / 43560</f>
        <v>1215.2569226798776</v>
      </c>
      <c r="C581">
        <v>1275.7448609999999</v>
      </c>
    </row>
    <row r="582" spans="1:3" x14ac:dyDescent="0.25">
      <c r="A582" s="4">
        <v>25627</v>
      </c>
      <c r="B582" s="6">
        <f>'Monthly CFS'!C588 * 86400 * DAY(EOMONTH(A582,0)) / 43560</f>
        <v>1083.2833765738274</v>
      </c>
      <c r="C582">
        <v>1097.6514279999999</v>
      </c>
    </row>
    <row r="583" spans="1:3" x14ac:dyDescent="0.25">
      <c r="A583" s="4">
        <v>25658</v>
      </c>
      <c r="B583" s="6">
        <f>'Monthly CFS'!C589 * 86400 * DAY(EOMONTH(A583,0)) / 43560</f>
        <v>1314.2371232294149</v>
      </c>
      <c r="C583">
        <v>1199.3494270000001</v>
      </c>
    </row>
    <row r="584" spans="1:3" x14ac:dyDescent="0.25">
      <c r="A584" s="4">
        <v>25688</v>
      </c>
      <c r="B584" s="6">
        <f>'Monthly CFS'!C590 * 86400 * DAY(EOMONTH(A584,0)) / 43560</f>
        <v>1561.6876860582595</v>
      </c>
      <c r="C584">
        <v>1271.8423760000001</v>
      </c>
    </row>
    <row r="585" spans="1:3" x14ac:dyDescent="0.25">
      <c r="A585" s="4">
        <v>25719</v>
      </c>
      <c r="B585" s="6">
        <f>'Monthly CFS'!C591 * 86400 * DAY(EOMONTH(A585,0)) / 43560</f>
        <v>2304.0392106647896</v>
      </c>
      <c r="C585">
        <v>1613.74396</v>
      </c>
    </row>
    <row r="586" spans="1:3" x14ac:dyDescent="0.25">
      <c r="A586" s="4">
        <v>25749</v>
      </c>
      <c r="B586" s="6">
        <f>'Monthly CFS'!C592 * 86400 * DAY(EOMONTH(A586,0)) / 43560</f>
        <v>3029.8940420080658</v>
      </c>
      <c r="C586">
        <v>2229.7154700000001</v>
      </c>
    </row>
    <row r="587" spans="1:3" x14ac:dyDescent="0.25">
      <c r="A587" s="4">
        <v>25780</v>
      </c>
      <c r="B587" s="6">
        <f>'Monthly CFS'!C593 * 86400 * DAY(EOMONTH(A587,0)) / 43560</f>
        <v>3887.7224194573932</v>
      </c>
      <c r="C587">
        <v>3130.8904779999998</v>
      </c>
    </row>
    <row r="588" spans="1:3" x14ac:dyDescent="0.25">
      <c r="A588" s="4">
        <v>25811</v>
      </c>
      <c r="B588" s="6">
        <f>'Monthly CFS'!C594 * 86400 * DAY(EOMONTH(A588,0)) / 43560</f>
        <v>4250.6499170690295</v>
      </c>
      <c r="C588">
        <v>3887.7225060000001</v>
      </c>
    </row>
    <row r="589" spans="1:3" x14ac:dyDescent="0.25">
      <c r="A589" s="4">
        <v>25841</v>
      </c>
      <c r="B589" s="6">
        <f>'Monthly CFS'!C595 * 86400 * DAY(EOMONTH(A589,0)) / 43560</f>
        <v>3585.2828654276946</v>
      </c>
      <c r="C589">
        <v>4113.5323010000002</v>
      </c>
    </row>
    <row r="590" spans="1:3" x14ac:dyDescent="0.25">
      <c r="A590" s="4">
        <v>25872</v>
      </c>
      <c r="B590" s="6">
        <f>'Monthly CFS'!C596 * 86400 * DAY(EOMONTH(A590,0)) / 43560</f>
        <v>2441.5116681819263</v>
      </c>
      <c r="C590">
        <v>3704.792289</v>
      </c>
    </row>
    <row r="591" spans="1:3" x14ac:dyDescent="0.25">
      <c r="A591" s="4">
        <v>25902</v>
      </c>
      <c r="B591" s="6">
        <f>'Monthly CFS'!C597 * 86400 * DAY(EOMONTH(A591,0)) / 43560</f>
        <v>1550.6899042060877</v>
      </c>
      <c r="C591">
        <v>2362.7533210000001</v>
      </c>
    </row>
    <row r="592" spans="1:3" x14ac:dyDescent="0.25">
      <c r="A592" s="4">
        <v>25933</v>
      </c>
      <c r="B592" s="6">
        <f>'Monthly CFS'!C598 * 86400 * DAY(EOMONTH(A592,0)) / 43560</f>
        <v>1275.7448662618176</v>
      </c>
      <c r="C592">
        <v>1602.3795749999999</v>
      </c>
    </row>
    <row r="593" spans="1:3" x14ac:dyDescent="0.25">
      <c r="A593" s="4">
        <v>25964</v>
      </c>
      <c r="B593" s="6">
        <f>'Monthly CFS'!C599 * 86400 * DAY(EOMONTH(A593,0)) / 43560</f>
        <v>1215.256922679878</v>
      </c>
      <c r="C593">
        <v>1275.7448609999999</v>
      </c>
    </row>
    <row r="594" spans="1:3" x14ac:dyDescent="0.25">
      <c r="A594" s="4">
        <v>25992</v>
      </c>
      <c r="B594" s="6">
        <f>'Monthly CFS'!C600 * 86400 * DAY(EOMONTH(A594,0)) / 43560</f>
        <v>1011.6988808042437</v>
      </c>
      <c r="C594">
        <v>1097.6514279999999</v>
      </c>
    </row>
    <row r="595" spans="1:3" x14ac:dyDescent="0.25">
      <c r="A595" s="4">
        <v>26023</v>
      </c>
      <c r="B595" s="6">
        <f>'Monthly CFS'!C601 * 86400 * DAY(EOMONTH(A595,0)) / 43560</f>
        <v>1033.0123075371423</v>
      </c>
      <c r="C595">
        <v>1120.095217</v>
      </c>
    </row>
    <row r="596" spans="1:3" x14ac:dyDescent="0.25">
      <c r="A596" s="4">
        <v>26053</v>
      </c>
      <c r="B596" s="6">
        <f>'Monthly CFS'!C602 * 86400 * DAY(EOMONTH(A596,0)) / 43560</f>
        <v>1136.0722085584769</v>
      </c>
      <c r="C596">
        <v>999.68935099999999</v>
      </c>
    </row>
    <row r="597" spans="1:3" x14ac:dyDescent="0.25">
      <c r="A597" s="4">
        <v>26084</v>
      </c>
      <c r="B597" s="6">
        <f>'Monthly CFS'!C603 * 86400 * DAY(EOMONTH(A597,0)) / 43560</f>
        <v>1798.8181793271292</v>
      </c>
      <c r="C597">
        <v>1173.941319</v>
      </c>
    </row>
    <row r="598" spans="1:3" x14ac:dyDescent="0.25">
      <c r="A598" s="4">
        <v>26114</v>
      </c>
      <c r="B598" s="6">
        <f>'Monthly CFS'!C604 * 86400 * DAY(EOMONTH(A598,0)) / 43560</f>
        <v>2365.5102998991488</v>
      </c>
      <c r="C598">
        <v>1740.7917500000001</v>
      </c>
    </row>
    <row r="599" spans="1:3" x14ac:dyDescent="0.25">
      <c r="A599" s="4">
        <v>26145</v>
      </c>
      <c r="B599" s="6">
        <f>'Monthly CFS'!C605 * 86400 * DAY(EOMONTH(A599,0)) / 43560</f>
        <v>3035.2373049588036</v>
      </c>
      <c r="C599">
        <v>2444.36069</v>
      </c>
    </row>
    <row r="600" spans="1:3" x14ac:dyDescent="0.25">
      <c r="A600" s="4">
        <v>26176</v>
      </c>
      <c r="B600" s="6">
        <f>'Monthly CFS'!C606 * 86400 * DAY(EOMONTH(A600,0)) / 43560</f>
        <v>3318.5834292173186</v>
      </c>
      <c r="C600">
        <v>3035.237361</v>
      </c>
    </row>
    <row r="601" spans="1:3" x14ac:dyDescent="0.25">
      <c r="A601" s="4">
        <v>26206</v>
      </c>
      <c r="B601" s="6">
        <f>'Monthly CFS'!C607 * 86400 * DAY(EOMONTH(A601,0)) / 43560</f>
        <v>2799.1155560675438</v>
      </c>
      <c r="C601">
        <v>3211.5322900000001</v>
      </c>
    </row>
    <row r="602" spans="1:3" x14ac:dyDescent="0.25">
      <c r="A602" s="4">
        <v>26237</v>
      </c>
      <c r="B602" s="6">
        <f>'Monthly CFS'!C608 * 86400 * DAY(EOMONTH(A602,0)) / 43560</f>
        <v>1906.1461946638346</v>
      </c>
      <c r="C602">
        <v>2892.419371</v>
      </c>
    </row>
    <row r="603" spans="1:3" x14ac:dyDescent="0.25">
      <c r="A603" s="4">
        <v>26267</v>
      </c>
      <c r="B603" s="6">
        <f>'Monthly CFS'!C609 * 86400 * DAY(EOMONTH(A603,0)) / 43560</f>
        <v>1210.6604684822705</v>
      </c>
      <c r="C603">
        <v>1844.657608</v>
      </c>
    </row>
    <row r="604" spans="1:3" x14ac:dyDescent="0.25">
      <c r="A604" s="4">
        <v>26298</v>
      </c>
      <c r="B604" s="6">
        <f>'Monthly CFS'!C610 * 86400 * DAY(EOMONTH(A604,0)) / 43560</f>
        <v>996.00434185010272</v>
      </c>
      <c r="C604">
        <v>1251.0157939999999</v>
      </c>
    </row>
    <row r="605" spans="1:3" x14ac:dyDescent="0.25">
      <c r="A605" s="4">
        <v>26329</v>
      </c>
      <c r="B605" s="6">
        <f>'Monthly CFS'!C611 * 86400 * DAY(EOMONTH(A605,0)) / 43560</f>
        <v>715.7868028322838</v>
      </c>
      <c r="C605">
        <v>996.00434199999995</v>
      </c>
    </row>
    <row r="606" spans="1:3" x14ac:dyDescent="0.25">
      <c r="A606" s="4">
        <v>26358</v>
      </c>
      <c r="B606" s="6">
        <f>'Monthly CFS'!C612 * 86400 * DAY(EOMONTH(A606,0)) / 43560</f>
        <v>603.27693252496181</v>
      </c>
      <c r="C606">
        <v>669.60700099999997</v>
      </c>
    </row>
    <row r="607" spans="1:3" x14ac:dyDescent="0.25">
      <c r="A607" s="4">
        <v>26389</v>
      </c>
      <c r="B607" s="6">
        <f>'Monthly CFS'!C613 * 86400 * DAY(EOMONTH(A607,0)) / 43560</f>
        <v>781.06391845859252</v>
      </c>
      <c r="C607">
        <v>644.88221299999998</v>
      </c>
    </row>
    <row r="608" spans="1:3" x14ac:dyDescent="0.25">
      <c r="A608" s="4">
        <v>26419</v>
      </c>
      <c r="B608" s="6">
        <f>'Monthly CFS'!C614 * 86400 * DAY(EOMONTH(A608,0)) / 43560</f>
        <v>1050.6815055652937</v>
      </c>
      <c r="C608">
        <v>755.86828400000002</v>
      </c>
    </row>
    <row r="609" spans="1:3" x14ac:dyDescent="0.25">
      <c r="A609" s="4">
        <v>26450</v>
      </c>
      <c r="B609" s="6">
        <f>'Monthly CFS'!C615 * 86400 * DAY(EOMONTH(A609,0)) / 43560</f>
        <v>1596.2623500920513</v>
      </c>
      <c r="C609">
        <v>1085.704178</v>
      </c>
    </row>
    <row r="610" spans="1:3" x14ac:dyDescent="0.25">
      <c r="A610" s="4">
        <v>26480</v>
      </c>
      <c r="B610" s="6">
        <f>'Monthly CFS'!C616 * 86400 * DAY(EOMONTH(A610,0)) / 43560</f>
        <v>2099.142133362483</v>
      </c>
      <c r="C610">
        <v>1544.770006</v>
      </c>
    </row>
    <row r="611" spans="1:3" x14ac:dyDescent="0.25">
      <c r="A611" s="4">
        <v>26511</v>
      </c>
      <c r="B611" s="6">
        <f>'Monthly CFS'!C617 * 86400 * DAY(EOMONTH(A611,0)) / 43560</f>
        <v>2693.4545632138033</v>
      </c>
      <c r="C611">
        <v>2169.1134539999998</v>
      </c>
    </row>
    <row r="612" spans="1:3" x14ac:dyDescent="0.25">
      <c r="A612" s="4">
        <v>26542</v>
      </c>
      <c r="B612" s="6">
        <f>'Monthly CFS'!C618 * 86400 * DAY(EOMONTH(A612,0)) / 43560</f>
        <v>2944.8945116179043</v>
      </c>
      <c r="C612">
        <v>2693.4546300000002</v>
      </c>
    </row>
    <row r="613" spans="1:3" x14ac:dyDescent="0.25">
      <c r="A613" s="4">
        <v>26572</v>
      </c>
      <c r="B613" s="6">
        <f>'Monthly CFS'!C619 * 86400 * DAY(EOMONTH(A613,0)) / 43560</f>
        <v>2483.9212918000153</v>
      </c>
      <c r="C613">
        <v>2849.8980059999999</v>
      </c>
    </row>
    <row r="614" spans="1:3" x14ac:dyDescent="0.25">
      <c r="A614" s="4">
        <v>26603</v>
      </c>
      <c r="B614" s="6">
        <f>'Monthly CFS'!C620 * 86400 * DAY(EOMONTH(A614,0)) / 43560</f>
        <v>1691.5046997419593</v>
      </c>
      <c r="C614">
        <v>2566.7187779999999</v>
      </c>
    </row>
    <row r="615" spans="1:3" x14ac:dyDescent="0.25">
      <c r="A615" s="4">
        <v>26633</v>
      </c>
      <c r="B615" s="6">
        <f>'Monthly CFS'!C621 * 86400 * DAY(EOMONTH(A615,0)) / 43560</f>
        <v>1074.3341082454147</v>
      </c>
      <c r="C615">
        <v>1636.9400780000001</v>
      </c>
    </row>
    <row r="616" spans="1:3" x14ac:dyDescent="0.25">
      <c r="A616" s="4">
        <v>26664</v>
      </c>
      <c r="B616" s="6">
        <f>'Monthly CFS'!C622 * 86400 * DAY(EOMONTH(A616,0)) / 43560</f>
        <v>883.84932379227359</v>
      </c>
      <c r="C616">
        <v>1110.145209</v>
      </c>
    </row>
    <row r="617" spans="1:3" x14ac:dyDescent="0.25">
      <c r="A617" s="4">
        <v>26695</v>
      </c>
      <c r="B617" s="6">
        <f>'Monthly CFS'!C623 * 86400 * DAY(EOMONTH(A617,0)) / 43560</f>
        <v>993.52483512627589</v>
      </c>
      <c r="C617">
        <v>883.84934899999996</v>
      </c>
    </row>
    <row r="618" spans="1:3" x14ac:dyDescent="0.25">
      <c r="A618" s="4">
        <v>26723</v>
      </c>
      <c r="B618" s="6">
        <f>'Monthly CFS'!C624 * 86400 * DAY(EOMONTH(A618,0)) / 43560</f>
        <v>1083.2833765738274</v>
      </c>
      <c r="C618">
        <v>897.37727900000004</v>
      </c>
    </row>
    <row r="619" spans="1:3" x14ac:dyDescent="0.25">
      <c r="A619" s="4">
        <v>26754</v>
      </c>
      <c r="B619" s="6">
        <f>'Monthly CFS'!C625 * 86400 * DAY(EOMONTH(A619,0)) / 43560</f>
        <v>1314.2371232294154</v>
      </c>
      <c r="C619">
        <v>1199.3494270000001</v>
      </c>
    </row>
    <row r="620" spans="1:3" x14ac:dyDescent="0.25">
      <c r="A620" s="4">
        <v>26784</v>
      </c>
      <c r="B620" s="6">
        <f>'Monthly CFS'!C626 * 86400 * DAY(EOMONTH(A620,0)) / 43560</f>
        <v>1561.6876860582588</v>
      </c>
      <c r="C620">
        <v>1271.8423760000001</v>
      </c>
    </row>
    <row r="621" spans="1:3" x14ac:dyDescent="0.25">
      <c r="A621" s="4">
        <v>26815</v>
      </c>
      <c r="B621" s="6">
        <f>'Monthly CFS'!C627 * 86400 * DAY(EOMONTH(A621,0)) / 43560</f>
        <v>2304.0392106647896</v>
      </c>
      <c r="C621">
        <v>1613.74396</v>
      </c>
    </row>
    <row r="622" spans="1:3" x14ac:dyDescent="0.25">
      <c r="A622" s="4">
        <v>26845</v>
      </c>
      <c r="B622" s="6">
        <f>'Monthly CFS'!C628 * 86400 * DAY(EOMONTH(A622,0)) / 43560</f>
        <v>3029.8940420080662</v>
      </c>
      <c r="C622">
        <v>2229.7154700000001</v>
      </c>
    </row>
    <row r="623" spans="1:3" x14ac:dyDescent="0.25">
      <c r="A623" s="4">
        <v>26876</v>
      </c>
      <c r="B623" s="6">
        <f>'Monthly CFS'!C629 * 86400 * DAY(EOMONTH(A623,0)) / 43560</f>
        <v>3887.7224194573919</v>
      </c>
      <c r="C623">
        <v>3130.8904779999998</v>
      </c>
    </row>
    <row r="624" spans="1:3" x14ac:dyDescent="0.25">
      <c r="A624" s="4">
        <v>26907</v>
      </c>
      <c r="B624" s="6">
        <f>'Monthly CFS'!C630 * 86400 * DAY(EOMONTH(A624,0)) / 43560</f>
        <v>4250.6499170690313</v>
      </c>
      <c r="C624">
        <v>3887.7225060000001</v>
      </c>
    </row>
    <row r="625" spans="1:3" x14ac:dyDescent="0.25">
      <c r="A625" s="4">
        <v>26937</v>
      </c>
      <c r="B625" s="6">
        <f>'Monthly CFS'!C631 * 86400 * DAY(EOMONTH(A625,0)) / 43560</f>
        <v>3585.2828654276946</v>
      </c>
      <c r="C625">
        <v>4113.5323010000002</v>
      </c>
    </row>
    <row r="626" spans="1:3" x14ac:dyDescent="0.25">
      <c r="A626" s="4">
        <v>26968</v>
      </c>
      <c r="B626" s="6">
        <f>'Monthly CFS'!C632 * 86400 * DAY(EOMONTH(A626,0)) / 43560</f>
        <v>2441.5116681819263</v>
      </c>
      <c r="C626">
        <v>3704.792289</v>
      </c>
    </row>
    <row r="627" spans="1:3" x14ac:dyDescent="0.25">
      <c r="A627" s="4">
        <v>26998</v>
      </c>
      <c r="B627" s="6">
        <f>'Monthly CFS'!C633 * 86400 * DAY(EOMONTH(A627,0)) / 43560</f>
        <v>1550.6899042060882</v>
      </c>
      <c r="C627">
        <v>2362.7533210000001</v>
      </c>
    </row>
    <row r="628" spans="1:3" x14ac:dyDescent="0.25">
      <c r="A628" s="4">
        <v>27029</v>
      </c>
      <c r="B628" s="6">
        <f>'Monthly CFS'!C634 * 86400 * DAY(EOMONTH(A628,0)) / 43560</f>
        <v>1275.7448662618172</v>
      </c>
      <c r="C628">
        <v>1602.3795749999999</v>
      </c>
    </row>
    <row r="629" spans="1:3" x14ac:dyDescent="0.25">
      <c r="A629" s="4">
        <v>27060</v>
      </c>
      <c r="B629" s="6">
        <f>'Monthly CFS'!C635 * 86400 * DAY(EOMONTH(A629,0)) / 43560</f>
        <v>1215.2569226798778</v>
      </c>
      <c r="C629">
        <v>1275.7448609999999</v>
      </c>
    </row>
    <row r="630" spans="1:3" x14ac:dyDescent="0.25">
      <c r="A630" s="4">
        <v>27088</v>
      </c>
      <c r="B630" s="6">
        <f>'Monthly CFS'!C636 * 86400 * DAY(EOMONTH(A630,0)) / 43560</f>
        <v>1083.2833765738274</v>
      </c>
      <c r="C630">
        <v>1097.6514279999999</v>
      </c>
    </row>
    <row r="631" spans="1:3" x14ac:dyDescent="0.25">
      <c r="A631" s="4">
        <v>27119</v>
      </c>
      <c r="B631" s="6">
        <f>'Monthly CFS'!C637 * 86400 * DAY(EOMONTH(A631,0)) / 43560</f>
        <v>1215.3926959409916</v>
      </c>
      <c r="C631">
        <v>1199.3494270000001</v>
      </c>
    </row>
    <row r="632" spans="1:3" x14ac:dyDescent="0.25">
      <c r="A632" s="4">
        <v>27149</v>
      </c>
      <c r="B632" s="6">
        <f>'Monthly CFS'!C638 * 86400 * DAY(EOMONTH(A632,0)) / 43560</f>
        <v>1506.9310031029063</v>
      </c>
      <c r="C632">
        <v>1176.186528</v>
      </c>
    </row>
    <row r="633" spans="1:3" x14ac:dyDescent="0.25">
      <c r="A633" s="4">
        <v>27180</v>
      </c>
      <c r="B633" s="6">
        <f>'Monthly CFS'!C639 * 86400 * DAY(EOMONTH(A633,0)) / 43560</f>
        <v>2304.0392106647905</v>
      </c>
      <c r="C633">
        <v>1557.1619900000001</v>
      </c>
    </row>
    <row r="634" spans="1:3" x14ac:dyDescent="0.25">
      <c r="A634" s="4">
        <v>27210</v>
      </c>
      <c r="B634" s="6">
        <f>'Monthly CFS'!C640 * 86400 * DAY(EOMONTH(A634,0)) / 43560</f>
        <v>3029.8940420080662</v>
      </c>
      <c r="C634">
        <v>2229.7154700000001</v>
      </c>
    </row>
    <row r="635" spans="1:3" x14ac:dyDescent="0.25">
      <c r="A635" s="4">
        <v>27241</v>
      </c>
      <c r="B635" s="6">
        <f>'Monthly CFS'!C641 * 86400 * DAY(EOMONTH(A635,0)) / 43560</f>
        <v>3887.7224194573905</v>
      </c>
      <c r="C635">
        <v>3130.8904779999998</v>
      </c>
    </row>
    <row r="636" spans="1:3" x14ac:dyDescent="0.25">
      <c r="A636" s="4">
        <v>27272</v>
      </c>
      <c r="B636" s="6">
        <f>'Monthly CFS'!C642 * 86400 * DAY(EOMONTH(A636,0)) / 43560</f>
        <v>4250.6499170690313</v>
      </c>
      <c r="C636">
        <v>3887.7225060000001</v>
      </c>
    </row>
    <row r="637" spans="1:3" x14ac:dyDescent="0.25">
      <c r="A637" s="4">
        <v>27302</v>
      </c>
      <c r="B637" s="6">
        <f>'Monthly CFS'!C643 * 86400 * DAY(EOMONTH(A637,0)) / 43560</f>
        <v>3585.2828654276946</v>
      </c>
      <c r="C637">
        <v>4113.5323010000002</v>
      </c>
    </row>
    <row r="638" spans="1:3" x14ac:dyDescent="0.25">
      <c r="A638" s="4">
        <v>27333</v>
      </c>
      <c r="B638" s="6">
        <f>'Monthly CFS'!C644 * 86400 * DAY(EOMONTH(A638,0)) / 43560</f>
        <v>2441.5116681819263</v>
      </c>
      <c r="C638">
        <v>3704.792289</v>
      </c>
    </row>
    <row r="639" spans="1:3" x14ac:dyDescent="0.25">
      <c r="A639" s="4">
        <v>27363</v>
      </c>
      <c r="B639" s="6">
        <f>'Monthly CFS'!C645 * 86400 * DAY(EOMONTH(A639,0)) / 43560</f>
        <v>1550.6899042060882</v>
      </c>
      <c r="C639">
        <v>2362.7533210000001</v>
      </c>
    </row>
    <row r="640" spans="1:3" x14ac:dyDescent="0.25">
      <c r="A640" s="4">
        <v>27394</v>
      </c>
      <c r="B640" s="6">
        <f>'Monthly CFS'!C646 * 86400 * DAY(EOMONTH(A640,0)) / 43560</f>
        <v>1275.7448662618174</v>
      </c>
      <c r="C640">
        <v>1602.3795749999999</v>
      </c>
    </row>
    <row r="641" spans="1:3" x14ac:dyDescent="0.25">
      <c r="A641" s="4">
        <v>27425</v>
      </c>
      <c r="B641" s="6">
        <f>'Monthly CFS'!C647 * 86400 * DAY(EOMONTH(A641,0)) / 43560</f>
        <v>1215.256922679878</v>
      </c>
      <c r="C641">
        <v>1275.7448609999999</v>
      </c>
    </row>
    <row r="642" spans="1:3" x14ac:dyDescent="0.25">
      <c r="A642" s="4">
        <v>27453</v>
      </c>
      <c r="B642" s="6">
        <f>'Monthly CFS'!C648 * 86400 * DAY(EOMONTH(A642,0)) / 43560</f>
        <v>1083.2833765738274</v>
      </c>
      <c r="C642">
        <v>1097.6514279999999</v>
      </c>
    </row>
    <row r="643" spans="1:3" x14ac:dyDescent="0.25">
      <c r="A643" s="4">
        <v>27484</v>
      </c>
      <c r="B643" s="6">
        <f>'Monthly CFS'!C649 * 86400 * DAY(EOMONTH(A643,0)) / 43560</f>
        <v>1314.2371232294156</v>
      </c>
      <c r="C643">
        <v>1199.3494270000001</v>
      </c>
    </row>
    <row r="644" spans="1:3" x14ac:dyDescent="0.25">
      <c r="A644" s="4">
        <v>27514</v>
      </c>
      <c r="B644" s="6">
        <f>'Monthly CFS'!C650 * 86400 * DAY(EOMONTH(A644,0)) / 43560</f>
        <v>1561.6876860582595</v>
      </c>
      <c r="C644">
        <v>1271.8423760000001</v>
      </c>
    </row>
    <row r="645" spans="1:3" x14ac:dyDescent="0.25">
      <c r="A645" s="4">
        <v>27545</v>
      </c>
      <c r="B645" s="6">
        <f>'Monthly CFS'!C651 * 86400 * DAY(EOMONTH(A645,0)) / 43560</f>
        <v>2304.0392106647901</v>
      </c>
      <c r="C645">
        <v>1613.74396</v>
      </c>
    </row>
    <row r="646" spans="1:3" x14ac:dyDescent="0.25">
      <c r="A646" s="4">
        <v>27575</v>
      </c>
      <c r="B646" s="6">
        <f>'Monthly CFS'!C652 * 86400 * DAY(EOMONTH(A646,0)) / 43560</f>
        <v>3029.8940420080671</v>
      </c>
      <c r="C646">
        <v>2229.7154700000001</v>
      </c>
    </row>
    <row r="647" spans="1:3" x14ac:dyDescent="0.25">
      <c r="A647" s="4">
        <v>27606</v>
      </c>
      <c r="B647" s="6">
        <f>'Monthly CFS'!C653 * 86400 * DAY(EOMONTH(A647,0)) / 43560</f>
        <v>3887.7224194573932</v>
      </c>
      <c r="C647">
        <v>3130.8904779999998</v>
      </c>
    </row>
    <row r="648" spans="1:3" x14ac:dyDescent="0.25">
      <c r="A648" s="4">
        <v>27637</v>
      </c>
      <c r="B648" s="6">
        <f>'Monthly CFS'!C654 * 86400 * DAY(EOMONTH(A648,0)) / 43560</f>
        <v>4250.6499170690286</v>
      </c>
      <c r="C648">
        <v>3887.7225060000001</v>
      </c>
    </row>
    <row r="649" spans="1:3" x14ac:dyDescent="0.25">
      <c r="A649" s="4">
        <v>27667</v>
      </c>
      <c r="B649" s="6">
        <f>'Monthly CFS'!C655 * 86400 * DAY(EOMONTH(A649,0)) / 43560</f>
        <v>3585.282865427695</v>
      </c>
      <c r="C649">
        <v>4113.5323010000002</v>
      </c>
    </row>
    <row r="650" spans="1:3" x14ac:dyDescent="0.25">
      <c r="A650" s="4">
        <v>27698</v>
      </c>
      <c r="B650" s="6">
        <f>'Monthly CFS'!C656 * 86400 * DAY(EOMONTH(A650,0)) / 43560</f>
        <v>2441.5116681819263</v>
      </c>
      <c r="C650">
        <v>3704.792289</v>
      </c>
    </row>
    <row r="651" spans="1:3" x14ac:dyDescent="0.25">
      <c r="A651" s="4">
        <v>27728</v>
      </c>
      <c r="B651" s="6">
        <f>'Monthly CFS'!C657 * 86400 * DAY(EOMONTH(A651,0)) / 43560</f>
        <v>1550.6899042060884</v>
      </c>
      <c r="C651">
        <v>2362.7533210000001</v>
      </c>
    </row>
    <row r="652" spans="1:3" x14ac:dyDescent="0.25">
      <c r="A652" s="4">
        <v>27759</v>
      </c>
      <c r="B652" s="6">
        <f>'Monthly CFS'!C658 * 86400 * DAY(EOMONTH(A652,0)) / 43560</f>
        <v>1275.7448662618172</v>
      </c>
      <c r="C652">
        <v>1602.3795749999999</v>
      </c>
    </row>
    <row r="653" spans="1:3" x14ac:dyDescent="0.25">
      <c r="A653" s="4">
        <v>27790</v>
      </c>
      <c r="B653" s="6">
        <f>'Monthly CFS'!C659 * 86400 * DAY(EOMONTH(A653,0)) / 43560</f>
        <v>229.37475107111194</v>
      </c>
      <c r="C653">
        <v>1275.7448609999999</v>
      </c>
    </row>
    <row r="654" spans="1:3" x14ac:dyDescent="0.25">
      <c r="A654" s="4">
        <v>27819</v>
      </c>
      <c r="B654" s="6">
        <f>'Monthly CFS'!C660 * 86400 * DAY(EOMONTH(A654,0)) / 43560</f>
        <v>134.40677980195477</v>
      </c>
      <c r="C654">
        <v>214.576382</v>
      </c>
    </row>
    <row r="655" spans="1:3" x14ac:dyDescent="0.25">
      <c r="A655" s="4">
        <v>27850</v>
      </c>
      <c r="B655" s="6">
        <f>'Monthly CFS'!C661 * 86400 * DAY(EOMONTH(A655,0)) / 43560</f>
        <v>289.86781576411812</v>
      </c>
      <c r="C655">
        <v>143.676219</v>
      </c>
    </row>
    <row r="656" spans="1:3" x14ac:dyDescent="0.25">
      <c r="A656" s="4">
        <v>27880</v>
      </c>
      <c r="B656" s="6">
        <f>'Monthly CFS'!C662 * 86400 * DAY(EOMONTH(A656,0)) / 43560</f>
        <v>832.55739302699487</v>
      </c>
      <c r="C656">
        <v>280.517247</v>
      </c>
    </row>
    <row r="657" spans="1:3" x14ac:dyDescent="0.25">
      <c r="A657" s="4">
        <v>27911</v>
      </c>
      <c r="B657" s="6">
        <f>'Monthly CFS'!C663 * 86400 * DAY(EOMONTH(A657,0)) / 43560</f>
        <v>1228.3153000359216</v>
      </c>
      <c r="C657">
        <v>860.30930799999999</v>
      </c>
    </row>
    <row r="658" spans="1:3" x14ac:dyDescent="0.25">
      <c r="A658" s="4">
        <v>27941</v>
      </c>
      <c r="B658" s="6">
        <f>'Monthly CFS'!C664 * 86400 * DAY(EOMONTH(A658,0)) / 43560</f>
        <v>1615.2785907720581</v>
      </c>
      <c r="C658">
        <v>1188.6922159999999</v>
      </c>
    </row>
    <row r="659" spans="1:3" x14ac:dyDescent="0.25">
      <c r="A659" s="4">
        <v>27972</v>
      </c>
      <c r="B659" s="6">
        <f>'Monthly CFS'!C665 * 86400 * DAY(EOMONTH(A659,0)) / 43560</f>
        <v>2072.5988116905096</v>
      </c>
      <c r="C659">
        <v>1669.1212459999999</v>
      </c>
    </row>
    <row r="660" spans="1:3" x14ac:dyDescent="0.25">
      <c r="A660" s="4">
        <v>28003</v>
      </c>
      <c r="B660" s="6">
        <f>'Monthly CFS'!C666 * 86400 * DAY(EOMONTH(A660,0)) / 43560</f>
        <v>2266.0805007419299</v>
      </c>
      <c r="C660">
        <v>2072.5988109999998</v>
      </c>
    </row>
    <row r="661" spans="1:3" x14ac:dyDescent="0.25">
      <c r="A661" s="4">
        <v>28033</v>
      </c>
      <c r="B661" s="6">
        <f>'Monthly CFS'!C667 * 86400 * DAY(EOMONTH(A661,0)) / 43560</f>
        <v>1911.3640853754441</v>
      </c>
      <c r="C661">
        <v>2192.9811840000002</v>
      </c>
    </row>
    <row r="662" spans="1:3" x14ac:dyDescent="0.25">
      <c r="A662" s="4">
        <v>28064</v>
      </c>
      <c r="B662" s="6">
        <f>'Monthly CFS'!C668 * 86400 * DAY(EOMONTH(A662,0)) / 43560</f>
        <v>1301.6037762563913</v>
      </c>
      <c r="C662">
        <v>1975.0762790000001</v>
      </c>
    </row>
    <row r="663" spans="1:3" x14ac:dyDescent="0.25">
      <c r="A663" s="4">
        <v>28094</v>
      </c>
      <c r="B663" s="6">
        <f>'Monthly CFS'!C669 * 86400 * DAY(EOMONTH(A663,0)) / 43560</f>
        <v>826.6943227923615</v>
      </c>
      <c r="C663">
        <v>1259.6165679999999</v>
      </c>
    </row>
    <row r="664" spans="1:3" x14ac:dyDescent="0.25">
      <c r="A664" s="4">
        <v>28125</v>
      </c>
      <c r="B664" s="6">
        <f>'Monthly CFS'!C670 * 86400 * DAY(EOMONTH(A664,0)) / 43560</f>
        <v>680.11730482639416</v>
      </c>
      <c r="C664">
        <v>854.25082799999996</v>
      </c>
    </row>
    <row r="665" spans="1:3" x14ac:dyDescent="0.25">
      <c r="A665" s="4">
        <v>28156</v>
      </c>
      <c r="B665" s="6">
        <f>'Monthly CFS'!C671 * 86400 * DAY(EOMONTH(A665,0)) / 43560</f>
        <v>133.67826149478654</v>
      </c>
      <c r="C665">
        <v>680.11730399999999</v>
      </c>
    </row>
    <row r="666" spans="1:3" x14ac:dyDescent="0.25">
      <c r="A666" s="4">
        <v>28184</v>
      </c>
      <c r="B666" s="6">
        <f>'Monthly CFS'!C672 * 86400 * DAY(EOMONTH(A666,0)) / 43560</f>
        <v>119.16117142312099</v>
      </c>
      <c r="C666">
        <v>120.741653</v>
      </c>
    </row>
    <row r="667" spans="1:3" x14ac:dyDescent="0.25">
      <c r="A667" s="4">
        <v>28215</v>
      </c>
      <c r="B667" s="6">
        <f>'Monthly CFS'!C673 * 86400 * DAY(EOMONTH(A667,0)) / 43560</f>
        <v>172.90393430908588</v>
      </c>
      <c r="C667">
        <v>131.928437</v>
      </c>
    </row>
    <row r="668" spans="1:3" x14ac:dyDescent="0.25">
      <c r="A668" s="4">
        <v>28245</v>
      </c>
      <c r="B668" s="6">
        <f>'Monthly CFS'!C674 * 86400 * DAY(EOMONTH(A668,0)) / 43560</f>
        <v>171.78564546640848</v>
      </c>
      <c r="C668">
        <v>167.32638800000001</v>
      </c>
    </row>
    <row r="669" spans="1:3" x14ac:dyDescent="0.25">
      <c r="A669" s="4">
        <v>28276</v>
      </c>
      <c r="B669" s="6">
        <f>'Monthly CFS'!C675 * 86400 * DAY(EOMONTH(A669,0)) / 43560</f>
        <v>253.44431317312686</v>
      </c>
      <c r="C669">
        <v>177.51182800000001</v>
      </c>
    </row>
    <row r="670" spans="1:3" x14ac:dyDescent="0.25">
      <c r="A670" s="4">
        <v>28306</v>
      </c>
      <c r="B670" s="6">
        <f>'Monthly CFS'!C676 * 86400 * DAY(EOMONTH(A670,0)) / 43560</f>
        <v>333.2883446208873</v>
      </c>
      <c r="C670">
        <v>245.268697</v>
      </c>
    </row>
    <row r="671" spans="1:3" x14ac:dyDescent="0.25">
      <c r="A671" s="4">
        <v>28337</v>
      </c>
      <c r="B671" s="6">
        <f>'Monthly CFS'!C677 * 86400 * DAY(EOMONTH(A671,0)) / 43560</f>
        <v>427.64946614031305</v>
      </c>
      <c r="C671">
        <v>344.39794899999998</v>
      </c>
    </row>
    <row r="672" spans="1:3" x14ac:dyDescent="0.25">
      <c r="A672" s="4">
        <v>28368</v>
      </c>
      <c r="B672" s="6">
        <f>'Monthly CFS'!C678 * 86400 * DAY(EOMONTH(A672,0)) / 43560</f>
        <v>467.57149087759342</v>
      </c>
      <c r="C672">
        <v>427.649472</v>
      </c>
    </row>
    <row r="673" spans="1:3" x14ac:dyDescent="0.25">
      <c r="A673" s="4">
        <v>28398</v>
      </c>
      <c r="B673" s="6">
        <f>'Monthly CFS'!C679 * 86400 * DAY(EOMONTH(A673,0)) / 43560</f>
        <v>394.38111519704643</v>
      </c>
      <c r="C673">
        <v>452.48855099999997</v>
      </c>
    </row>
    <row r="674" spans="1:3" x14ac:dyDescent="0.25">
      <c r="A674" s="4">
        <v>28429</v>
      </c>
      <c r="B674" s="6">
        <f>'Monthly CFS'!C680 * 86400 * DAY(EOMONTH(A674,0)) / 43560</f>
        <v>268.56628350001193</v>
      </c>
      <c r="C674">
        <v>407.52715499999999</v>
      </c>
    </row>
    <row r="675" spans="1:3" x14ac:dyDescent="0.25">
      <c r="A675" s="4">
        <v>28459</v>
      </c>
      <c r="B675" s="6">
        <f>'Monthly CFS'!C681 * 86400 * DAY(EOMONTH(A675,0)) / 43560</f>
        <v>170.57588946266972</v>
      </c>
      <c r="C675">
        <v>259.90284400000002</v>
      </c>
    </row>
    <row r="676" spans="1:3" x14ac:dyDescent="0.25">
      <c r="A676" s="4">
        <v>28490</v>
      </c>
      <c r="B676" s="6">
        <f>'Monthly CFS'!C682 * 86400 * DAY(EOMONTH(A676,0)) / 43560</f>
        <v>140.33193528879991</v>
      </c>
      <c r="C676">
        <v>176.26175900000001</v>
      </c>
    </row>
    <row r="677" spans="1:3" x14ac:dyDescent="0.25">
      <c r="A677" s="4">
        <v>28521</v>
      </c>
      <c r="B677" s="6">
        <f>'Monthly CFS'!C683 * 86400 * DAY(EOMONTH(A677,0)) / 43560</f>
        <v>133.67826149478657</v>
      </c>
      <c r="C677">
        <v>140.33194</v>
      </c>
    </row>
    <row r="678" spans="1:3" x14ac:dyDescent="0.25">
      <c r="A678" s="4">
        <v>28549</v>
      </c>
      <c r="B678" s="6">
        <f>'Monthly CFS'!C684 * 86400 * DAY(EOMONTH(A678,0)) / 43560</f>
        <v>628.54632851595625</v>
      </c>
      <c r="C678">
        <v>120.741653</v>
      </c>
    </row>
    <row r="679" spans="1:3" x14ac:dyDescent="0.25">
      <c r="A679" s="4">
        <v>28580</v>
      </c>
      <c r="B679" s="6">
        <f>'Monthly CFS'!C685 * 86400 * DAY(EOMONTH(A679,0)) / 43560</f>
        <v>1094.3172492060544</v>
      </c>
      <c r="C679">
        <v>695.89058999999997</v>
      </c>
    </row>
    <row r="680" spans="1:3" x14ac:dyDescent="0.25">
      <c r="A680" s="4">
        <v>28610</v>
      </c>
      <c r="B680" s="6">
        <f>'Monthly CFS'!C686 * 86400 * DAY(EOMONTH(A680,0)) / 43560</f>
        <v>1561.6876860582588</v>
      </c>
      <c r="C680">
        <v>1059.016658</v>
      </c>
    </row>
    <row r="681" spans="1:3" x14ac:dyDescent="0.25">
      <c r="A681" s="4">
        <v>28641</v>
      </c>
      <c r="B681" s="6">
        <f>'Monthly CFS'!C687 * 86400 * DAY(EOMONTH(A681,0)) / 43560</f>
        <v>2304.0392106647901</v>
      </c>
      <c r="C681">
        <v>1613.74396</v>
      </c>
    </row>
    <row r="682" spans="1:3" x14ac:dyDescent="0.25">
      <c r="A682" s="4">
        <v>28671</v>
      </c>
      <c r="B682" s="6">
        <f>'Monthly CFS'!C688 * 86400 * DAY(EOMONTH(A682,0)) / 43560</f>
        <v>3029.8940420080671</v>
      </c>
      <c r="C682">
        <v>2229.7154700000001</v>
      </c>
    </row>
    <row r="683" spans="1:3" x14ac:dyDescent="0.25">
      <c r="A683" s="4">
        <v>28702</v>
      </c>
      <c r="B683" s="6">
        <f>'Monthly CFS'!C689 * 86400 * DAY(EOMONTH(A683,0)) / 43560</f>
        <v>3887.7224194573919</v>
      </c>
      <c r="C683">
        <v>3130.8904779999998</v>
      </c>
    </row>
    <row r="684" spans="1:3" x14ac:dyDescent="0.25">
      <c r="A684" s="4">
        <v>28733</v>
      </c>
      <c r="B684" s="6">
        <f>'Monthly CFS'!C690 * 86400 * DAY(EOMONTH(A684,0)) / 43560</f>
        <v>4250.6499170690286</v>
      </c>
      <c r="C684">
        <v>3887.7225060000001</v>
      </c>
    </row>
    <row r="685" spans="1:3" x14ac:dyDescent="0.25">
      <c r="A685" s="4">
        <v>28763</v>
      </c>
      <c r="B685" s="6">
        <f>'Monthly CFS'!C691 * 86400 * DAY(EOMONTH(A685,0)) / 43560</f>
        <v>3585.2828654276937</v>
      </c>
      <c r="C685">
        <v>4113.5323010000002</v>
      </c>
    </row>
    <row r="686" spans="1:3" x14ac:dyDescent="0.25">
      <c r="A686" s="4">
        <v>28794</v>
      </c>
      <c r="B686" s="6">
        <f>'Monthly CFS'!C692 * 86400 * DAY(EOMONTH(A686,0)) / 43560</f>
        <v>2441.5116681819263</v>
      </c>
      <c r="C686">
        <v>3704.792289</v>
      </c>
    </row>
    <row r="687" spans="1:3" x14ac:dyDescent="0.25">
      <c r="A687" s="4">
        <v>28824</v>
      </c>
      <c r="B687" s="6">
        <f>'Monthly CFS'!C693 * 86400 * DAY(EOMONTH(A687,0)) / 43560</f>
        <v>1550.6899042060888</v>
      </c>
      <c r="C687">
        <v>2362.7533210000001</v>
      </c>
    </row>
    <row r="688" spans="1:3" x14ac:dyDescent="0.25">
      <c r="A688" s="4">
        <v>28855</v>
      </c>
      <c r="B688" s="6">
        <f>'Monthly CFS'!C694 * 86400 * DAY(EOMONTH(A688,0)) / 43560</f>
        <v>1275.7448662618172</v>
      </c>
      <c r="C688">
        <v>1602.3795749999999</v>
      </c>
    </row>
    <row r="689" spans="1:3" x14ac:dyDescent="0.25">
      <c r="A689" s="4">
        <v>28886</v>
      </c>
      <c r="B689" s="6">
        <f>'Monthly CFS'!C695 * 86400 * DAY(EOMONTH(A689,0)) / 43560</f>
        <v>133.67826149478657</v>
      </c>
      <c r="C689">
        <v>1275.7448609999999</v>
      </c>
    </row>
    <row r="690" spans="1:3" x14ac:dyDescent="0.25">
      <c r="A690" s="4">
        <v>28914</v>
      </c>
      <c r="B690" s="6">
        <f>'Monthly CFS'!C696 * 86400 * DAY(EOMONTH(A690,0)) / 43560</f>
        <v>157.59103140000636</v>
      </c>
      <c r="C690">
        <v>120.741653</v>
      </c>
    </row>
    <row r="691" spans="1:3" x14ac:dyDescent="0.25">
      <c r="A691" s="4">
        <v>28945</v>
      </c>
      <c r="B691" s="6">
        <f>'Monthly CFS'!C697 * 86400 * DAY(EOMONTH(A691,0)) / 43560</f>
        <v>733.93791838673417</v>
      </c>
      <c r="C691">
        <v>174.475786</v>
      </c>
    </row>
    <row r="692" spans="1:3" x14ac:dyDescent="0.25">
      <c r="A692" s="4">
        <v>28975</v>
      </c>
      <c r="B692" s="6">
        <f>'Monthly CFS'!C698 * 86400 * DAY(EOMONTH(A692,0)) / 43560</f>
        <v>1561.6876860582588</v>
      </c>
      <c r="C692">
        <v>710.26248099999998</v>
      </c>
    </row>
    <row r="693" spans="1:3" x14ac:dyDescent="0.25">
      <c r="A693" s="4">
        <v>29006</v>
      </c>
      <c r="B693" s="6">
        <f>'Monthly CFS'!C699 * 86400 * DAY(EOMONTH(A693,0)) / 43560</f>
        <v>2304.0392106647914</v>
      </c>
      <c r="C693">
        <v>1613.74396</v>
      </c>
    </row>
    <row r="694" spans="1:3" x14ac:dyDescent="0.25">
      <c r="A694" s="4">
        <v>29036</v>
      </c>
      <c r="B694" s="6">
        <f>'Monthly CFS'!C700 * 86400 * DAY(EOMONTH(A694,0)) / 43560</f>
        <v>3029.8940420080671</v>
      </c>
      <c r="C694">
        <v>2229.7154700000001</v>
      </c>
    </row>
    <row r="695" spans="1:3" x14ac:dyDescent="0.25">
      <c r="A695" s="4">
        <v>29067</v>
      </c>
      <c r="B695" s="6">
        <f>'Monthly CFS'!C701 * 86400 * DAY(EOMONTH(A695,0)) / 43560</f>
        <v>3887.7224194573905</v>
      </c>
      <c r="C695">
        <v>3130.8904779999998</v>
      </c>
    </row>
    <row r="696" spans="1:3" x14ac:dyDescent="0.25">
      <c r="A696" s="4">
        <v>29098</v>
      </c>
      <c r="B696" s="6">
        <f>'Monthly CFS'!C702 * 86400 * DAY(EOMONTH(A696,0)) / 43560</f>
        <v>4250.6499170690258</v>
      </c>
      <c r="C696">
        <v>3887.7225060000001</v>
      </c>
    </row>
    <row r="697" spans="1:3" x14ac:dyDescent="0.25">
      <c r="A697" s="4">
        <v>29128</v>
      </c>
      <c r="B697" s="6">
        <f>'Monthly CFS'!C703 * 86400 * DAY(EOMONTH(A697,0)) / 43560</f>
        <v>3585.2828654276946</v>
      </c>
      <c r="C697">
        <v>4113.5323010000002</v>
      </c>
    </row>
    <row r="698" spans="1:3" x14ac:dyDescent="0.25">
      <c r="A698" s="4">
        <v>29159</v>
      </c>
      <c r="B698" s="6">
        <f>'Monthly CFS'!C704 * 86400 * DAY(EOMONTH(A698,0)) / 43560</f>
        <v>2441.5116681819259</v>
      </c>
      <c r="C698">
        <v>3704.792289</v>
      </c>
    </row>
    <row r="699" spans="1:3" x14ac:dyDescent="0.25">
      <c r="A699" s="4">
        <v>29189</v>
      </c>
      <c r="B699" s="6">
        <f>'Monthly CFS'!C705 * 86400 * DAY(EOMONTH(A699,0)) / 43560</f>
        <v>1550.6899042060877</v>
      </c>
      <c r="C699">
        <v>2362.7533210000001</v>
      </c>
    </row>
    <row r="700" spans="1:3" x14ac:dyDescent="0.25">
      <c r="A700" s="4">
        <v>29220</v>
      </c>
      <c r="B700" s="6">
        <f>'Monthly CFS'!C706 * 86400 * DAY(EOMONTH(A700,0)) / 43560</f>
        <v>1275.7448662618174</v>
      </c>
      <c r="C700">
        <v>1602.3795749999999</v>
      </c>
    </row>
    <row r="701" spans="1:3" x14ac:dyDescent="0.25">
      <c r="A701" s="4">
        <v>29251</v>
      </c>
      <c r="B701" s="6">
        <f>'Monthly CFS'!C707 * 86400 * DAY(EOMONTH(A701,0)) / 43560</f>
        <v>887.10998360026827</v>
      </c>
      <c r="C701">
        <v>1275.7448609999999</v>
      </c>
    </row>
    <row r="702" spans="1:3" x14ac:dyDescent="0.25">
      <c r="A702" s="4">
        <v>29280</v>
      </c>
      <c r="B702" s="6">
        <f>'Monthly CFS'!C708 * 86400 * DAY(EOMONTH(A702,0)) / 43560</f>
        <v>1083.2833765738276</v>
      </c>
      <c r="C702">
        <v>829.87707699999999</v>
      </c>
    </row>
    <row r="703" spans="1:3" x14ac:dyDescent="0.25">
      <c r="A703" s="4">
        <v>29311</v>
      </c>
      <c r="B703" s="6">
        <f>'Monthly CFS'!C709 * 86400 * DAY(EOMONTH(A703,0)) / 43560</f>
        <v>1314.2371232294154</v>
      </c>
      <c r="C703">
        <v>1157.992526</v>
      </c>
    </row>
    <row r="704" spans="1:3" x14ac:dyDescent="0.25">
      <c r="A704" s="4">
        <v>29341</v>
      </c>
      <c r="B704" s="6">
        <f>'Monthly CFS'!C710 * 86400 * DAY(EOMONTH(A704,0)) / 43560</f>
        <v>1561.687686058259</v>
      </c>
      <c r="C704">
        <v>1271.8423760000001</v>
      </c>
    </row>
    <row r="705" spans="1:3" x14ac:dyDescent="0.25">
      <c r="A705" s="4">
        <v>29372</v>
      </c>
      <c r="B705" s="6">
        <f>'Monthly CFS'!C711 * 86400 * DAY(EOMONTH(A705,0)) / 43560</f>
        <v>2304.039210664791</v>
      </c>
      <c r="C705">
        <v>1613.74396</v>
      </c>
    </row>
    <row r="706" spans="1:3" x14ac:dyDescent="0.25">
      <c r="A706" s="4">
        <v>29402</v>
      </c>
      <c r="B706" s="6">
        <f>'Monthly CFS'!C712 * 86400 * DAY(EOMONTH(A706,0)) / 43560</f>
        <v>3029.8940420080658</v>
      </c>
      <c r="C706">
        <v>2229.7154700000001</v>
      </c>
    </row>
    <row r="707" spans="1:3" x14ac:dyDescent="0.25">
      <c r="A707" s="4">
        <v>29433</v>
      </c>
      <c r="B707" s="6">
        <f>'Monthly CFS'!C713 * 86400 * DAY(EOMONTH(A707,0)) / 43560</f>
        <v>3887.7224194573905</v>
      </c>
      <c r="C707">
        <v>3130.8904779999998</v>
      </c>
    </row>
    <row r="708" spans="1:3" x14ac:dyDescent="0.25">
      <c r="A708" s="4">
        <v>29464</v>
      </c>
      <c r="B708" s="6">
        <f>'Monthly CFS'!C714 * 86400 * DAY(EOMONTH(A708,0)) / 43560</f>
        <v>4250.6499170690267</v>
      </c>
      <c r="C708">
        <v>3887.7225060000001</v>
      </c>
    </row>
    <row r="709" spans="1:3" x14ac:dyDescent="0.25">
      <c r="A709" s="4">
        <v>29494</v>
      </c>
      <c r="B709" s="6">
        <f>'Monthly CFS'!C715 * 86400 * DAY(EOMONTH(A709,0)) / 43560</f>
        <v>3585.2828654276932</v>
      </c>
      <c r="C709">
        <v>4113.5323010000002</v>
      </c>
    </row>
    <row r="710" spans="1:3" x14ac:dyDescent="0.25">
      <c r="A710" s="4">
        <v>29525</v>
      </c>
      <c r="B710" s="6">
        <f>'Monthly CFS'!C716 * 86400 * DAY(EOMONTH(A710,0)) / 43560</f>
        <v>2441.5116681819259</v>
      </c>
      <c r="C710">
        <v>3704.792289</v>
      </c>
    </row>
    <row r="711" spans="1:3" x14ac:dyDescent="0.25">
      <c r="A711" s="4">
        <v>29555</v>
      </c>
      <c r="B711" s="6">
        <f>'Monthly CFS'!C717 * 86400 * DAY(EOMONTH(A711,0)) / 43560</f>
        <v>1550.6899042060882</v>
      </c>
      <c r="C711">
        <v>2362.7533210000001</v>
      </c>
    </row>
    <row r="712" spans="1:3" x14ac:dyDescent="0.25">
      <c r="A712" s="4">
        <v>29586</v>
      </c>
      <c r="B712" s="6">
        <f>'Monthly CFS'!C718 * 86400 * DAY(EOMONTH(A712,0)) / 43560</f>
        <v>1275.7448662618172</v>
      </c>
      <c r="C712">
        <v>1602.3795749999999</v>
      </c>
    </row>
    <row r="713" spans="1:3" x14ac:dyDescent="0.25">
      <c r="A713" s="4">
        <v>29617</v>
      </c>
      <c r="B713" s="6">
        <f>'Monthly CFS'!C719 * 86400 * DAY(EOMONTH(A713,0)) / 43560</f>
        <v>133.67826149478657</v>
      </c>
      <c r="C713">
        <v>1275.7448609999999</v>
      </c>
    </row>
    <row r="714" spans="1:3" x14ac:dyDescent="0.25">
      <c r="A714" s="4">
        <v>29645</v>
      </c>
      <c r="B714" s="6">
        <f>'Monthly CFS'!C720 * 86400 * DAY(EOMONTH(A714,0)) / 43560</f>
        <v>119.16117142312108</v>
      </c>
      <c r="C714">
        <v>120.741653</v>
      </c>
    </row>
    <row r="715" spans="1:3" x14ac:dyDescent="0.25">
      <c r="A715" s="4">
        <v>29676</v>
      </c>
      <c r="B715" s="6">
        <f>'Monthly CFS'!C721 * 86400 * DAY(EOMONTH(A715,0)) / 43560</f>
        <v>214.72123202124641</v>
      </c>
      <c r="C715">
        <v>131.928437</v>
      </c>
    </row>
    <row r="716" spans="1:3" x14ac:dyDescent="0.25">
      <c r="A716" s="4">
        <v>29706</v>
      </c>
      <c r="B716" s="6">
        <f>'Monthly CFS'!C722 * 86400 * DAY(EOMONTH(A716,0)) / 43560</f>
        <v>922.84756023982322</v>
      </c>
      <c r="C716">
        <v>207.794735</v>
      </c>
    </row>
    <row r="717" spans="1:3" x14ac:dyDescent="0.25">
      <c r="A717" s="4">
        <v>29737</v>
      </c>
      <c r="B717" s="6">
        <f>'Monthly CFS'!C723 * 86400 * DAY(EOMONTH(A717,0)) / 43560</f>
        <v>1361.5250880447609</v>
      </c>
      <c r="C717">
        <v>953.60911799999997</v>
      </c>
    </row>
    <row r="718" spans="1:3" x14ac:dyDescent="0.25">
      <c r="A718" s="4">
        <v>29767</v>
      </c>
      <c r="B718" s="6">
        <f>'Monthly CFS'!C724 * 86400 * DAY(EOMONTH(A718,0)) / 43560</f>
        <v>1790.4542306469905</v>
      </c>
      <c r="C718">
        <v>1317.604973</v>
      </c>
    </row>
    <row r="719" spans="1:3" x14ac:dyDescent="0.25">
      <c r="A719" s="4">
        <v>29798</v>
      </c>
      <c r="B719" s="6">
        <f>'Monthly CFS'!C725 * 86400 * DAY(EOMONTH(A719,0)) / 43560</f>
        <v>2297.3704548708815</v>
      </c>
      <c r="C719">
        <v>1850.136074</v>
      </c>
    </row>
    <row r="720" spans="1:3" x14ac:dyDescent="0.25">
      <c r="A720" s="4">
        <v>29829</v>
      </c>
      <c r="B720" s="6">
        <f>'Monthly CFS'!C726 * 86400 * DAY(EOMONTH(A720,0)) / 43560</f>
        <v>2511.8350745927728</v>
      </c>
      <c r="C720">
        <v>2297.370406</v>
      </c>
    </row>
    <row r="721" spans="1:3" x14ac:dyDescent="0.25">
      <c r="A721" s="4">
        <v>29859</v>
      </c>
      <c r="B721" s="6">
        <f>'Monthly CFS'!C727 * 86400 * DAY(EOMONTH(A721,0)) / 43560</f>
        <v>2118.6499545762313</v>
      </c>
      <c r="C721">
        <v>2430.808176</v>
      </c>
    </row>
    <row r="722" spans="1:3" x14ac:dyDescent="0.25">
      <c r="A722" s="4">
        <v>29890</v>
      </c>
      <c r="B722" s="6">
        <f>'Monthly CFS'!C728 * 86400 * DAY(EOMONTH(A722,0)) / 43560</f>
        <v>1442.7616394707861</v>
      </c>
      <c r="C722">
        <v>2189.2717170000001</v>
      </c>
    </row>
    <row r="723" spans="1:3" x14ac:dyDescent="0.25">
      <c r="A723" s="4">
        <v>29920</v>
      </c>
      <c r="B723" s="6">
        <f>'Monthly CFS'!C729 * 86400 * DAY(EOMONTH(A723,0)) / 43560</f>
        <v>916.34864484148068</v>
      </c>
      <c r="C723">
        <v>1396.2208900000001</v>
      </c>
    </row>
    <row r="724" spans="1:3" x14ac:dyDescent="0.25">
      <c r="A724" s="4">
        <v>29951</v>
      </c>
      <c r="B724" s="6">
        <f>'Monthly CFS'!C730 * 86400 * DAY(EOMONTH(A724,0)) / 43560</f>
        <v>753.87546935826765</v>
      </c>
      <c r="C724">
        <v>946.89358700000003</v>
      </c>
    </row>
    <row r="725" spans="1:3" x14ac:dyDescent="0.25">
      <c r="A725" s="4">
        <v>29982</v>
      </c>
      <c r="B725" s="6">
        <f>'Monthly CFS'!C731 * 86400 * DAY(EOMONTH(A725,0)) / 43560</f>
        <v>1215.256922679878</v>
      </c>
      <c r="C725">
        <v>753.87544200000002</v>
      </c>
    </row>
    <row r="726" spans="1:3" x14ac:dyDescent="0.25">
      <c r="A726" s="4">
        <v>30010</v>
      </c>
      <c r="B726" s="6">
        <f>'Monthly CFS'!C732 * 86400 * DAY(EOMONTH(A726,0)) / 43560</f>
        <v>1083.2833765738276</v>
      </c>
      <c r="C726">
        <v>1097.6514279999999</v>
      </c>
    </row>
    <row r="727" spans="1:3" x14ac:dyDescent="0.25">
      <c r="A727" s="4">
        <v>30041</v>
      </c>
      <c r="B727" s="6">
        <f>'Monthly CFS'!C733 * 86400 * DAY(EOMONTH(A727,0)) / 43560</f>
        <v>1314.2371232294154</v>
      </c>
      <c r="C727">
        <v>1199.3494270000001</v>
      </c>
    </row>
    <row r="728" spans="1:3" x14ac:dyDescent="0.25">
      <c r="A728" s="4">
        <v>30071</v>
      </c>
      <c r="B728" s="6">
        <f>'Monthly CFS'!C734 * 86400 * DAY(EOMONTH(A728,0)) / 43560</f>
        <v>1561.6876860582584</v>
      </c>
      <c r="C728">
        <v>1271.8423760000001</v>
      </c>
    </row>
    <row r="729" spans="1:3" x14ac:dyDescent="0.25">
      <c r="A729" s="4">
        <v>30102</v>
      </c>
      <c r="B729" s="6">
        <f>'Monthly CFS'!C735 * 86400 * DAY(EOMONTH(A729,0)) / 43560</f>
        <v>2304.039210664791</v>
      </c>
      <c r="C729">
        <v>1613.74396</v>
      </c>
    </row>
    <row r="730" spans="1:3" x14ac:dyDescent="0.25">
      <c r="A730" s="4">
        <v>30132</v>
      </c>
      <c r="B730" s="6">
        <f>'Monthly CFS'!C736 * 86400 * DAY(EOMONTH(A730,0)) / 43560</f>
        <v>3029.8940420080662</v>
      </c>
      <c r="C730">
        <v>2229.7154700000001</v>
      </c>
    </row>
    <row r="731" spans="1:3" x14ac:dyDescent="0.25">
      <c r="A731" s="4">
        <v>30163</v>
      </c>
      <c r="B731" s="6">
        <f>'Monthly CFS'!C737 * 86400 * DAY(EOMONTH(A731,0)) / 43560</f>
        <v>3887.7224194573914</v>
      </c>
      <c r="C731">
        <v>3130.8904779999998</v>
      </c>
    </row>
    <row r="732" spans="1:3" x14ac:dyDescent="0.25">
      <c r="A732" s="4">
        <v>30194</v>
      </c>
      <c r="B732" s="6">
        <f>'Monthly CFS'!C738 * 86400 * DAY(EOMONTH(A732,0)) / 43560</f>
        <v>4250.6499170690295</v>
      </c>
      <c r="C732">
        <v>3887.7225060000001</v>
      </c>
    </row>
    <row r="733" spans="1:3" x14ac:dyDescent="0.25">
      <c r="A733" s="4">
        <v>30224</v>
      </c>
      <c r="B733" s="6">
        <f>'Monthly CFS'!C739 * 86400 * DAY(EOMONTH(A733,0)) / 43560</f>
        <v>3585.2828654276932</v>
      </c>
      <c r="C733">
        <v>4113.5323010000002</v>
      </c>
    </row>
    <row r="734" spans="1:3" x14ac:dyDescent="0.25">
      <c r="A734" s="4">
        <v>30255</v>
      </c>
      <c r="B734" s="6">
        <f>'Monthly CFS'!C740 * 86400 * DAY(EOMONTH(A734,0)) / 43560</f>
        <v>2441.5116681819272</v>
      </c>
      <c r="C734">
        <v>3704.792289</v>
      </c>
    </row>
    <row r="735" spans="1:3" x14ac:dyDescent="0.25">
      <c r="A735" s="4">
        <v>30285</v>
      </c>
      <c r="B735" s="6">
        <f>'Monthly CFS'!C741 * 86400 * DAY(EOMONTH(A735,0)) / 43560</f>
        <v>1550.6899042060877</v>
      </c>
      <c r="C735">
        <v>2362.7533210000001</v>
      </c>
    </row>
    <row r="736" spans="1:3" x14ac:dyDescent="0.25">
      <c r="A736" s="4">
        <v>30316</v>
      </c>
      <c r="B736" s="6">
        <f>'Monthly CFS'!C742 * 86400 * DAY(EOMONTH(A736,0)) / 43560</f>
        <v>1275.7448662618172</v>
      </c>
      <c r="C736">
        <v>1602.3795749999999</v>
      </c>
    </row>
    <row r="737" spans="1:3" x14ac:dyDescent="0.25">
      <c r="A737" s="4">
        <v>30347</v>
      </c>
      <c r="B737" s="6">
        <f>'Monthly CFS'!C743 * 86400 * DAY(EOMONTH(A737,0)) / 43560</f>
        <v>1215.2569226798778</v>
      </c>
      <c r="C737">
        <v>1275.7448609999999</v>
      </c>
    </row>
    <row r="738" spans="1:3" x14ac:dyDescent="0.25">
      <c r="A738" s="4">
        <v>30375</v>
      </c>
      <c r="B738" s="6">
        <f>'Monthly CFS'!C744 * 86400 * DAY(EOMONTH(A738,0)) / 43560</f>
        <v>1083.2833765738274</v>
      </c>
      <c r="C738">
        <v>1097.6514279999999</v>
      </c>
    </row>
    <row r="739" spans="1:3" x14ac:dyDescent="0.25">
      <c r="A739" s="4">
        <v>30406</v>
      </c>
      <c r="B739" s="6">
        <f>'Monthly CFS'!C745 * 86400 * DAY(EOMONTH(A739,0)) / 43560</f>
        <v>1314.2371232294156</v>
      </c>
      <c r="C739">
        <v>1199.3494270000001</v>
      </c>
    </row>
    <row r="740" spans="1:3" x14ac:dyDescent="0.25">
      <c r="A740" s="4">
        <v>30436</v>
      </c>
      <c r="B740" s="6">
        <f>'Monthly CFS'!C746 * 86400 * DAY(EOMONTH(A740,0)) / 43560</f>
        <v>1561.6876860582588</v>
      </c>
      <c r="C740">
        <v>1271.8423760000001</v>
      </c>
    </row>
    <row r="741" spans="1:3" x14ac:dyDescent="0.25">
      <c r="A741" s="4">
        <v>30467</v>
      </c>
      <c r="B741" s="6">
        <f>'Monthly CFS'!C747 * 86400 * DAY(EOMONTH(A741,0)) / 43560</f>
        <v>2304.0392106647905</v>
      </c>
      <c r="C741">
        <v>1613.74396</v>
      </c>
    </row>
    <row r="742" spans="1:3" x14ac:dyDescent="0.25">
      <c r="A742" s="4">
        <v>30497</v>
      </c>
      <c r="B742" s="6">
        <f>'Monthly CFS'!C748 * 86400 * DAY(EOMONTH(A742,0)) / 43560</f>
        <v>3029.8940420080662</v>
      </c>
      <c r="C742">
        <v>2229.7154700000001</v>
      </c>
    </row>
    <row r="743" spans="1:3" x14ac:dyDescent="0.25">
      <c r="A743" s="4">
        <v>30528</v>
      </c>
      <c r="B743" s="6">
        <f>'Monthly CFS'!C749 * 86400 * DAY(EOMONTH(A743,0)) / 43560</f>
        <v>3887.7224194573919</v>
      </c>
      <c r="C743">
        <v>3130.8904779999998</v>
      </c>
    </row>
    <row r="744" spans="1:3" x14ac:dyDescent="0.25">
      <c r="A744" s="4">
        <v>30559</v>
      </c>
      <c r="B744" s="6">
        <f>'Monthly CFS'!C750 * 86400 * DAY(EOMONTH(A744,0)) / 43560</f>
        <v>4250.6499170690286</v>
      </c>
      <c r="C744">
        <v>3887.7225060000001</v>
      </c>
    </row>
    <row r="745" spans="1:3" x14ac:dyDescent="0.25">
      <c r="A745" s="4">
        <v>30589</v>
      </c>
      <c r="B745" s="6">
        <f>'Monthly CFS'!C751 * 86400 * DAY(EOMONTH(A745,0)) / 43560</f>
        <v>3585.2828654276937</v>
      </c>
      <c r="C745">
        <v>4113.5323010000002</v>
      </c>
    </row>
    <row r="746" spans="1:3" x14ac:dyDescent="0.25">
      <c r="A746" s="4">
        <v>30620</v>
      </c>
      <c r="B746" s="6">
        <f>'Monthly CFS'!C752 * 86400 * DAY(EOMONTH(A746,0)) / 43560</f>
        <v>2441.5116681819263</v>
      </c>
      <c r="C746">
        <v>3704.792289</v>
      </c>
    </row>
    <row r="747" spans="1:3" x14ac:dyDescent="0.25">
      <c r="A747" s="4">
        <v>30650</v>
      </c>
      <c r="B747" s="6">
        <f>'Monthly CFS'!C753 * 86400 * DAY(EOMONTH(A747,0)) / 43560</f>
        <v>1550.6899042060877</v>
      </c>
      <c r="C747">
        <v>2362.7533210000001</v>
      </c>
    </row>
    <row r="748" spans="1:3" x14ac:dyDescent="0.25">
      <c r="A748" s="4">
        <v>30681</v>
      </c>
      <c r="B748" s="6">
        <f>'Monthly CFS'!C754 * 86400 * DAY(EOMONTH(A748,0)) / 43560</f>
        <v>1275.7448662618172</v>
      </c>
      <c r="C748">
        <v>1602.3795749999999</v>
      </c>
    </row>
    <row r="749" spans="1:3" x14ac:dyDescent="0.25">
      <c r="A749" s="4">
        <v>30712</v>
      </c>
      <c r="B749" s="6">
        <f>'Monthly CFS'!C755 * 86400 * DAY(EOMONTH(A749,0)) / 43560</f>
        <v>1215.256922679878</v>
      </c>
      <c r="C749">
        <v>1275.7448609999999</v>
      </c>
    </row>
    <row r="750" spans="1:3" x14ac:dyDescent="0.25">
      <c r="A750" s="4">
        <v>30741</v>
      </c>
      <c r="B750" s="6">
        <f>'Monthly CFS'!C756 * 86400 * DAY(EOMONTH(A750,0)) / 43560</f>
        <v>1083.2833765738274</v>
      </c>
      <c r="C750">
        <v>1136.8532640000001</v>
      </c>
    </row>
    <row r="751" spans="1:3" x14ac:dyDescent="0.25">
      <c r="A751" s="4">
        <v>30772</v>
      </c>
      <c r="B751" s="6">
        <f>'Monthly CFS'!C757 * 86400 * DAY(EOMONTH(A751,0)) / 43560</f>
        <v>1314.2371232294156</v>
      </c>
      <c r="C751">
        <v>1157.992526</v>
      </c>
    </row>
    <row r="752" spans="1:3" x14ac:dyDescent="0.25">
      <c r="A752" s="4">
        <v>30802</v>
      </c>
      <c r="B752" s="6">
        <f>'Monthly CFS'!C758 * 86400 * DAY(EOMONTH(A752,0)) / 43560</f>
        <v>1561.6876860582584</v>
      </c>
      <c r="C752">
        <v>1271.8423760000001</v>
      </c>
    </row>
    <row r="753" spans="1:3" x14ac:dyDescent="0.25">
      <c r="A753" s="4">
        <v>30833</v>
      </c>
      <c r="B753" s="6">
        <f>'Monthly CFS'!C759 * 86400 * DAY(EOMONTH(A753,0)) / 43560</f>
        <v>2304.039210664791</v>
      </c>
      <c r="C753">
        <v>1613.74396</v>
      </c>
    </row>
    <row r="754" spans="1:3" x14ac:dyDescent="0.25">
      <c r="A754" s="4">
        <v>30863</v>
      </c>
      <c r="B754" s="6">
        <f>'Monthly CFS'!C760 * 86400 * DAY(EOMONTH(A754,0)) / 43560</f>
        <v>3029.8940420080671</v>
      </c>
      <c r="C754">
        <v>2229.7154700000001</v>
      </c>
    </row>
    <row r="755" spans="1:3" x14ac:dyDescent="0.25">
      <c r="A755" s="4">
        <v>30894</v>
      </c>
      <c r="B755" s="6">
        <f>'Monthly CFS'!C761 * 86400 * DAY(EOMONTH(A755,0)) / 43560</f>
        <v>3887.7224194573928</v>
      </c>
      <c r="C755">
        <v>3130.8904779999998</v>
      </c>
    </row>
    <row r="756" spans="1:3" x14ac:dyDescent="0.25">
      <c r="A756" s="4">
        <v>30925</v>
      </c>
      <c r="B756" s="6">
        <f>'Monthly CFS'!C762 * 86400 * DAY(EOMONTH(A756,0)) / 43560</f>
        <v>4250.6499170690295</v>
      </c>
      <c r="C756">
        <v>3887.7225060000001</v>
      </c>
    </row>
    <row r="757" spans="1:3" x14ac:dyDescent="0.25">
      <c r="A757" s="4">
        <v>30955</v>
      </c>
      <c r="B757" s="6">
        <f>'Monthly CFS'!C763 * 86400 * DAY(EOMONTH(A757,0)) / 43560</f>
        <v>3585.2828654276959</v>
      </c>
      <c r="C757">
        <v>4113.5323010000002</v>
      </c>
    </row>
    <row r="758" spans="1:3" x14ac:dyDescent="0.25">
      <c r="A758" s="4">
        <v>30986</v>
      </c>
      <c r="B758" s="6">
        <f>'Monthly CFS'!C764 * 86400 * DAY(EOMONTH(A758,0)) / 43560</f>
        <v>2441.5116681819272</v>
      </c>
      <c r="C758">
        <v>3704.792289</v>
      </c>
    </row>
    <row r="759" spans="1:3" x14ac:dyDescent="0.25">
      <c r="A759" s="4">
        <v>31016</v>
      </c>
      <c r="B759" s="6">
        <f>'Monthly CFS'!C765 * 86400 * DAY(EOMONTH(A759,0)) / 43560</f>
        <v>1550.6899042060884</v>
      </c>
      <c r="C759">
        <v>2362.7533210000001</v>
      </c>
    </row>
    <row r="760" spans="1:3" x14ac:dyDescent="0.25">
      <c r="A760" s="4">
        <v>31047</v>
      </c>
      <c r="B760" s="6">
        <f>'Monthly CFS'!C766 * 86400 * DAY(EOMONTH(A760,0)) / 43560</f>
        <v>1275.7448662618172</v>
      </c>
      <c r="C760">
        <v>1602.3795749999999</v>
      </c>
    </row>
    <row r="761" spans="1:3" x14ac:dyDescent="0.25">
      <c r="A761" s="4">
        <v>31078</v>
      </c>
      <c r="B761" s="6">
        <f>'Monthly CFS'!C767 * 86400 * DAY(EOMONTH(A761,0)) / 43560</f>
        <v>837.01665800640171</v>
      </c>
      <c r="C761">
        <v>1275.7448609999999</v>
      </c>
    </row>
    <row r="762" spans="1:3" x14ac:dyDescent="0.25">
      <c r="A762" s="4">
        <v>31106</v>
      </c>
      <c r="B762" s="6">
        <f>'Monthly CFS'!C768 * 86400 * DAY(EOMONTH(A762,0)) / 43560</f>
        <v>287.79296791486087</v>
      </c>
      <c r="C762">
        <v>756.01505199999997</v>
      </c>
    </row>
    <row r="763" spans="1:3" x14ac:dyDescent="0.25">
      <c r="A763" s="4">
        <v>31137</v>
      </c>
      <c r="B763" s="6">
        <f>'Monthly CFS'!C769 * 86400 * DAY(EOMONTH(A763,0)) / 43560</f>
        <v>282.09119225399417</v>
      </c>
      <c r="C763">
        <v>318.62792000000002</v>
      </c>
    </row>
    <row r="764" spans="1:3" x14ac:dyDescent="0.25">
      <c r="A764" s="4">
        <v>31167</v>
      </c>
      <c r="B764" s="6">
        <f>'Monthly CFS'!C770 * 86400 * DAY(EOMONTH(A764,0)) / 43560</f>
        <v>1278.0812241374886</v>
      </c>
      <c r="C764">
        <v>272.99146999999999</v>
      </c>
    </row>
    <row r="765" spans="1:3" x14ac:dyDescent="0.25">
      <c r="A765" s="4">
        <v>31198</v>
      </c>
      <c r="B765" s="6">
        <f>'Monthly CFS'!C771 * 86400 * DAY(EOMONTH(A765,0)) / 43560</f>
        <v>1885.6198208617834</v>
      </c>
      <c r="C765">
        <v>1320.68391</v>
      </c>
    </row>
    <row r="766" spans="1:3" x14ac:dyDescent="0.25">
      <c r="A766" s="4">
        <v>31228</v>
      </c>
      <c r="B766" s="6">
        <f>'Monthly CFS'!C772 * 86400 * DAY(EOMONTH(A766,0)) / 43560</f>
        <v>2479.6575658419383</v>
      </c>
      <c r="C766">
        <v>1824.793351</v>
      </c>
    </row>
    <row r="767" spans="1:3" x14ac:dyDescent="0.25">
      <c r="A767" s="4">
        <v>31259</v>
      </c>
      <c r="B767" s="6">
        <f>'Monthly CFS'!C773 * 86400 * DAY(EOMONTH(A767,0)) / 43560</f>
        <v>3181.7021247752218</v>
      </c>
      <c r="C767">
        <v>2562.3128670000001</v>
      </c>
    </row>
    <row r="768" spans="1:3" x14ac:dyDescent="0.25">
      <c r="A768" s="4">
        <v>31290</v>
      </c>
      <c r="B768" s="6">
        <f>'Monthly CFS'!C774 * 86400 * DAY(EOMONTH(A768,0)) / 43560</f>
        <v>3478.7210643247863</v>
      </c>
      <c r="C768">
        <v>3181.7022379999999</v>
      </c>
    </row>
    <row r="769" spans="1:3" x14ac:dyDescent="0.25">
      <c r="A769" s="4">
        <v>31320</v>
      </c>
      <c r="B769" s="6">
        <f>'Monthly CFS'!C775 * 86400 * DAY(EOMONTH(A769,0)) / 43560</f>
        <v>2934.1863641704144</v>
      </c>
      <c r="C769">
        <v>3366.5042090000002</v>
      </c>
    </row>
    <row r="770" spans="1:3" x14ac:dyDescent="0.25">
      <c r="A770" s="4">
        <v>31351</v>
      </c>
      <c r="B770" s="6">
        <f>'Monthly CFS'!C776 * 86400 * DAY(EOMONTH(A770,0)) / 43560</f>
        <v>1998.1269299062083</v>
      </c>
      <c r="C770">
        <v>3031.9925050000002</v>
      </c>
    </row>
    <row r="771" spans="1:3" x14ac:dyDescent="0.25">
      <c r="A771" s="4">
        <v>31381</v>
      </c>
      <c r="B771" s="6">
        <f>'Monthly CFS'!C777 * 86400 * DAY(EOMONTH(A771,0)) / 43560</f>
        <v>1269.0806674846426</v>
      </c>
      <c r="C771">
        <v>1933.6711539999999</v>
      </c>
    </row>
    <row r="772" spans="1:3" x14ac:dyDescent="0.25">
      <c r="A772" s="4">
        <v>31412</v>
      </c>
      <c r="B772" s="6">
        <f>'Monthly CFS'!C778 * 86400 * DAY(EOMONTH(A772,0)) / 43560</f>
        <v>1044.0663488065659</v>
      </c>
      <c r="C772">
        <v>1311.38339</v>
      </c>
    </row>
    <row r="773" spans="1:3" x14ac:dyDescent="0.25">
      <c r="A773" s="4">
        <v>31443</v>
      </c>
      <c r="B773" s="6">
        <f>'Monthly CFS'!C779 * 86400 * DAY(EOMONTH(A773,0)) / 43560</f>
        <v>133.67826149478651</v>
      </c>
      <c r="C773">
        <v>1044.0663950000001</v>
      </c>
    </row>
    <row r="774" spans="1:3" x14ac:dyDescent="0.25">
      <c r="A774" s="4">
        <v>31471</v>
      </c>
      <c r="B774" s="6">
        <f>'Monthly CFS'!C780 * 86400 * DAY(EOMONTH(A774,0)) / 43560</f>
        <v>123.87182162616043</v>
      </c>
      <c r="C774">
        <v>120.741653</v>
      </c>
    </row>
    <row r="775" spans="1:3" x14ac:dyDescent="0.25">
      <c r="A775" s="4">
        <v>31502</v>
      </c>
      <c r="B775" s="6">
        <f>'Monthly CFS'!C781 * 86400 * DAY(EOMONTH(A775,0)) / 43560</f>
        <v>1314.2371232294151</v>
      </c>
      <c r="C775">
        <v>137.14380299999999</v>
      </c>
    </row>
    <row r="776" spans="1:3" x14ac:dyDescent="0.25">
      <c r="A776" s="4">
        <v>31532</v>
      </c>
      <c r="B776" s="6">
        <f>'Monthly CFS'!C782 * 86400 * DAY(EOMONTH(A776,0)) / 43560</f>
        <v>1561.6876860582595</v>
      </c>
      <c r="C776">
        <v>1271.8423760000001</v>
      </c>
    </row>
    <row r="777" spans="1:3" x14ac:dyDescent="0.25">
      <c r="A777" s="4">
        <v>31563</v>
      </c>
      <c r="B777" s="6">
        <f>'Monthly CFS'!C783 * 86400 * DAY(EOMONTH(A777,0)) / 43560</f>
        <v>2304.0392106647892</v>
      </c>
      <c r="C777">
        <v>1613.74396</v>
      </c>
    </row>
    <row r="778" spans="1:3" x14ac:dyDescent="0.25">
      <c r="A778" s="4">
        <v>31593</v>
      </c>
      <c r="B778" s="6">
        <f>'Monthly CFS'!C784 * 86400 * DAY(EOMONTH(A778,0)) / 43560</f>
        <v>3029.8940420080648</v>
      </c>
      <c r="C778">
        <v>2229.7154700000001</v>
      </c>
    </row>
    <row r="779" spans="1:3" x14ac:dyDescent="0.25">
      <c r="A779" s="4">
        <v>31624</v>
      </c>
      <c r="B779" s="6">
        <f>'Monthly CFS'!C785 * 86400 * DAY(EOMONTH(A779,0)) / 43560</f>
        <v>3887.7224194573919</v>
      </c>
      <c r="C779">
        <v>3130.8904779999998</v>
      </c>
    </row>
    <row r="780" spans="1:3" x14ac:dyDescent="0.25">
      <c r="A780" s="4">
        <v>31655</v>
      </c>
      <c r="B780" s="6">
        <f>'Monthly CFS'!C786 * 86400 * DAY(EOMONTH(A780,0)) / 43560</f>
        <v>4250.6499170690295</v>
      </c>
      <c r="C780">
        <v>3887.7225060000001</v>
      </c>
    </row>
    <row r="781" spans="1:3" x14ac:dyDescent="0.25">
      <c r="A781" s="4">
        <v>31685</v>
      </c>
      <c r="B781" s="6">
        <f>'Monthly CFS'!C787 * 86400 * DAY(EOMONTH(A781,0)) / 43560</f>
        <v>3585.2828654276946</v>
      </c>
      <c r="C781">
        <v>4113.5323010000002</v>
      </c>
    </row>
    <row r="782" spans="1:3" x14ac:dyDescent="0.25">
      <c r="A782" s="4">
        <v>31716</v>
      </c>
      <c r="B782" s="6">
        <f>'Monthly CFS'!C788 * 86400 * DAY(EOMONTH(A782,0)) / 43560</f>
        <v>2441.5116681819259</v>
      </c>
      <c r="C782">
        <v>3704.792289</v>
      </c>
    </row>
    <row r="783" spans="1:3" x14ac:dyDescent="0.25">
      <c r="A783" s="4">
        <v>31746</v>
      </c>
      <c r="B783" s="6">
        <f>'Monthly CFS'!C789 * 86400 * DAY(EOMONTH(A783,0)) / 43560</f>
        <v>1550.6899042060882</v>
      </c>
      <c r="C783">
        <v>2362.7533210000001</v>
      </c>
    </row>
    <row r="784" spans="1:3" x14ac:dyDescent="0.25">
      <c r="A784" s="4">
        <v>31777</v>
      </c>
      <c r="B784" s="6">
        <f>'Monthly CFS'!C790 * 86400 * DAY(EOMONTH(A784,0)) / 43560</f>
        <v>1275.7448662618169</v>
      </c>
      <c r="C784">
        <v>1602.3795749999999</v>
      </c>
    </row>
    <row r="785" spans="1:3" x14ac:dyDescent="0.25">
      <c r="A785" s="4">
        <v>31808</v>
      </c>
      <c r="B785" s="6">
        <f>'Monthly CFS'!C791 * 86400 * DAY(EOMONTH(A785,0)) / 43560</f>
        <v>133.67826149478654</v>
      </c>
      <c r="C785">
        <v>1275.7448609999999</v>
      </c>
    </row>
    <row r="786" spans="1:3" x14ac:dyDescent="0.25">
      <c r="A786" s="4">
        <v>31836</v>
      </c>
      <c r="B786" s="6">
        <f>'Monthly CFS'!C792 * 86400 * DAY(EOMONTH(A786,0)) / 43560</f>
        <v>119.16117142312106</v>
      </c>
      <c r="C786">
        <v>120.741653</v>
      </c>
    </row>
    <row r="787" spans="1:3" x14ac:dyDescent="0.25">
      <c r="A787" s="4">
        <v>31867</v>
      </c>
      <c r="B787" s="6">
        <f>'Monthly CFS'!C793 * 86400 * DAY(EOMONTH(A787,0)) / 43560</f>
        <v>235.75471330947749</v>
      </c>
      <c r="C787">
        <v>131.928437</v>
      </c>
    </row>
    <row r="788" spans="1:3" x14ac:dyDescent="0.25">
      <c r="A788" s="4">
        <v>31897</v>
      </c>
      <c r="B788" s="6">
        <f>'Monthly CFS'!C794 * 86400 * DAY(EOMONTH(A788,0)) / 43560</f>
        <v>406.64501981945904</v>
      </c>
      <c r="C788">
        <v>228.14971700000001</v>
      </c>
    </row>
    <row r="789" spans="1:3" x14ac:dyDescent="0.25">
      <c r="A789" s="4">
        <v>31928</v>
      </c>
      <c r="B789" s="6">
        <f>'Monthly CFS'!C795 * 86400 * DAY(EOMONTH(A789,0)) / 43560</f>
        <v>599.94458485513223</v>
      </c>
      <c r="C789">
        <v>420.19986699999998</v>
      </c>
    </row>
    <row r="790" spans="1:3" x14ac:dyDescent="0.25">
      <c r="A790" s="4">
        <v>31958</v>
      </c>
      <c r="B790" s="6">
        <f>'Monthly CFS'!C796 * 86400 * DAY(EOMONTH(A790,0)) / 43560</f>
        <v>788.94860589767598</v>
      </c>
      <c r="C790">
        <v>580.59151999999995</v>
      </c>
    </row>
    <row r="791" spans="1:3" x14ac:dyDescent="0.25">
      <c r="A791" s="4">
        <v>31989</v>
      </c>
      <c r="B791" s="6">
        <f>'Monthly CFS'!C797 * 86400 * DAY(EOMONTH(A791,0)) / 43560</f>
        <v>1012.3169788852587</v>
      </c>
      <c r="C791">
        <v>815.24688200000003</v>
      </c>
    </row>
    <row r="792" spans="1:3" x14ac:dyDescent="0.25">
      <c r="A792" s="4">
        <v>32020</v>
      </c>
      <c r="B792" s="6">
        <f>'Monthly CFS'!C798 * 86400 * DAY(EOMONTH(A792,0)) / 43560</f>
        <v>1106.8190107427379</v>
      </c>
      <c r="C792">
        <v>1012.316932</v>
      </c>
    </row>
    <row r="793" spans="1:3" x14ac:dyDescent="0.25">
      <c r="A793" s="4">
        <v>32050</v>
      </c>
      <c r="B793" s="6">
        <f>'Monthly CFS'!C799 * 86400 * DAY(EOMONTH(A793,0)) / 43560</f>
        <v>933.56529278276219</v>
      </c>
      <c r="C793">
        <v>1071.115125</v>
      </c>
    </row>
    <row r="794" spans="1:3" x14ac:dyDescent="0.25">
      <c r="A794" s="4">
        <v>32081</v>
      </c>
      <c r="B794" s="6">
        <f>'Monthly CFS'!C800 * 86400 * DAY(EOMONTH(A794,0)) / 43560</f>
        <v>635.74078835391617</v>
      </c>
      <c r="C794">
        <v>964.68411800000001</v>
      </c>
    </row>
    <row r="795" spans="1:3" x14ac:dyDescent="0.25">
      <c r="A795" s="4">
        <v>32111</v>
      </c>
      <c r="B795" s="6">
        <f>'Monthly CFS'!C801 * 86400 * DAY(EOMONTH(A795,0)) / 43560</f>
        <v>403.78132738007389</v>
      </c>
      <c r="C795">
        <v>615.23301300000003</v>
      </c>
    </row>
    <row r="796" spans="1:3" x14ac:dyDescent="0.25">
      <c r="A796" s="4">
        <v>32142</v>
      </c>
      <c r="B796" s="6">
        <f>'Monthly CFS'!C802 * 86400 * DAY(EOMONTH(A796,0)) / 43560</f>
        <v>332.18888837819594</v>
      </c>
      <c r="C796">
        <v>417.240701</v>
      </c>
    </row>
    <row r="797" spans="1:3" x14ac:dyDescent="0.25">
      <c r="A797" s="4">
        <v>32173</v>
      </c>
      <c r="B797" s="6">
        <f>'Monthly CFS'!C803 * 86400 * DAY(EOMONTH(A797,0)) / 43560</f>
        <v>133.67826149478657</v>
      </c>
      <c r="C797">
        <v>332.188897</v>
      </c>
    </row>
    <row r="798" spans="1:3" x14ac:dyDescent="0.25">
      <c r="A798" s="4">
        <v>32202</v>
      </c>
      <c r="B798" s="6">
        <f>'Monthly CFS'!C804 * 86400 * DAY(EOMONTH(A798,0)) / 43560</f>
        <v>119.16117142312115</v>
      </c>
      <c r="C798">
        <v>125.053855</v>
      </c>
    </row>
    <row r="799" spans="1:3" x14ac:dyDescent="0.25">
      <c r="A799" s="4">
        <v>32233</v>
      </c>
      <c r="B799" s="6">
        <f>'Monthly CFS'!C805 * 86400 * DAY(EOMONTH(A799,0)) / 43560</f>
        <v>275.48601173434429</v>
      </c>
      <c r="C799">
        <v>127.379183</v>
      </c>
    </row>
    <row r="800" spans="1:3" x14ac:dyDescent="0.25">
      <c r="A800" s="4">
        <v>32263</v>
      </c>
      <c r="B800" s="6">
        <f>'Monthly CFS'!C806 * 86400 * DAY(EOMONTH(A800,0)) / 43560</f>
        <v>211.71662533046131</v>
      </c>
      <c r="C800">
        <v>266.59936800000003</v>
      </c>
    </row>
    <row r="801" spans="1:3" x14ac:dyDescent="0.25">
      <c r="A801" s="4">
        <v>32294</v>
      </c>
      <c r="B801" s="6">
        <f>'Monthly CFS'!C807 * 86400 * DAY(EOMONTH(A801,0)) / 43560</f>
        <v>312.35656825996864</v>
      </c>
      <c r="C801">
        <v>218.77385100000001</v>
      </c>
    </row>
    <row r="802" spans="1:3" x14ac:dyDescent="0.25">
      <c r="A802" s="4">
        <v>32324</v>
      </c>
      <c r="B802" s="6">
        <f>'Monthly CFS'!C808 * 86400 * DAY(EOMONTH(A802,0)) / 43560</f>
        <v>410.76006900069018</v>
      </c>
      <c r="C802">
        <v>302.28056199999997</v>
      </c>
    </row>
    <row r="803" spans="1:3" x14ac:dyDescent="0.25">
      <c r="A803" s="4">
        <v>32355</v>
      </c>
      <c r="B803" s="6">
        <f>'Monthly CFS'!C809 * 86400 * DAY(EOMONTH(A803,0)) / 43560</f>
        <v>527.05510725170006</v>
      </c>
      <c r="C803">
        <v>424.45208500000001</v>
      </c>
    </row>
    <row r="804" spans="1:3" x14ac:dyDescent="0.25">
      <c r="A804" s="4">
        <v>32386</v>
      </c>
      <c r="B804" s="6">
        <f>'Monthly CFS'!C810 * 86400 * DAY(EOMONTH(A804,0)) / 43560</f>
        <v>576.25686873059465</v>
      </c>
      <c r="C804">
        <v>527.05511300000001</v>
      </c>
    </row>
    <row r="805" spans="1:3" x14ac:dyDescent="0.25">
      <c r="A805" s="4">
        <v>32416</v>
      </c>
      <c r="B805" s="6">
        <f>'Monthly CFS'!C811 * 86400 * DAY(EOMONTH(A805,0)) / 43560</f>
        <v>486.05364305546618</v>
      </c>
      <c r="C805">
        <v>557.66794500000003</v>
      </c>
    </row>
    <row r="806" spans="1:3" x14ac:dyDescent="0.25">
      <c r="A806" s="4">
        <v>32447</v>
      </c>
      <c r="B806" s="6">
        <f>'Monthly CFS'!C812 * 86400 * DAY(EOMONTH(A806,0)) / 43560</f>
        <v>330.99358835127509</v>
      </c>
      <c r="C806">
        <v>502.25544400000001</v>
      </c>
    </row>
    <row r="807" spans="1:3" x14ac:dyDescent="0.25">
      <c r="A807" s="4">
        <v>32477</v>
      </c>
      <c r="B807" s="6">
        <f>'Monthly CFS'!C813 * 86400 * DAY(EOMONTH(A807,0)) / 43560</f>
        <v>210.22566572269292</v>
      </c>
      <c r="C807">
        <v>320.31638400000003</v>
      </c>
    </row>
    <row r="808" spans="1:3" x14ac:dyDescent="0.25">
      <c r="A808" s="4">
        <v>32508</v>
      </c>
      <c r="B808" s="6">
        <f>'Monthly CFS'!C814 * 86400 * DAY(EOMONTH(A808,0)) / 43560</f>
        <v>172.95160887728011</v>
      </c>
      <c r="C808">
        <v>217.23319499999999</v>
      </c>
    </row>
    <row r="809" spans="1:3" x14ac:dyDescent="0.25">
      <c r="A809" s="4">
        <v>32539</v>
      </c>
      <c r="B809" s="6">
        <f>'Monthly CFS'!C815 * 86400 * DAY(EOMONTH(A809,0)) / 43560</f>
        <v>201.48649492525004</v>
      </c>
      <c r="C809">
        <v>172.95160799999999</v>
      </c>
    </row>
    <row r="810" spans="1:3" x14ac:dyDescent="0.25">
      <c r="A810" s="4">
        <v>32567</v>
      </c>
      <c r="B810" s="6">
        <f>'Monthly CFS'!C816 * 86400 * DAY(EOMONTH(A810,0)) / 43560</f>
        <v>154.42195908590952</v>
      </c>
      <c r="C810">
        <v>181.987808</v>
      </c>
    </row>
    <row r="811" spans="1:3" x14ac:dyDescent="0.25">
      <c r="A811" s="4">
        <v>32598</v>
      </c>
      <c r="B811" s="6">
        <f>'Monthly CFS'!C817 * 86400 * DAY(EOMONTH(A811,0)) / 43560</f>
        <v>840.68473384568995</v>
      </c>
      <c r="C811">
        <v>170.96717100000001</v>
      </c>
    </row>
    <row r="812" spans="1:3" x14ac:dyDescent="0.25">
      <c r="A812" s="4">
        <v>32628</v>
      </c>
      <c r="B812" s="6">
        <f>'Monthly CFS'!C818 * 86400 * DAY(EOMONTH(A812,0)) / 43560</f>
        <v>1561.6876860582595</v>
      </c>
      <c r="C812">
        <v>813.56585800000005</v>
      </c>
    </row>
    <row r="813" spans="1:3" x14ac:dyDescent="0.25">
      <c r="A813" s="4">
        <v>32659</v>
      </c>
      <c r="B813" s="6">
        <f>'Monthly CFS'!C819 * 86400 * DAY(EOMONTH(A813,0)) / 43560</f>
        <v>2304.0392106647896</v>
      </c>
      <c r="C813">
        <v>1613.74396</v>
      </c>
    </row>
    <row r="814" spans="1:3" x14ac:dyDescent="0.25">
      <c r="A814" s="4">
        <v>32689</v>
      </c>
      <c r="B814" s="6">
        <f>'Monthly CFS'!C820 * 86400 * DAY(EOMONTH(A814,0)) / 43560</f>
        <v>3029.8940420080662</v>
      </c>
      <c r="C814">
        <v>2229.7154700000001</v>
      </c>
    </row>
    <row r="815" spans="1:3" x14ac:dyDescent="0.25">
      <c r="A815" s="4">
        <v>32720</v>
      </c>
      <c r="B815" s="6">
        <f>'Monthly CFS'!C821 * 86400 * DAY(EOMONTH(A815,0)) / 43560</f>
        <v>3887.7224194573919</v>
      </c>
      <c r="C815">
        <v>3130.8904779999998</v>
      </c>
    </row>
    <row r="816" spans="1:3" x14ac:dyDescent="0.25">
      <c r="A816" s="4">
        <v>32751</v>
      </c>
      <c r="B816" s="6">
        <f>'Monthly CFS'!C822 * 86400 * DAY(EOMONTH(A816,0)) / 43560</f>
        <v>4250.6499170690295</v>
      </c>
      <c r="C816">
        <v>3887.7225060000001</v>
      </c>
    </row>
    <row r="817" spans="1:3" x14ac:dyDescent="0.25">
      <c r="A817" s="4">
        <v>32781</v>
      </c>
      <c r="B817" s="6">
        <f>'Monthly CFS'!C823 * 86400 * DAY(EOMONTH(A817,0)) / 43560</f>
        <v>3585.2828654276946</v>
      </c>
      <c r="C817">
        <v>4113.5323010000002</v>
      </c>
    </row>
    <row r="818" spans="1:3" x14ac:dyDescent="0.25">
      <c r="A818" s="4">
        <v>32812</v>
      </c>
      <c r="B818" s="6">
        <f>'Monthly CFS'!C824 * 86400 * DAY(EOMONTH(A818,0)) / 43560</f>
        <v>2441.5116681819263</v>
      </c>
      <c r="C818">
        <v>3704.792289</v>
      </c>
    </row>
    <row r="819" spans="1:3" x14ac:dyDescent="0.25">
      <c r="A819" s="4">
        <v>32842</v>
      </c>
      <c r="B819" s="6">
        <f>'Monthly CFS'!C825 * 86400 * DAY(EOMONTH(A819,0)) / 43560</f>
        <v>1550.6899042060884</v>
      </c>
      <c r="C819">
        <v>2362.7533210000001</v>
      </c>
    </row>
    <row r="820" spans="1:3" x14ac:dyDescent="0.25">
      <c r="A820" s="4">
        <v>32873</v>
      </c>
      <c r="B820" s="6">
        <f>'Monthly CFS'!C826 * 86400 * DAY(EOMONTH(A820,0)) / 43560</f>
        <v>1275.7448662618174</v>
      </c>
      <c r="C820">
        <v>1602.3795749999999</v>
      </c>
    </row>
    <row r="821" spans="1:3" x14ac:dyDescent="0.25">
      <c r="A821" s="4">
        <v>32904</v>
      </c>
      <c r="B821" s="6">
        <f>'Monthly CFS'!C827 * 86400 * DAY(EOMONTH(A821,0)) / 43560</f>
        <v>133.67826149478665</v>
      </c>
      <c r="C821">
        <v>1275.7448609999999</v>
      </c>
    </row>
    <row r="822" spans="1:3" x14ac:dyDescent="0.25">
      <c r="A822" s="4">
        <v>32932</v>
      </c>
      <c r="B822" s="6">
        <f>'Monthly CFS'!C828 * 86400 * DAY(EOMONTH(A822,0)) / 43560</f>
        <v>119.16117142312102</v>
      </c>
      <c r="C822">
        <v>120.741653</v>
      </c>
    </row>
    <row r="823" spans="1:3" x14ac:dyDescent="0.25">
      <c r="A823" s="4">
        <v>32963</v>
      </c>
      <c r="B823" s="6">
        <f>'Monthly CFS'!C829 * 86400 * DAY(EOMONTH(A823,0)) / 43560</f>
        <v>184.40680510408893</v>
      </c>
      <c r="C823">
        <v>131.928437</v>
      </c>
    </row>
    <row r="824" spans="1:3" x14ac:dyDescent="0.25">
      <c r="A824" s="4">
        <v>32993</v>
      </c>
      <c r="B824" s="6">
        <f>'Monthly CFS'!C830 * 86400 * DAY(EOMONTH(A824,0)) / 43560</f>
        <v>202.31297752512208</v>
      </c>
      <c r="C824">
        <v>178.458203</v>
      </c>
    </row>
    <row r="825" spans="1:3" x14ac:dyDescent="0.25">
      <c r="A825" s="4">
        <v>33024</v>
      </c>
      <c r="B825" s="6">
        <f>'Monthly CFS'!C831 * 86400 * DAY(EOMONTH(A825,0)) / 43560</f>
        <v>298.4828767016586</v>
      </c>
      <c r="C825">
        <v>209.05674300000001</v>
      </c>
    </row>
    <row r="826" spans="1:3" x14ac:dyDescent="0.25">
      <c r="A826" s="4">
        <v>33054</v>
      </c>
      <c r="B826" s="6">
        <f>'Monthly CFS'!C832 * 86400 * DAY(EOMONTH(A826,0)) / 43560</f>
        <v>392.51566795117321</v>
      </c>
      <c r="C826">
        <v>288.8544</v>
      </c>
    </row>
    <row r="827" spans="1:3" x14ac:dyDescent="0.25">
      <c r="A827" s="4">
        <v>33085</v>
      </c>
      <c r="B827" s="6">
        <f>'Monthly CFS'!C833 * 86400 * DAY(EOMONTH(A827,0)) / 43560</f>
        <v>503.64532261686458</v>
      </c>
      <c r="C827">
        <v>405.59951100000001</v>
      </c>
    </row>
    <row r="828" spans="1:3" x14ac:dyDescent="0.25">
      <c r="A828" s="4">
        <v>33116</v>
      </c>
      <c r="B828" s="6">
        <f>'Monthly CFS'!C834 * 86400 * DAY(EOMONTH(A828,0)) / 43560</f>
        <v>550.66172885675667</v>
      </c>
      <c r="C828">
        <v>503.64530999999999</v>
      </c>
    </row>
    <row r="829" spans="1:3" x14ac:dyDescent="0.25">
      <c r="A829" s="4">
        <v>33146</v>
      </c>
      <c r="B829" s="6">
        <f>'Monthly CFS'!C835 * 86400 * DAY(EOMONTH(A829,0)) / 43560</f>
        <v>464.4649876219998</v>
      </c>
      <c r="C829">
        <v>532.89842799999997</v>
      </c>
    </row>
    <row r="830" spans="1:3" x14ac:dyDescent="0.25">
      <c r="A830" s="4">
        <v>33177</v>
      </c>
      <c r="B830" s="6">
        <f>'Monthly CFS'!C836 * 86400 * DAY(EOMONTH(A830,0)) / 43560</f>
        <v>316.29211119603224</v>
      </c>
      <c r="C830">
        <v>479.94714800000003</v>
      </c>
    </row>
    <row r="831" spans="1:3" x14ac:dyDescent="0.25">
      <c r="A831" s="4">
        <v>33207</v>
      </c>
      <c r="B831" s="6">
        <f>'Monthly CFS'!C837 * 86400 * DAY(EOMONTH(A831,0)) / 43560</f>
        <v>200.88824067629645</v>
      </c>
      <c r="C831">
        <v>306.08914600000003</v>
      </c>
    </row>
    <row r="832" spans="1:3" x14ac:dyDescent="0.25">
      <c r="A832" s="4">
        <v>33238</v>
      </c>
      <c r="B832" s="6">
        <f>'Monthly CFS'!C838 * 86400 * DAY(EOMONTH(A832,0)) / 43560</f>
        <v>165.26975576484662</v>
      </c>
      <c r="C832">
        <v>207.584519</v>
      </c>
    </row>
    <row r="833" spans="1:3" x14ac:dyDescent="0.25">
      <c r="A833" s="4">
        <v>33269</v>
      </c>
      <c r="B833" s="6">
        <f>'Monthly CFS'!C839 * 86400 * DAY(EOMONTH(A833,0)) / 43560</f>
        <v>133.67826149478657</v>
      </c>
      <c r="C833">
        <v>165.26976199999999</v>
      </c>
    </row>
    <row r="834" spans="1:3" x14ac:dyDescent="0.25">
      <c r="A834" s="4">
        <v>33297</v>
      </c>
      <c r="B834" s="6">
        <f>'Monthly CFS'!C840 * 86400 * DAY(EOMONTH(A834,0)) / 43560</f>
        <v>119.16117142312108</v>
      </c>
      <c r="C834">
        <v>120.741653</v>
      </c>
    </row>
    <row r="835" spans="1:3" x14ac:dyDescent="0.25">
      <c r="A835" s="4">
        <v>33328</v>
      </c>
      <c r="B835" s="6">
        <f>'Monthly CFS'!C841 * 86400 * DAY(EOMONTH(A835,0)) / 43560</f>
        <v>215.54588195708769</v>
      </c>
      <c r="C835">
        <v>131.928437</v>
      </c>
    </row>
    <row r="836" spans="1:3" x14ac:dyDescent="0.25">
      <c r="A836" s="4">
        <v>33358</v>
      </c>
      <c r="B836" s="6">
        <f>'Monthly CFS'!C842 * 86400 * DAY(EOMONTH(A836,0)) / 43560</f>
        <v>214.97088779939713</v>
      </c>
      <c r="C836">
        <v>208.59279000000001</v>
      </c>
    </row>
    <row r="837" spans="1:3" x14ac:dyDescent="0.25">
      <c r="A837" s="4">
        <v>33389</v>
      </c>
      <c r="B837" s="6">
        <f>'Monthly CFS'!C843 * 86400 * DAY(EOMONTH(A837,0)) / 43560</f>
        <v>317.15775123444411</v>
      </c>
      <c r="C837">
        <v>222.13658599999999</v>
      </c>
    </row>
    <row r="838" spans="1:3" x14ac:dyDescent="0.25">
      <c r="A838" s="4">
        <v>33419</v>
      </c>
      <c r="B838" s="6">
        <f>'Monthly CFS'!C844 * 86400 * DAY(EOMONTH(A838,0)) / 43560</f>
        <v>417.07379648524631</v>
      </c>
      <c r="C838">
        <v>306.92685299999999</v>
      </c>
    </row>
    <row r="839" spans="1:3" x14ac:dyDescent="0.25">
      <c r="A839" s="4">
        <v>33450</v>
      </c>
      <c r="B839" s="6">
        <f>'Monthly CFS'!C845 * 86400 * DAY(EOMONTH(A839,0)) / 43560</f>
        <v>535.15638721454184</v>
      </c>
      <c r="C839">
        <v>430.976247</v>
      </c>
    </row>
    <row r="840" spans="1:3" x14ac:dyDescent="0.25">
      <c r="A840" s="4">
        <v>33481</v>
      </c>
      <c r="B840" s="6">
        <f>'Monthly CFS'!C846 * 86400 * DAY(EOMONTH(A840,0)) / 43560</f>
        <v>585.11442111907286</v>
      </c>
      <c r="C840">
        <v>535.15640399999995</v>
      </c>
    </row>
    <row r="841" spans="1:3" x14ac:dyDescent="0.25">
      <c r="A841" s="4">
        <v>33511</v>
      </c>
      <c r="B841" s="6">
        <f>'Monthly CFS'!C847 * 86400 * DAY(EOMONTH(A841,0)) / 43560</f>
        <v>493.5246960538596</v>
      </c>
      <c r="C841">
        <v>566.239778</v>
      </c>
    </row>
    <row r="842" spans="1:3" x14ac:dyDescent="0.25">
      <c r="A842" s="4">
        <v>33542</v>
      </c>
      <c r="B842" s="6">
        <f>'Monthly CFS'!C848 * 86400 * DAY(EOMONTH(A842,0)) / 43560</f>
        <v>336.0812379883721</v>
      </c>
      <c r="C842">
        <v>509.97552300000001</v>
      </c>
    </row>
    <row r="843" spans="1:3" x14ac:dyDescent="0.25">
      <c r="A843" s="4">
        <v>33572</v>
      </c>
      <c r="B843" s="6">
        <f>'Monthly CFS'!C849 * 86400 * DAY(EOMONTH(A843,0)) / 43560</f>
        <v>213.45701088937759</v>
      </c>
      <c r="C843">
        <v>325.23991599999999</v>
      </c>
    </row>
    <row r="844" spans="1:3" x14ac:dyDescent="0.25">
      <c r="A844" s="4">
        <v>33603</v>
      </c>
      <c r="B844" s="6">
        <f>'Monthly CFS'!C850 * 86400 * DAY(EOMONTH(A844,0)) / 43560</f>
        <v>175.61002046320493</v>
      </c>
      <c r="C844">
        <v>220.57223999999999</v>
      </c>
    </row>
    <row r="845" spans="1:3" x14ac:dyDescent="0.25">
      <c r="A845" s="4">
        <v>33634</v>
      </c>
      <c r="B845" s="6">
        <f>'Monthly CFS'!C851 * 86400 * DAY(EOMONTH(A845,0)) / 43560</f>
        <v>133.67826149478657</v>
      </c>
      <c r="C845">
        <v>175.61001400000001</v>
      </c>
    </row>
    <row r="846" spans="1:3" x14ac:dyDescent="0.25">
      <c r="A846" s="4">
        <v>33663</v>
      </c>
      <c r="B846" s="6">
        <f>'Monthly CFS'!C852 * 86400 * DAY(EOMONTH(A846,0)) / 43560</f>
        <v>119.16117142312106</v>
      </c>
      <c r="C846">
        <v>125.053855</v>
      </c>
    </row>
    <row r="847" spans="1:3" x14ac:dyDescent="0.25">
      <c r="A847" s="4">
        <v>33694</v>
      </c>
      <c r="B847" s="6">
        <f>'Monthly CFS'!C853 * 86400 * DAY(EOMONTH(A847,0)) / 43560</f>
        <v>655.77791367964301</v>
      </c>
      <c r="C847">
        <v>127.379183</v>
      </c>
    </row>
    <row r="848" spans="1:3" x14ac:dyDescent="0.25">
      <c r="A848" s="4">
        <v>33724</v>
      </c>
      <c r="B848" s="6">
        <f>'Monthly CFS'!C854 * 86400 * DAY(EOMONTH(A848,0)) / 43560</f>
        <v>270.45530486861759</v>
      </c>
      <c r="C848">
        <v>634.62376900000004</v>
      </c>
    </row>
    <row r="849" spans="1:3" x14ac:dyDescent="0.25">
      <c r="A849" s="4">
        <v>33755</v>
      </c>
      <c r="B849" s="6">
        <f>'Monthly CFS'!C855 * 86400 * DAY(EOMONTH(A849,0)) / 43560</f>
        <v>399.01680259925428</v>
      </c>
      <c r="C849">
        <v>279.470485</v>
      </c>
    </row>
    <row r="850" spans="1:3" x14ac:dyDescent="0.25">
      <c r="A850" s="4">
        <v>33785</v>
      </c>
      <c r="B850" s="6">
        <f>'Monthly CFS'!C856 * 86400 * DAY(EOMONTH(A850,0)) / 43560</f>
        <v>524.72137941947619</v>
      </c>
      <c r="C850">
        <v>386.14528799999999</v>
      </c>
    </row>
    <row r="851" spans="1:3" x14ac:dyDescent="0.25">
      <c r="A851" s="4">
        <v>33816</v>
      </c>
      <c r="B851" s="6">
        <f>'Monthly CFS'!C857 * 86400 * DAY(EOMONTH(A851,0)) / 43560</f>
        <v>673.28132352302066</v>
      </c>
      <c r="C851">
        <v>542.21210099999996</v>
      </c>
    </row>
    <row r="852" spans="1:3" x14ac:dyDescent="0.25">
      <c r="A852" s="4">
        <v>33847</v>
      </c>
      <c r="B852" s="6">
        <f>'Monthly CFS'!C858 * 86400 * DAY(EOMONTH(A852,0)) / 43560</f>
        <v>736.13362612361766</v>
      </c>
      <c r="C852">
        <v>673.28132800000003</v>
      </c>
    </row>
    <row r="853" spans="1:3" x14ac:dyDescent="0.25">
      <c r="A853" s="4">
        <v>33877</v>
      </c>
      <c r="B853" s="6">
        <f>'Monthly CFS'!C859 * 86400 * DAY(EOMONTH(A853,0)) / 43560</f>
        <v>620.90440941935219</v>
      </c>
      <c r="C853">
        <v>712.38739399999997</v>
      </c>
    </row>
    <row r="854" spans="1:3" x14ac:dyDescent="0.25">
      <c r="A854" s="4">
        <v>33908</v>
      </c>
      <c r="B854" s="6">
        <f>'Monthly CFS'!C860 * 86400 * DAY(EOMONTH(A854,0)) / 43560</f>
        <v>422.82447921779703</v>
      </c>
      <c r="C854">
        <v>641.60123499999997</v>
      </c>
    </row>
    <row r="855" spans="1:3" x14ac:dyDescent="0.25">
      <c r="A855" s="4">
        <v>33938</v>
      </c>
      <c r="B855" s="6">
        <f>'Monthly CFS'!C861 * 86400 * DAY(EOMONTH(A855,0)) / 43560</f>
        <v>268.55069329342155</v>
      </c>
      <c r="C855">
        <v>409.18496800000003</v>
      </c>
    </row>
    <row r="856" spans="1:3" x14ac:dyDescent="0.25">
      <c r="A856" s="4">
        <v>33969</v>
      </c>
      <c r="B856" s="6">
        <f>'Monthly CFS'!C862 * 86400 * DAY(EOMONTH(A856,0)) / 43560</f>
        <v>220.9353187706071</v>
      </c>
      <c r="C856">
        <v>277.50238000000002</v>
      </c>
    </row>
    <row r="857" spans="1:3" x14ac:dyDescent="0.25">
      <c r="A857" s="4">
        <v>34000</v>
      </c>
      <c r="B857" s="6">
        <f>'Monthly CFS'!C863 * 86400 * DAY(EOMONTH(A857,0)) / 43560</f>
        <v>135.63419343036284</v>
      </c>
      <c r="C857">
        <v>220.93531899999999</v>
      </c>
    </row>
    <row r="858" spans="1:3" x14ac:dyDescent="0.25">
      <c r="A858" s="4">
        <v>34028</v>
      </c>
      <c r="B858" s="6">
        <f>'Monthly CFS'!C864 * 86400 * DAY(EOMONTH(A858,0)) / 43560</f>
        <v>832.68214807029835</v>
      </c>
      <c r="C858">
        <v>122.508307</v>
      </c>
    </row>
    <row r="859" spans="1:3" x14ac:dyDescent="0.25">
      <c r="A859" s="4">
        <v>34059</v>
      </c>
      <c r="B859" s="6">
        <f>'Monthly CFS'!C865 * 86400 * DAY(EOMONTH(A859,0)) / 43560</f>
        <v>1314.2371232294158</v>
      </c>
      <c r="C859">
        <v>921.89806299999998</v>
      </c>
    </row>
    <row r="860" spans="1:3" x14ac:dyDescent="0.25">
      <c r="A860" s="4">
        <v>34089</v>
      </c>
      <c r="B860" s="6">
        <f>'Monthly CFS'!C866 * 86400 * DAY(EOMONTH(A860,0)) / 43560</f>
        <v>1561.6876860582597</v>
      </c>
      <c r="C860">
        <v>1271.8423760000001</v>
      </c>
    </row>
    <row r="861" spans="1:3" x14ac:dyDescent="0.25">
      <c r="A861" s="4">
        <v>34120</v>
      </c>
      <c r="B861" s="6">
        <f>'Monthly CFS'!C867 * 86400 * DAY(EOMONTH(A861,0)) / 43560</f>
        <v>2304.039210664791</v>
      </c>
      <c r="C861">
        <v>1613.74396</v>
      </c>
    </row>
    <row r="862" spans="1:3" x14ac:dyDescent="0.25">
      <c r="A862" s="4">
        <v>34150</v>
      </c>
      <c r="B862" s="6">
        <f>'Monthly CFS'!C868 * 86400 * DAY(EOMONTH(A862,0)) / 43560</f>
        <v>3029.8940420080662</v>
      </c>
      <c r="C862">
        <v>2229.7154700000001</v>
      </c>
    </row>
    <row r="863" spans="1:3" x14ac:dyDescent="0.25">
      <c r="A863" s="4">
        <v>34181</v>
      </c>
      <c r="B863" s="6">
        <f>'Monthly CFS'!C869 * 86400 * DAY(EOMONTH(A863,0)) / 43560</f>
        <v>3887.7224194573919</v>
      </c>
      <c r="C863">
        <v>3130.8904779999998</v>
      </c>
    </row>
    <row r="864" spans="1:3" x14ac:dyDescent="0.25">
      <c r="A864" s="4">
        <v>34212</v>
      </c>
      <c r="B864" s="6">
        <f>'Monthly CFS'!C870 * 86400 * DAY(EOMONTH(A864,0)) / 43560</f>
        <v>4250.6499170690295</v>
      </c>
      <c r="C864">
        <v>3887.7225060000001</v>
      </c>
    </row>
    <row r="865" spans="1:3" x14ac:dyDescent="0.25">
      <c r="A865" s="4">
        <v>34242</v>
      </c>
      <c r="B865" s="6">
        <f>'Monthly CFS'!C871 * 86400 * DAY(EOMONTH(A865,0)) / 43560</f>
        <v>3585.2828654276937</v>
      </c>
      <c r="C865">
        <v>4113.5323010000002</v>
      </c>
    </row>
    <row r="866" spans="1:3" x14ac:dyDescent="0.25">
      <c r="A866" s="4">
        <v>34273</v>
      </c>
      <c r="B866" s="6">
        <f>'Monthly CFS'!C872 * 86400 * DAY(EOMONTH(A866,0)) / 43560</f>
        <v>2441.5116681819259</v>
      </c>
      <c r="C866">
        <v>3704.792289</v>
      </c>
    </row>
    <row r="867" spans="1:3" x14ac:dyDescent="0.25">
      <c r="A867" s="4">
        <v>34303</v>
      </c>
      <c r="B867" s="6">
        <f>'Monthly CFS'!C873 * 86400 * DAY(EOMONTH(A867,0)) / 43560</f>
        <v>1550.6899042060884</v>
      </c>
      <c r="C867">
        <v>2362.7533210000001</v>
      </c>
    </row>
    <row r="868" spans="1:3" x14ac:dyDescent="0.25">
      <c r="A868" s="4">
        <v>34334</v>
      </c>
      <c r="B868" s="6">
        <f>'Monthly CFS'!C874 * 86400 * DAY(EOMONTH(A868,0)) / 43560</f>
        <v>1275.7448662618172</v>
      </c>
      <c r="C868">
        <v>1602.3795749999999</v>
      </c>
    </row>
    <row r="869" spans="1:3" x14ac:dyDescent="0.25">
      <c r="A869" s="4">
        <v>34365</v>
      </c>
      <c r="B869" s="6">
        <f>'Monthly CFS'!C875 * 86400 * DAY(EOMONTH(A869,0)) / 43560</f>
        <v>139.3672689487737</v>
      </c>
      <c r="C869">
        <v>1275.7448609999999</v>
      </c>
    </row>
    <row r="870" spans="1:3" x14ac:dyDescent="0.25">
      <c r="A870" s="4">
        <v>34393</v>
      </c>
      <c r="B870" s="6">
        <f>'Monthly CFS'!C876 * 86400 * DAY(EOMONTH(A870,0)) / 43560</f>
        <v>119.16117142312102</v>
      </c>
      <c r="C870">
        <v>125.880112</v>
      </c>
    </row>
    <row r="871" spans="1:3" x14ac:dyDescent="0.25">
      <c r="A871" s="4">
        <v>34424</v>
      </c>
      <c r="B871" s="6">
        <f>'Monthly CFS'!C877 * 86400 * DAY(EOMONTH(A871,0)) / 43560</f>
        <v>277.84136270219949</v>
      </c>
      <c r="C871">
        <v>131.928437</v>
      </c>
    </row>
    <row r="872" spans="1:3" x14ac:dyDescent="0.25">
      <c r="A872" s="4">
        <v>34454</v>
      </c>
      <c r="B872" s="6">
        <f>'Monthly CFS'!C878 * 86400 * DAY(EOMONTH(A872,0)) / 43560</f>
        <v>553.52237561768004</v>
      </c>
      <c r="C872">
        <v>268.87874799999997</v>
      </c>
    </row>
    <row r="873" spans="1:3" x14ac:dyDescent="0.25">
      <c r="A873" s="4">
        <v>34485</v>
      </c>
      <c r="B873" s="6">
        <f>'Monthly CFS'!C879 * 86400 * DAY(EOMONTH(A873,0)) / 43560</f>
        <v>816.64040050315282</v>
      </c>
      <c r="C873">
        <v>571.97311100000002</v>
      </c>
    </row>
    <row r="874" spans="1:3" x14ac:dyDescent="0.25">
      <c r="A874" s="4">
        <v>34515</v>
      </c>
      <c r="B874" s="6">
        <f>'Monthly CFS'!C880 * 86400 * DAY(EOMONTH(A874,0)) / 43560</f>
        <v>1073.9113607505215</v>
      </c>
      <c r="C874">
        <v>790.297144</v>
      </c>
    </row>
    <row r="875" spans="1:3" x14ac:dyDescent="0.25">
      <c r="A875" s="4">
        <v>34546</v>
      </c>
      <c r="B875" s="6">
        <f>'Monthly CFS'!C881 * 86400 * DAY(EOMONTH(A875,0)) / 43560</f>
        <v>1377.9588381027231</v>
      </c>
      <c r="C875">
        <v>1109.7083479999999</v>
      </c>
    </row>
    <row r="876" spans="1:3" x14ac:dyDescent="0.25">
      <c r="A876" s="4">
        <v>34577</v>
      </c>
      <c r="B876" s="6">
        <f>'Monthly CFS'!C882 * 86400 * DAY(EOMONTH(A876,0)) / 43560</f>
        <v>1506.5943472691049</v>
      </c>
      <c r="C876">
        <v>1377.958877</v>
      </c>
    </row>
    <row r="877" spans="1:3" x14ac:dyDescent="0.25">
      <c r="A877" s="4">
        <v>34607</v>
      </c>
      <c r="B877" s="6">
        <f>'Monthly CFS'!C883 * 86400 * DAY(EOMONTH(A877,0)) / 43560</f>
        <v>1270.7625901449705</v>
      </c>
      <c r="C877">
        <v>1457.994584</v>
      </c>
    </row>
    <row r="878" spans="1:3" x14ac:dyDescent="0.25">
      <c r="A878" s="4">
        <v>34638</v>
      </c>
      <c r="B878" s="6">
        <f>'Monthly CFS'!C884 * 86400 * DAY(EOMONTH(A878,0)) / 43560</f>
        <v>865.36594399446903</v>
      </c>
      <c r="C878">
        <v>1313.121337</v>
      </c>
    </row>
    <row r="879" spans="1:3" x14ac:dyDescent="0.25">
      <c r="A879" s="4">
        <v>34668</v>
      </c>
      <c r="B879" s="6">
        <f>'Monthly CFS'!C885 * 86400 * DAY(EOMONTH(A879,0)) / 43560</f>
        <v>549.62433736605999</v>
      </c>
      <c r="C879">
        <v>837.45090700000003</v>
      </c>
    </row>
    <row r="880" spans="1:3" x14ac:dyDescent="0.25">
      <c r="A880" s="4">
        <v>34699</v>
      </c>
      <c r="B880" s="6">
        <f>'Monthly CFS'!C886 * 86400 * DAY(EOMONTH(A880,0)) / 43560</f>
        <v>452.17320681938003</v>
      </c>
      <c r="C880">
        <v>567.94512899999995</v>
      </c>
    </row>
    <row r="881" spans="1:3" x14ac:dyDescent="0.25">
      <c r="A881" s="4">
        <v>34730</v>
      </c>
      <c r="B881" s="6">
        <f>'Monthly CFS'!C887 * 86400 * DAY(EOMONTH(A881,0)) / 43560</f>
        <v>133.67826149478657</v>
      </c>
      <c r="C881">
        <v>452.17321399999997</v>
      </c>
    </row>
    <row r="882" spans="1:3" x14ac:dyDescent="0.25">
      <c r="A882" s="4">
        <v>34758</v>
      </c>
      <c r="B882" s="6">
        <f>'Monthly CFS'!C888 * 86400 * DAY(EOMONTH(A882,0)) / 43560</f>
        <v>1083.2833765738274</v>
      </c>
      <c r="C882">
        <v>120.741653</v>
      </c>
    </row>
    <row r="883" spans="1:3" x14ac:dyDescent="0.25">
      <c r="A883" s="4">
        <v>34789</v>
      </c>
      <c r="B883" s="6">
        <f>'Monthly CFS'!C889 * 86400 * DAY(EOMONTH(A883,0)) / 43560</f>
        <v>1256.09879210449</v>
      </c>
      <c r="C883">
        <v>1199.3494270000001</v>
      </c>
    </row>
    <row r="884" spans="1:3" x14ac:dyDescent="0.25">
      <c r="A884" s="4">
        <v>34819</v>
      </c>
      <c r="B884" s="6">
        <f>'Monthly CFS'!C890 * 86400 * DAY(EOMONTH(A884,0)) / 43560</f>
        <v>1561.6876860582588</v>
      </c>
      <c r="C884">
        <v>1215.579438</v>
      </c>
    </row>
    <row r="885" spans="1:3" x14ac:dyDescent="0.25">
      <c r="A885" s="4">
        <v>34850</v>
      </c>
      <c r="B885" s="6">
        <f>'Monthly CFS'!C891 * 86400 * DAY(EOMONTH(A885,0)) / 43560</f>
        <v>2304.0392106647901</v>
      </c>
      <c r="C885">
        <v>1613.74396</v>
      </c>
    </row>
    <row r="886" spans="1:3" x14ac:dyDescent="0.25">
      <c r="A886" s="4">
        <v>34880</v>
      </c>
      <c r="B886" s="6">
        <f>'Monthly CFS'!C892 * 86400 * DAY(EOMONTH(A886,0)) / 43560</f>
        <v>3029.8940420080658</v>
      </c>
      <c r="C886">
        <v>2229.7154700000001</v>
      </c>
    </row>
    <row r="887" spans="1:3" x14ac:dyDescent="0.25">
      <c r="A887" s="4">
        <v>34911</v>
      </c>
      <c r="B887" s="6">
        <f>'Monthly CFS'!C893 * 86400 * DAY(EOMONTH(A887,0)) / 43560</f>
        <v>3887.7224194573914</v>
      </c>
      <c r="C887">
        <v>3130.8904779999998</v>
      </c>
    </row>
    <row r="888" spans="1:3" x14ac:dyDescent="0.25">
      <c r="A888" s="4">
        <v>34942</v>
      </c>
      <c r="B888" s="6">
        <f>'Monthly CFS'!C894 * 86400 * DAY(EOMONTH(A888,0)) / 43560</f>
        <v>4250.6499170690286</v>
      </c>
      <c r="C888">
        <v>3887.7225060000001</v>
      </c>
    </row>
    <row r="889" spans="1:3" x14ac:dyDescent="0.25">
      <c r="A889" s="4">
        <v>34972</v>
      </c>
      <c r="B889" s="6">
        <f>'Monthly CFS'!C895 * 86400 * DAY(EOMONTH(A889,0)) / 43560</f>
        <v>3585.282865427695</v>
      </c>
      <c r="C889">
        <v>4113.5323010000002</v>
      </c>
    </row>
    <row r="890" spans="1:3" x14ac:dyDescent="0.25">
      <c r="A890" s="4">
        <v>35003</v>
      </c>
      <c r="B890" s="6">
        <f>'Monthly CFS'!C896 * 86400 * DAY(EOMONTH(A890,0)) / 43560</f>
        <v>2441.5116681819263</v>
      </c>
      <c r="C890">
        <v>3704.792289</v>
      </c>
    </row>
    <row r="891" spans="1:3" x14ac:dyDescent="0.25">
      <c r="A891" s="4">
        <v>35033</v>
      </c>
      <c r="B891" s="6">
        <f>'Monthly CFS'!C897 * 86400 * DAY(EOMONTH(A891,0)) / 43560</f>
        <v>1550.6899042060888</v>
      </c>
      <c r="C891">
        <v>2362.7533210000001</v>
      </c>
    </row>
    <row r="892" spans="1:3" x14ac:dyDescent="0.25">
      <c r="A892" s="4">
        <v>35064</v>
      </c>
      <c r="B892" s="6">
        <f>'Monthly CFS'!C898 * 86400 * DAY(EOMONTH(A892,0)) / 43560</f>
        <v>1275.7448662618172</v>
      </c>
      <c r="C892">
        <v>1602.3795749999999</v>
      </c>
    </row>
    <row r="893" spans="1:3" x14ac:dyDescent="0.25">
      <c r="A893" s="4">
        <v>35095</v>
      </c>
      <c r="B893" s="6">
        <f>'Monthly CFS'!C899 * 86400 * DAY(EOMONTH(A893,0)) / 43560</f>
        <v>928.80276747771529</v>
      </c>
      <c r="C893">
        <v>1275.7448609999999</v>
      </c>
    </row>
    <row r="894" spans="1:3" x14ac:dyDescent="0.25">
      <c r="A894" s="4">
        <v>35124</v>
      </c>
      <c r="B894" s="6">
        <f>'Monthly CFS'!C900 * 86400 * DAY(EOMONTH(A894,0)) / 43560</f>
        <v>1083.2833765738276</v>
      </c>
      <c r="C894">
        <v>868.88000599999998</v>
      </c>
    </row>
    <row r="895" spans="1:3" x14ac:dyDescent="0.25">
      <c r="A895" s="4">
        <v>35155</v>
      </c>
      <c r="B895" s="6">
        <f>'Monthly CFS'!C901 * 86400 * DAY(EOMONTH(A895,0)) / 43560</f>
        <v>1314.2371232294158</v>
      </c>
      <c r="C895">
        <v>1157.992526</v>
      </c>
    </row>
    <row r="896" spans="1:3" x14ac:dyDescent="0.25">
      <c r="A896" s="4">
        <v>35185</v>
      </c>
      <c r="B896" s="6">
        <f>'Monthly CFS'!C902 * 86400 * DAY(EOMONTH(A896,0)) / 43560</f>
        <v>1561.6876860582595</v>
      </c>
      <c r="C896">
        <v>1271.8423760000001</v>
      </c>
    </row>
    <row r="897" spans="1:3" x14ac:dyDescent="0.25">
      <c r="A897" s="4">
        <v>35216</v>
      </c>
      <c r="B897" s="6">
        <f>'Monthly CFS'!C903 * 86400 * DAY(EOMONTH(A897,0)) / 43560</f>
        <v>2304.0392106647914</v>
      </c>
      <c r="C897">
        <v>1613.74396</v>
      </c>
    </row>
    <row r="898" spans="1:3" x14ac:dyDescent="0.25">
      <c r="A898" s="4">
        <v>35246</v>
      </c>
      <c r="B898" s="6">
        <f>'Monthly CFS'!C904 * 86400 * DAY(EOMONTH(A898,0)) / 43560</f>
        <v>3029.8940420080662</v>
      </c>
      <c r="C898">
        <v>2229.7154700000001</v>
      </c>
    </row>
    <row r="899" spans="1:3" x14ac:dyDescent="0.25">
      <c r="A899" s="4">
        <v>35277</v>
      </c>
      <c r="B899" s="6">
        <f>'Monthly CFS'!C905 * 86400 * DAY(EOMONTH(A899,0)) / 43560</f>
        <v>3887.7224194573919</v>
      </c>
      <c r="C899">
        <v>3130.8904779999998</v>
      </c>
    </row>
    <row r="900" spans="1:3" x14ac:dyDescent="0.25">
      <c r="A900" s="4">
        <v>35308</v>
      </c>
      <c r="B900" s="6">
        <f>'Monthly CFS'!C906 * 86400 * DAY(EOMONTH(A900,0)) / 43560</f>
        <v>4250.6499170690313</v>
      </c>
      <c r="C900">
        <v>3887.7225060000001</v>
      </c>
    </row>
    <row r="901" spans="1:3" x14ac:dyDescent="0.25">
      <c r="A901" s="4">
        <v>35338</v>
      </c>
      <c r="B901" s="6">
        <f>'Monthly CFS'!C907 * 86400 * DAY(EOMONTH(A901,0)) / 43560</f>
        <v>3585.2828654276959</v>
      </c>
      <c r="C901">
        <v>4113.5323010000002</v>
      </c>
    </row>
    <row r="902" spans="1:3" x14ac:dyDescent="0.25">
      <c r="A902" s="4">
        <v>35369</v>
      </c>
      <c r="B902" s="6">
        <f>'Monthly CFS'!C908 * 86400 * DAY(EOMONTH(A902,0)) / 43560</f>
        <v>2441.5116681819263</v>
      </c>
      <c r="C902">
        <v>3704.792289</v>
      </c>
    </row>
    <row r="903" spans="1:3" x14ac:dyDescent="0.25">
      <c r="A903" s="4">
        <v>35399</v>
      </c>
      <c r="B903" s="6">
        <f>'Monthly CFS'!C909 * 86400 * DAY(EOMONTH(A903,0)) / 43560</f>
        <v>1550.6899042060888</v>
      </c>
      <c r="C903">
        <v>2362.7533210000001</v>
      </c>
    </row>
    <row r="904" spans="1:3" x14ac:dyDescent="0.25">
      <c r="A904" s="4">
        <v>35430</v>
      </c>
      <c r="B904" s="6">
        <f>'Monthly CFS'!C910 * 86400 * DAY(EOMONTH(A904,0)) / 43560</f>
        <v>1275.7448662618176</v>
      </c>
      <c r="C904">
        <v>1602.3795749999999</v>
      </c>
    </row>
    <row r="905" spans="1:3" x14ac:dyDescent="0.25">
      <c r="A905" s="4">
        <v>35461</v>
      </c>
      <c r="B905" s="6">
        <f>'Monthly CFS'!C911 * 86400 * DAY(EOMONTH(A905,0)) / 43560</f>
        <v>1215.256922679878</v>
      </c>
      <c r="C905">
        <v>1275.7448609999999</v>
      </c>
    </row>
    <row r="906" spans="1:3" x14ac:dyDescent="0.25">
      <c r="A906" s="4">
        <v>35489</v>
      </c>
      <c r="B906" s="6">
        <f>'Monthly CFS'!C912 * 86400 * DAY(EOMONTH(A906,0)) / 43560</f>
        <v>1083.2833765738271</v>
      </c>
      <c r="C906">
        <v>1097.6514279999999</v>
      </c>
    </row>
    <row r="907" spans="1:3" x14ac:dyDescent="0.25">
      <c r="A907" s="4">
        <v>35520</v>
      </c>
      <c r="B907" s="6">
        <f>'Monthly CFS'!C913 * 86400 * DAY(EOMONTH(A907,0)) / 43560</f>
        <v>1314.2371232294156</v>
      </c>
      <c r="C907">
        <v>1199.3494270000001</v>
      </c>
    </row>
    <row r="908" spans="1:3" x14ac:dyDescent="0.25">
      <c r="A908" s="4">
        <v>35550</v>
      </c>
      <c r="B908" s="6">
        <f>'Monthly CFS'!C914 * 86400 * DAY(EOMONTH(A908,0)) / 43560</f>
        <v>1561.6876860582588</v>
      </c>
      <c r="C908">
        <v>1271.8423760000001</v>
      </c>
    </row>
    <row r="909" spans="1:3" x14ac:dyDescent="0.25">
      <c r="A909" s="4">
        <v>35581</v>
      </c>
      <c r="B909" s="6">
        <f>'Monthly CFS'!C915 * 86400 * DAY(EOMONTH(A909,0)) / 43560</f>
        <v>2304.0392106647905</v>
      </c>
      <c r="C909">
        <v>1613.74396</v>
      </c>
    </row>
    <row r="910" spans="1:3" x14ac:dyDescent="0.25">
      <c r="A910" s="4">
        <v>35611</v>
      </c>
      <c r="B910" s="6">
        <f>'Monthly CFS'!C916 * 86400 * DAY(EOMONTH(A910,0)) / 43560</f>
        <v>3029.8940420080662</v>
      </c>
      <c r="C910">
        <v>2229.7154700000001</v>
      </c>
    </row>
    <row r="911" spans="1:3" x14ac:dyDescent="0.25">
      <c r="A911" s="4">
        <v>35642</v>
      </c>
      <c r="B911" s="6">
        <f>'Monthly CFS'!C917 * 86400 * DAY(EOMONTH(A911,0)) / 43560</f>
        <v>3887.7224194573914</v>
      </c>
      <c r="C911">
        <v>3130.8904779999998</v>
      </c>
    </row>
    <row r="912" spans="1:3" x14ac:dyDescent="0.25">
      <c r="A912" s="4">
        <v>35673</v>
      </c>
      <c r="B912" s="6">
        <f>'Monthly CFS'!C918 * 86400 * DAY(EOMONTH(A912,0)) / 43560</f>
        <v>4250.6499170690313</v>
      </c>
      <c r="C912">
        <v>3887.7225060000001</v>
      </c>
    </row>
    <row r="913" spans="1:3" x14ac:dyDescent="0.25">
      <c r="A913" s="4">
        <v>35703</v>
      </c>
      <c r="B913" s="6">
        <f>'Monthly CFS'!C919 * 86400 * DAY(EOMONTH(A913,0)) / 43560</f>
        <v>3585.282865427695</v>
      </c>
      <c r="C913">
        <v>4113.5323010000002</v>
      </c>
    </row>
    <row r="914" spans="1:3" x14ac:dyDescent="0.25">
      <c r="A914" s="4">
        <v>35734</v>
      </c>
      <c r="B914" s="6">
        <f>'Monthly CFS'!C920 * 86400 * DAY(EOMONTH(A914,0)) / 43560</f>
        <v>2441.5116681819263</v>
      </c>
      <c r="C914">
        <v>3704.792289</v>
      </c>
    </row>
    <row r="915" spans="1:3" x14ac:dyDescent="0.25">
      <c r="A915" s="4">
        <v>35764</v>
      </c>
      <c r="B915" s="6">
        <f>'Monthly CFS'!C921 * 86400 * DAY(EOMONTH(A915,0)) / 43560</f>
        <v>1550.6899042060884</v>
      </c>
      <c r="C915">
        <v>2362.7533210000001</v>
      </c>
    </row>
    <row r="916" spans="1:3" x14ac:dyDescent="0.25">
      <c r="A916" s="4">
        <v>35795</v>
      </c>
      <c r="B916" s="6">
        <f>'Monthly CFS'!C922 * 86400 * DAY(EOMONTH(A916,0)) / 43560</f>
        <v>1275.7448662618174</v>
      </c>
      <c r="C916">
        <v>1602.3795749999999</v>
      </c>
    </row>
    <row r="917" spans="1:3" x14ac:dyDescent="0.25">
      <c r="A917" s="4">
        <v>35826</v>
      </c>
      <c r="B917" s="6">
        <f>'Monthly CFS'!C923 * 86400 * DAY(EOMONTH(A917,0)) / 43560</f>
        <v>241.08112153046443</v>
      </c>
      <c r="C917">
        <v>1275.7448609999999</v>
      </c>
    </row>
    <row r="918" spans="1:3" x14ac:dyDescent="0.25">
      <c r="A918" s="4">
        <v>35854</v>
      </c>
      <c r="B918" s="6">
        <f>'Monthly CFS'!C924 * 86400 * DAY(EOMONTH(A918,0)) / 43560</f>
        <v>1083.2833765738274</v>
      </c>
      <c r="C918">
        <v>217.75068999999999</v>
      </c>
    </row>
    <row r="919" spans="1:3" x14ac:dyDescent="0.25">
      <c r="A919" s="4">
        <v>35885</v>
      </c>
      <c r="B919" s="6">
        <f>'Monthly CFS'!C925 * 86400 * DAY(EOMONTH(A919,0)) / 43560</f>
        <v>1314.2371232294154</v>
      </c>
      <c r="C919">
        <v>1199.3494270000001</v>
      </c>
    </row>
    <row r="920" spans="1:3" x14ac:dyDescent="0.25">
      <c r="A920" s="4">
        <v>35915</v>
      </c>
      <c r="B920" s="6">
        <f>'Monthly CFS'!C926 * 86400 * DAY(EOMONTH(A920,0)) / 43560</f>
        <v>1561.6876860582595</v>
      </c>
      <c r="C920">
        <v>1271.8423760000001</v>
      </c>
    </row>
    <row r="921" spans="1:3" x14ac:dyDescent="0.25">
      <c r="A921" s="4">
        <v>35946</v>
      </c>
      <c r="B921" s="6">
        <f>'Monthly CFS'!C927 * 86400 * DAY(EOMONTH(A921,0)) / 43560</f>
        <v>2304.0392106647905</v>
      </c>
      <c r="C921">
        <v>1613.74396</v>
      </c>
    </row>
    <row r="922" spans="1:3" x14ac:dyDescent="0.25">
      <c r="A922" s="4">
        <v>35976</v>
      </c>
      <c r="B922" s="6">
        <f>'Monthly CFS'!C928 * 86400 * DAY(EOMONTH(A922,0)) / 43560</f>
        <v>3029.8940420080662</v>
      </c>
      <c r="C922">
        <v>2229.7154700000001</v>
      </c>
    </row>
    <row r="923" spans="1:3" x14ac:dyDescent="0.25">
      <c r="A923" s="4">
        <v>36007</v>
      </c>
      <c r="B923" s="6">
        <f>'Monthly CFS'!C929 * 86400 * DAY(EOMONTH(A923,0)) / 43560</f>
        <v>3887.7224194573901</v>
      </c>
      <c r="C923">
        <v>3130.8904779999998</v>
      </c>
    </row>
    <row r="924" spans="1:3" x14ac:dyDescent="0.25">
      <c r="A924" s="4">
        <v>36038</v>
      </c>
      <c r="B924" s="6">
        <f>'Monthly CFS'!C930 * 86400 * DAY(EOMONTH(A924,0)) / 43560</f>
        <v>4250.6499170690258</v>
      </c>
      <c r="C924">
        <v>3887.7225060000001</v>
      </c>
    </row>
    <row r="925" spans="1:3" x14ac:dyDescent="0.25">
      <c r="A925" s="4">
        <v>36068</v>
      </c>
      <c r="B925" s="6">
        <f>'Monthly CFS'!C931 * 86400 * DAY(EOMONTH(A925,0)) / 43560</f>
        <v>3585.2828654276932</v>
      </c>
      <c r="C925">
        <v>4113.5323010000002</v>
      </c>
    </row>
    <row r="926" spans="1:3" x14ac:dyDescent="0.25">
      <c r="A926" s="4">
        <v>36099</v>
      </c>
      <c r="B926" s="6">
        <f>'Monthly CFS'!C932 * 86400 * DAY(EOMONTH(A926,0)) / 43560</f>
        <v>2441.5116681819259</v>
      </c>
      <c r="C926">
        <v>3704.792289</v>
      </c>
    </row>
    <row r="927" spans="1:3" x14ac:dyDescent="0.25">
      <c r="A927" s="4">
        <v>36129</v>
      </c>
      <c r="B927" s="6">
        <f>'Monthly CFS'!C933 * 86400 * DAY(EOMONTH(A927,0)) / 43560</f>
        <v>1550.689904206087</v>
      </c>
      <c r="C927">
        <v>2362.7533210000001</v>
      </c>
    </row>
    <row r="928" spans="1:3" x14ac:dyDescent="0.25">
      <c r="A928" s="4">
        <v>36160</v>
      </c>
      <c r="B928" s="6">
        <f>'Monthly CFS'!C934 * 86400 * DAY(EOMONTH(A928,0)) / 43560</f>
        <v>1275.7448662618167</v>
      </c>
      <c r="C928">
        <v>1602.3795749999999</v>
      </c>
    </row>
    <row r="929" spans="1:3" x14ac:dyDescent="0.25">
      <c r="A929" s="4">
        <v>36191</v>
      </c>
      <c r="B929" s="6">
        <f>'Monthly CFS'!C935 * 86400 * DAY(EOMONTH(A929,0)) / 43560</f>
        <v>1215.256922679878</v>
      </c>
      <c r="C929">
        <v>1275.7448609999999</v>
      </c>
    </row>
    <row r="930" spans="1:3" x14ac:dyDescent="0.25">
      <c r="A930" s="4">
        <v>36219</v>
      </c>
      <c r="B930" s="6">
        <f>'Monthly CFS'!C936 * 86400 * DAY(EOMONTH(A930,0)) / 43560</f>
        <v>1083.2833765738274</v>
      </c>
      <c r="C930">
        <v>1097.6514279999999</v>
      </c>
    </row>
    <row r="931" spans="1:3" x14ac:dyDescent="0.25">
      <c r="A931" s="4">
        <v>36250</v>
      </c>
      <c r="B931" s="6">
        <f>'Monthly CFS'!C937 * 86400 * DAY(EOMONTH(A931,0)) / 43560</f>
        <v>1314.2371232294154</v>
      </c>
      <c r="C931">
        <v>1199.3494270000001</v>
      </c>
    </row>
    <row r="932" spans="1:3" x14ac:dyDescent="0.25">
      <c r="A932" s="4">
        <v>36280</v>
      </c>
      <c r="B932" s="6">
        <f>'Monthly CFS'!C938 * 86400 * DAY(EOMONTH(A932,0)) / 43560</f>
        <v>1561.6876860582588</v>
      </c>
      <c r="C932">
        <v>1271.8423760000001</v>
      </c>
    </row>
    <row r="933" spans="1:3" x14ac:dyDescent="0.25">
      <c r="A933" s="4">
        <v>36311</v>
      </c>
      <c r="B933" s="6">
        <f>'Monthly CFS'!C939 * 86400 * DAY(EOMONTH(A933,0)) / 43560</f>
        <v>2304.0392106647901</v>
      </c>
      <c r="C933">
        <v>1613.74396</v>
      </c>
    </row>
    <row r="934" spans="1:3" x14ac:dyDescent="0.25">
      <c r="A934" s="4">
        <v>36341</v>
      </c>
      <c r="B934" s="6">
        <f>'Monthly CFS'!C940 * 86400 * DAY(EOMONTH(A934,0)) / 43560</f>
        <v>3029.8940420080676</v>
      </c>
      <c r="C934">
        <v>2229.7154700000001</v>
      </c>
    </row>
    <row r="935" spans="1:3" x14ac:dyDescent="0.25">
      <c r="A935" s="4">
        <v>36372</v>
      </c>
      <c r="B935" s="6">
        <f>'Monthly CFS'!C941 * 86400 * DAY(EOMONTH(A935,0)) / 43560</f>
        <v>3887.7224194573919</v>
      </c>
      <c r="C935">
        <v>3130.8904779999998</v>
      </c>
    </row>
    <row r="936" spans="1:3" x14ac:dyDescent="0.25">
      <c r="A936" s="4">
        <v>36403</v>
      </c>
      <c r="B936" s="6">
        <f>'Monthly CFS'!C942 * 86400 * DAY(EOMONTH(A936,0)) / 43560</f>
        <v>4250.6499170690295</v>
      </c>
      <c r="C936">
        <v>3887.7225060000001</v>
      </c>
    </row>
    <row r="937" spans="1:3" x14ac:dyDescent="0.25">
      <c r="A937" s="4">
        <v>36433</v>
      </c>
      <c r="B937" s="6">
        <f>'Monthly CFS'!C943 * 86400 * DAY(EOMONTH(A937,0)) / 43560</f>
        <v>3585.2828654276959</v>
      </c>
      <c r="C937">
        <v>4113.5323010000002</v>
      </c>
    </row>
    <row r="938" spans="1:3" x14ac:dyDescent="0.25">
      <c r="A938" s="4">
        <v>36464</v>
      </c>
      <c r="B938" s="6">
        <f>'Monthly CFS'!C944 * 86400 * DAY(EOMONTH(A938,0)) / 43560</f>
        <v>2441.5116681819272</v>
      </c>
      <c r="C938">
        <v>3704.792289</v>
      </c>
    </row>
    <row r="939" spans="1:3" x14ac:dyDescent="0.25">
      <c r="A939" s="4">
        <v>36494</v>
      </c>
      <c r="B939" s="6">
        <f>'Monthly CFS'!C945 * 86400 * DAY(EOMONTH(A939,0)) / 43560</f>
        <v>1550.6899042060882</v>
      </c>
      <c r="C939">
        <v>2362.7533210000001</v>
      </c>
    </row>
    <row r="940" spans="1:3" x14ac:dyDescent="0.25">
      <c r="A940" s="4">
        <v>36525</v>
      </c>
      <c r="B940" s="6">
        <f>'Monthly CFS'!C946 * 86400 * DAY(EOMONTH(A940,0)) / 43560</f>
        <v>1275.7448662618176</v>
      </c>
      <c r="C940">
        <v>1602.3795749999999</v>
      </c>
    </row>
    <row r="941" spans="1:3" x14ac:dyDescent="0.25">
      <c r="A941" s="4">
        <v>36556</v>
      </c>
      <c r="B941" s="6">
        <f>'Monthly CFS'!C947 * 86400 * DAY(EOMONTH(A941,0)) / 43560</f>
        <v>237.48773536735666</v>
      </c>
      <c r="C941">
        <v>1275.7448609999999</v>
      </c>
    </row>
    <row r="942" spans="1:3" x14ac:dyDescent="0.25">
      <c r="A942" s="4">
        <v>36585</v>
      </c>
      <c r="B942" s="6">
        <f>'Monthly CFS'!C948 * 86400 * DAY(EOMONTH(A942,0)) / 43560</f>
        <v>697.10217813821532</v>
      </c>
      <c r="C942">
        <v>222.16594000000001</v>
      </c>
    </row>
    <row r="943" spans="1:3" x14ac:dyDescent="0.25">
      <c r="A943" s="4">
        <v>36616</v>
      </c>
      <c r="B943" s="6">
        <f>'Monthly CFS'!C949 * 86400 * DAY(EOMONTH(A943,0)) / 43560</f>
        <v>1314.2371232294156</v>
      </c>
      <c r="C943">
        <v>745.17820099999994</v>
      </c>
    </row>
    <row r="944" spans="1:3" x14ac:dyDescent="0.25">
      <c r="A944" s="4">
        <v>36646</v>
      </c>
      <c r="B944" s="6">
        <f>'Monthly CFS'!C950 * 86400 * DAY(EOMONTH(A944,0)) / 43560</f>
        <v>1561.6876860582595</v>
      </c>
      <c r="C944">
        <v>1271.8423760000001</v>
      </c>
    </row>
    <row r="945" spans="1:3" x14ac:dyDescent="0.25">
      <c r="A945" s="4">
        <v>36677</v>
      </c>
      <c r="B945" s="6">
        <f>'Monthly CFS'!C951 * 86400 * DAY(EOMONTH(A945,0)) / 43560</f>
        <v>2304.0392106647901</v>
      </c>
      <c r="C945">
        <v>1613.74396</v>
      </c>
    </row>
    <row r="946" spans="1:3" x14ac:dyDescent="0.25">
      <c r="A946" s="4">
        <v>36707</v>
      </c>
      <c r="B946" s="6">
        <f>'Monthly CFS'!C952 * 86400 * DAY(EOMONTH(A946,0)) / 43560</f>
        <v>3029.8940420080662</v>
      </c>
      <c r="C946">
        <v>2229.7154700000001</v>
      </c>
    </row>
    <row r="947" spans="1:3" x14ac:dyDescent="0.25">
      <c r="A947" s="4">
        <v>36738</v>
      </c>
      <c r="B947" s="6">
        <f>'Monthly CFS'!C953 * 86400 * DAY(EOMONTH(A947,0)) / 43560</f>
        <v>3887.7224194573914</v>
      </c>
      <c r="C947">
        <v>3130.8904779999998</v>
      </c>
    </row>
    <row r="948" spans="1:3" x14ac:dyDescent="0.25">
      <c r="A948" s="4">
        <v>36769</v>
      </c>
      <c r="B948" s="6">
        <f>'Monthly CFS'!C954 * 86400 * DAY(EOMONTH(A948,0)) / 43560</f>
        <v>4250.6499170690286</v>
      </c>
      <c r="C948">
        <v>3887.7225060000001</v>
      </c>
    </row>
    <row r="949" spans="1:3" x14ac:dyDescent="0.25">
      <c r="A949" s="4">
        <v>36799</v>
      </c>
      <c r="B949" s="6">
        <f>'Monthly CFS'!C955 * 86400 * DAY(EOMONTH(A949,0)) / 43560</f>
        <v>3585.2828654276937</v>
      </c>
      <c r="C949">
        <v>4113.5323010000002</v>
      </c>
    </row>
    <row r="950" spans="1:3" x14ac:dyDescent="0.25">
      <c r="A950" s="4">
        <v>36830</v>
      </c>
      <c r="B950" s="6">
        <f>'Monthly CFS'!C956 * 86400 * DAY(EOMONTH(A950,0)) / 43560</f>
        <v>2441.5116681819259</v>
      </c>
      <c r="C950">
        <v>3704.792289</v>
      </c>
    </row>
    <row r="951" spans="1:3" x14ac:dyDescent="0.25">
      <c r="A951" s="4">
        <v>36860</v>
      </c>
      <c r="B951" s="6">
        <f>'Monthly CFS'!C957 * 86400 * DAY(EOMONTH(A951,0)) / 43560</f>
        <v>1550.6899042060884</v>
      </c>
      <c r="C951">
        <v>2362.7533210000001</v>
      </c>
    </row>
    <row r="952" spans="1:3" x14ac:dyDescent="0.25">
      <c r="A952" s="4">
        <v>36891</v>
      </c>
      <c r="B952" s="6">
        <f>'Monthly CFS'!C958 * 86400 * DAY(EOMONTH(A952,0)) / 43560</f>
        <v>1275.7448662618176</v>
      </c>
      <c r="C952">
        <v>1602.3795749999999</v>
      </c>
    </row>
    <row r="953" spans="1:3" x14ac:dyDescent="0.25">
      <c r="A953" s="4">
        <v>36922</v>
      </c>
      <c r="B953" s="6">
        <f>'Monthly CFS'!C959 * 86400 * DAY(EOMONTH(A953,0)) / 43560</f>
        <v>133.67826149478657</v>
      </c>
      <c r="C953">
        <v>1275.7448609999999</v>
      </c>
    </row>
    <row r="954" spans="1:3" x14ac:dyDescent="0.25">
      <c r="A954" s="4">
        <v>36950</v>
      </c>
      <c r="B954" s="6">
        <f>'Monthly CFS'!C960 * 86400 * DAY(EOMONTH(A954,0)) / 43560</f>
        <v>119.16117142312106</v>
      </c>
      <c r="C954">
        <v>120.741653</v>
      </c>
    </row>
    <row r="955" spans="1:3" x14ac:dyDescent="0.25">
      <c r="A955" s="4">
        <v>36981</v>
      </c>
      <c r="B955" s="6">
        <f>'Monthly CFS'!C961 * 86400 * DAY(EOMONTH(A955,0)) / 43560</f>
        <v>257.63817997164557</v>
      </c>
      <c r="C955">
        <v>131.928437</v>
      </c>
    </row>
    <row r="956" spans="1:3" x14ac:dyDescent="0.25">
      <c r="A956" s="4">
        <v>37011</v>
      </c>
      <c r="B956" s="6">
        <f>'Monthly CFS'!C962 * 86400 * DAY(EOMONTH(A956,0)) / 43560</f>
        <v>327.90339709641518</v>
      </c>
      <c r="C956">
        <v>249.32728299999999</v>
      </c>
    </row>
    <row r="957" spans="1:3" x14ac:dyDescent="0.25">
      <c r="A957" s="4">
        <v>37042</v>
      </c>
      <c r="B957" s="6">
        <f>'Monthly CFS'!C963 * 86400 * DAY(EOMONTH(A957,0)) / 43560</f>
        <v>515.46818130040128</v>
      </c>
      <c r="C957">
        <v>338.833504</v>
      </c>
    </row>
    <row r="958" spans="1:3" x14ac:dyDescent="0.25">
      <c r="A958" s="4">
        <v>37072</v>
      </c>
      <c r="B958" s="6">
        <f>'Monthly CFS'!C964 * 86400 * DAY(EOMONTH(A958,0)) / 43560</f>
        <v>677.85911113734301</v>
      </c>
      <c r="C958">
        <v>498.84018700000001</v>
      </c>
    </row>
    <row r="959" spans="1:3" x14ac:dyDescent="0.25">
      <c r="A959" s="4">
        <v>37103</v>
      </c>
      <c r="B959" s="6">
        <f>'Monthly CFS'!C965 * 86400 * DAY(EOMONTH(A959,0)) / 43560</f>
        <v>869.77565124869534</v>
      </c>
      <c r="C959">
        <v>700.45441600000004</v>
      </c>
    </row>
    <row r="960" spans="1:3" x14ac:dyDescent="0.25">
      <c r="A960" s="4">
        <v>37134</v>
      </c>
      <c r="B960" s="6">
        <f>'Monthly CFS'!C966 * 86400 * DAY(EOMONTH(A960,0)) / 43560</f>
        <v>950.97113449908591</v>
      </c>
      <c r="C960">
        <v>869.77566000000002</v>
      </c>
    </row>
    <row r="961" spans="1:3" x14ac:dyDescent="0.25">
      <c r="A961" s="4">
        <v>37164</v>
      </c>
      <c r="B961" s="6">
        <f>'Monthly CFS'!C967 * 86400 * DAY(EOMONTH(A961,0)) / 43560</f>
        <v>802.11275465067638</v>
      </c>
      <c r="C961">
        <v>920.29463099999998</v>
      </c>
    </row>
    <row r="962" spans="1:3" x14ac:dyDescent="0.25">
      <c r="A962" s="4">
        <v>37195</v>
      </c>
      <c r="B962" s="6">
        <f>'Monthly CFS'!C968 * 86400 * DAY(EOMONTH(A962,0)) / 43560</f>
        <v>546.22402839156621</v>
      </c>
      <c r="C962">
        <v>828.849874</v>
      </c>
    </row>
    <row r="963" spans="1:3" x14ac:dyDescent="0.25">
      <c r="A963" s="4">
        <v>37225</v>
      </c>
      <c r="B963" s="6">
        <f>'Monthly CFS'!C969 * 86400 * DAY(EOMONTH(A963,0)) / 43560</f>
        <v>346.92608571161094</v>
      </c>
      <c r="C963">
        <v>528.60388599999999</v>
      </c>
    </row>
    <row r="964" spans="1:3" x14ac:dyDescent="0.25">
      <c r="A964" s="4">
        <v>37256</v>
      </c>
      <c r="B964" s="6">
        <f>'Monthly CFS'!C970 * 86400 * DAY(EOMONTH(A964,0)) / 43560</f>
        <v>285.41436403140108</v>
      </c>
      <c r="C964">
        <v>358.49028499999997</v>
      </c>
    </row>
    <row r="965" spans="1:3" x14ac:dyDescent="0.25">
      <c r="A965" s="4">
        <v>37287</v>
      </c>
      <c r="B965" s="6">
        <f>'Monthly CFS'!C971 * 86400 * DAY(EOMONTH(A965,0)) / 43560</f>
        <v>744.04985983292761</v>
      </c>
      <c r="C965">
        <v>285.414355</v>
      </c>
    </row>
    <row r="966" spans="1:3" x14ac:dyDescent="0.25">
      <c r="A966" s="4">
        <v>37315</v>
      </c>
      <c r="B966" s="6">
        <f>'Monthly CFS'!C972 * 86400 * DAY(EOMONTH(A966,0)) / 43560</f>
        <v>632.92379736441319</v>
      </c>
      <c r="C966">
        <v>672.04504099999997</v>
      </c>
    </row>
    <row r="967" spans="1:3" x14ac:dyDescent="0.25">
      <c r="A967" s="4">
        <v>37346</v>
      </c>
      <c r="B967" s="6">
        <f>'Monthly CFS'!C973 * 86400 * DAY(EOMONTH(A967,0)) / 43560</f>
        <v>759.65180969843414</v>
      </c>
      <c r="C967">
        <v>700.73705700000005</v>
      </c>
    </row>
    <row r="968" spans="1:3" x14ac:dyDescent="0.25">
      <c r="A968" s="4">
        <v>37376</v>
      </c>
      <c r="B968" s="6">
        <f>'Monthly CFS'!C974 * 86400 * DAY(EOMONTH(A968,0)) / 43560</f>
        <v>1087.3287198162438</v>
      </c>
      <c r="C968">
        <v>735.14691200000004</v>
      </c>
    </row>
    <row r="969" spans="1:3" x14ac:dyDescent="0.25">
      <c r="A969" s="4">
        <v>37407</v>
      </c>
      <c r="B969" s="6">
        <f>'Monthly CFS'!C975 * 86400 * DAY(EOMONTH(A969,0)) / 43560</f>
        <v>1604.1927126043297</v>
      </c>
      <c r="C969">
        <v>1123.5729879999999</v>
      </c>
    </row>
    <row r="970" spans="1:3" x14ac:dyDescent="0.25">
      <c r="A970" s="4">
        <v>37437</v>
      </c>
      <c r="B970" s="6">
        <f>'Monthly CFS'!C976 * 86400 * DAY(EOMONTH(A970,0)) / 43560</f>
        <v>2109.5708439572049</v>
      </c>
      <c r="C970">
        <v>1552.4445459999999</v>
      </c>
    </row>
    <row r="971" spans="1:3" x14ac:dyDescent="0.25">
      <c r="A971" s="4">
        <v>37468</v>
      </c>
      <c r="B971" s="6">
        <f>'Monthly CFS'!C977 * 86400 * DAY(EOMONTH(A971,0)) / 43560</f>
        <v>2706.8358667917555</v>
      </c>
      <c r="C971">
        <v>2179.8899219999998</v>
      </c>
    </row>
    <row r="972" spans="1:3" x14ac:dyDescent="0.25">
      <c r="A972" s="4">
        <v>37499</v>
      </c>
      <c r="B972" s="6">
        <f>'Monthly CFS'!C978 * 86400 * DAY(EOMONTH(A972,0)) / 43560</f>
        <v>2959.5249895191096</v>
      </c>
      <c r="C972">
        <v>2706.8358490000001</v>
      </c>
    </row>
    <row r="973" spans="1:3" x14ac:dyDescent="0.25">
      <c r="A973" s="4">
        <v>37529</v>
      </c>
      <c r="B973" s="6">
        <f>'Monthly CFS'!C979 * 86400 * DAY(EOMONTH(A973,0)) / 43560</f>
        <v>2496.2616168692648</v>
      </c>
      <c r="C973">
        <v>2864.0565230000002</v>
      </c>
    </row>
    <row r="974" spans="1:3" x14ac:dyDescent="0.25">
      <c r="A974" s="4">
        <v>37560</v>
      </c>
      <c r="B974" s="6">
        <f>'Monthly CFS'!C980 * 86400 * DAY(EOMONTH(A974,0)) / 43560</f>
        <v>1699.9082340728924</v>
      </c>
      <c r="C974">
        <v>2579.4704470000001</v>
      </c>
    </row>
    <row r="975" spans="1:3" x14ac:dyDescent="0.25">
      <c r="A975" s="4">
        <v>37590</v>
      </c>
      <c r="B975" s="6">
        <f>'Monthly CFS'!C981 * 86400 * DAY(EOMONTH(A975,0)) / 43560</f>
        <v>1079.6714883679238</v>
      </c>
      <c r="C975">
        <v>1645.0724580000001</v>
      </c>
    </row>
    <row r="976" spans="1:3" x14ac:dyDescent="0.25">
      <c r="A976" s="4">
        <v>37621</v>
      </c>
      <c r="B976" s="6">
        <f>'Monthly CFS'!C982 * 86400 * DAY(EOMONTH(A976,0)) / 43560</f>
        <v>888.2403598544214</v>
      </c>
      <c r="C976">
        <v>1115.6605730000001</v>
      </c>
    </row>
    <row r="977" spans="1:3" x14ac:dyDescent="0.25">
      <c r="A977" s="4">
        <v>37652</v>
      </c>
      <c r="B977" s="6">
        <f>'Monthly CFS'!C983 * 86400 * DAY(EOMONTH(A977,0)) / 43560</f>
        <v>1215.256922679878</v>
      </c>
      <c r="C977">
        <v>888.240365</v>
      </c>
    </row>
    <row r="978" spans="1:3" x14ac:dyDescent="0.25">
      <c r="A978" s="4">
        <v>37680</v>
      </c>
      <c r="B978" s="6">
        <f>'Monthly CFS'!C984 * 86400 * DAY(EOMONTH(A978,0)) / 43560</f>
        <v>1003.9746818194006</v>
      </c>
      <c r="C978">
        <v>1097.6514279999999</v>
      </c>
    </row>
    <row r="979" spans="1:3" x14ac:dyDescent="0.25">
      <c r="A979" s="4">
        <v>37711</v>
      </c>
      <c r="B979" s="6">
        <f>'Monthly CFS'!C985 * 86400 * DAY(EOMONTH(A979,0)) / 43560</f>
        <v>1090.2896667900609</v>
      </c>
      <c r="C979">
        <v>1111.5434009999999</v>
      </c>
    </row>
    <row r="980" spans="1:3" x14ac:dyDescent="0.25">
      <c r="A980" s="4">
        <v>37741</v>
      </c>
      <c r="B980" s="6">
        <f>'Monthly CFS'!C986 * 86400 * DAY(EOMONTH(A980,0)) / 43560</f>
        <v>1242.7747513997356</v>
      </c>
      <c r="C980">
        <v>1055.1190079999999</v>
      </c>
    </row>
    <row r="981" spans="1:3" x14ac:dyDescent="0.25">
      <c r="A981" s="4">
        <v>37772</v>
      </c>
      <c r="B981" s="6">
        <f>'Monthly CFS'!C987 * 86400 * DAY(EOMONTH(A981,0)) / 43560</f>
        <v>1922.4843904318138</v>
      </c>
      <c r="C981">
        <v>1284.2006260000001</v>
      </c>
    </row>
    <row r="982" spans="1:3" x14ac:dyDescent="0.25">
      <c r="A982" s="4">
        <v>37802</v>
      </c>
      <c r="B982" s="6">
        <f>'Monthly CFS'!C988 * 86400 * DAY(EOMONTH(A982,0)) / 43560</f>
        <v>2528.1357945042</v>
      </c>
      <c r="C982">
        <v>1860.4687269999999</v>
      </c>
    </row>
    <row r="983" spans="1:3" x14ac:dyDescent="0.25">
      <c r="A983" s="4">
        <v>37833</v>
      </c>
      <c r="B983" s="6">
        <f>'Monthly CFS'!C989 * 86400 * DAY(EOMONTH(A983,0)) / 43560</f>
        <v>3243.9055859566383</v>
      </c>
      <c r="C983">
        <v>2612.406884</v>
      </c>
    </row>
    <row r="984" spans="1:3" x14ac:dyDescent="0.25">
      <c r="A984" s="4">
        <v>37864</v>
      </c>
      <c r="B984" s="6">
        <f>'Monthly CFS'!C990 * 86400 * DAY(EOMONTH(A984,0)) / 43560</f>
        <v>3546.7313563633556</v>
      </c>
      <c r="C984">
        <v>3243.9054729999998</v>
      </c>
    </row>
    <row r="985" spans="1:3" x14ac:dyDescent="0.25">
      <c r="A985" s="4">
        <v>37894</v>
      </c>
      <c r="B985" s="6">
        <f>'Monthly CFS'!C991 * 86400 * DAY(EOMONTH(A985,0)) / 43560</f>
        <v>2991.5508000745485</v>
      </c>
      <c r="C985">
        <v>3432.3207130000001</v>
      </c>
    </row>
    <row r="986" spans="1:3" x14ac:dyDescent="0.25">
      <c r="A986" s="4">
        <v>37925</v>
      </c>
      <c r="B986" s="6">
        <f>'Monthly CFS'!C992 * 86400 * DAY(EOMONTH(A986,0)) / 43560</f>
        <v>2037.1910553477896</v>
      </c>
      <c r="C986">
        <v>3091.269178</v>
      </c>
    </row>
    <row r="987" spans="1:3" x14ac:dyDescent="0.25">
      <c r="A987" s="4">
        <v>37955</v>
      </c>
      <c r="B987" s="6">
        <f>'Monthly CFS'!C993 * 86400 * DAY(EOMONTH(A987,0)) / 43560</f>
        <v>1293.8916670503368</v>
      </c>
      <c r="C987">
        <v>1971.4752450000001</v>
      </c>
    </row>
    <row r="988" spans="1:3" x14ac:dyDescent="0.25">
      <c r="A988" s="4">
        <v>37986</v>
      </c>
      <c r="B988" s="6">
        <f>'Monthly CFS'!C994 * 86400 * DAY(EOMONTH(A988,0)) / 43560</f>
        <v>1064.4782346625991</v>
      </c>
      <c r="C988">
        <v>1337.0213630000001</v>
      </c>
    </row>
    <row r="989" spans="1:3" x14ac:dyDescent="0.25">
      <c r="A989" s="4">
        <v>38017</v>
      </c>
      <c r="B989" s="6">
        <f>'Monthly CFS'!C995 * 86400 * DAY(EOMONTH(A989,0)) / 43560</f>
        <v>822.34162001598372</v>
      </c>
      <c r="C989">
        <v>1064.478214</v>
      </c>
    </row>
    <row r="990" spans="1:3" x14ac:dyDescent="0.25">
      <c r="A990" s="4">
        <v>38046</v>
      </c>
      <c r="B990" s="6">
        <f>'Monthly CFS'!C996 * 86400 * DAY(EOMONTH(A990,0)) / 43560</f>
        <v>698.56915991787889</v>
      </c>
      <c r="C990">
        <v>769.28733299999999</v>
      </c>
    </row>
    <row r="991" spans="1:3" x14ac:dyDescent="0.25">
      <c r="A991" s="4">
        <v>38077</v>
      </c>
      <c r="B991" s="6">
        <f>'Monthly CFS'!C997 * 86400 * DAY(EOMONTH(A991,0)) / 43560</f>
        <v>1314.2371232294161</v>
      </c>
      <c r="C991">
        <v>746.74632899999995</v>
      </c>
    </row>
    <row r="992" spans="1:3" x14ac:dyDescent="0.25">
      <c r="A992" s="4">
        <v>38107</v>
      </c>
      <c r="B992" s="6">
        <f>'Monthly CFS'!C998 * 86400 * DAY(EOMONTH(A992,0)) / 43560</f>
        <v>1393.608543383328</v>
      </c>
      <c r="C992">
        <v>1271.8423760000001</v>
      </c>
    </row>
    <row r="993" spans="1:3" x14ac:dyDescent="0.25">
      <c r="A993" s="4">
        <v>38138</v>
      </c>
      <c r="B993" s="6">
        <f>'Monthly CFS'!C999 * 86400 * DAY(EOMONTH(A993,0)) / 43560</f>
        <v>2304.039210664791</v>
      </c>
      <c r="C993">
        <v>1440.0621920000001</v>
      </c>
    </row>
    <row r="994" spans="1:3" x14ac:dyDescent="0.25">
      <c r="A994" s="4">
        <v>38168</v>
      </c>
      <c r="B994" s="6">
        <f>'Monthly CFS'!C1000 * 86400 * DAY(EOMONTH(A994,0)) / 43560</f>
        <v>3029.8940420080671</v>
      </c>
      <c r="C994">
        <v>2229.7154700000001</v>
      </c>
    </row>
    <row r="995" spans="1:3" x14ac:dyDescent="0.25">
      <c r="A995" s="4">
        <v>38199</v>
      </c>
      <c r="B995" s="6">
        <f>'Monthly CFS'!C1001 * 86400 * DAY(EOMONTH(A995,0)) / 43560</f>
        <v>3887.7224194573919</v>
      </c>
      <c r="C995">
        <v>3130.8904779999998</v>
      </c>
    </row>
    <row r="996" spans="1:3" x14ac:dyDescent="0.25">
      <c r="A996" s="4">
        <v>38230</v>
      </c>
      <c r="B996" s="6">
        <f>'Monthly CFS'!C1002 * 86400 * DAY(EOMONTH(A996,0)) / 43560</f>
        <v>4250.6499170690295</v>
      </c>
      <c r="C996">
        <v>3887.7225060000001</v>
      </c>
    </row>
    <row r="997" spans="1:3" x14ac:dyDescent="0.25">
      <c r="A997" s="4">
        <v>38260</v>
      </c>
      <c r="B997" s="6">
        <f>'Monthly CFS'!C1003 * 86400 * DAY(EOMONTH(A997,0)) / 43560</f>
        <v>3585.2828654276959</v>
      </c>
      <c r="C997">
        <v>4113.5323010000002</v>
      </c>
    </row>
    <row r="998" spans="1:3" x14ac:dyDescent="0.25">
      <c r="A998" s="4">
        <v>38291</v>
      </c>
      <c r="B998" s="6">
        <f>'Monthly CFS'!C1004 * 86400 * DAY(EOMONTH(A998,0)) / 43560</f>
        <v>2441.5116681819272</v>
      </c>
      <c r="C998">
        <v>3704.792289</v>
      </c>
    </row>
    <row r="999" spans="1:3" x14ac:dyDescent="0.25">
      <c r="A999" s="4">
        <v>38321</v>
      </c>
      <c r="B999" s="6">
        <f>'Monthly CFS'!C1005 * 86400 * DAY(EOMONTH(A999,0)) / 43560</f>
        <v>1550.6899042060888</v>
      </c>
      <c r="C999">
        <v>2362.7533210000001</v>
      </c>
    </row>
    <row r="1000" spans="1:3" x14ac:dyDescent="0.25">
      <c r="A1000" s="4">
        <v>38352</v>
      </c>
      <c r="B1000" s="6">
        <f>'Monthly CFS'!C1006 * 86400 * DAY(EOMONTH(A1000,0)) / 43560</f>
        <v>1275.7448662618176</v>
      </c>
      <c r="C1000">
        <v>1602.3795749999999</v>
      </c>
    </row>
    <row r="1001" spans="1:3" x14ac:dyDescent="0.25">
      <c r="A1001" s="4">
        <v>38383</v>
      </c>
      <c r="B1001" s="6">
        <f>'Monthly CFS'!C1007 * 86400 * DAY(EOMONTH(A1001,0)) / 43560</f>
        <v>687.50398828344134</v>
      </c>
      <c r="C1001">
        <v>1275.7448609999999</v>
      </c>
    </row>
    <row r="1002" spans="1:3" x14ac:dyDescent="0.25">
      <c r="A1002" s="4">
        <v>38411</v>
      </c>
      <c r="B1002" s="6">
        <f>'Monthly CFS'!C1008 * 86400 * DAY(EOMONTH(A1002,0)) / 43560</f>
        <v>635.43806686301775</v>
      </c>
      <c r="C1002">
        <v>620.97131899999999</v>
      </c>
    </row>
    <row r="1003" spans="1:3" x14ac:dyDescent="0.25">
      <c r="A1003" s="4">
        <v>38442</v>
      </c>
      <c r="B1003" s="6">
        <f>'Monthly CFS'!C1009 * 86400 * DAY(EOMONTH(A1003,0)) / 43560</f>
        <v>768.66807315268738</v>
      </c>
      <c r="C1003">
        <v>703.52071599999999</v>
      </c>
    </row>
    <row r="1004" spans="1:3" x14ac:dyDescent="0.25">
      <c r="A1004" s="4">
        <v>38472</v>
      </c>
      <c r="B1004" s="6">
        <f>'Monthly CFS'!C1010 * 86400 * DAY(EOMONTH(A1004,0)) / 43560</f>
        <v>1561.6876860582588</v>
      </c>
      <c r="C1004">
        <v>743.87230399999999</v>
      </c>
    </row>
    <row r="1005" spans="1:3" x14ac:dyDescent="0.25">
      <c r="A1005" s="4">
        <v>38503</v>
      </c>
      <c r="B1005" s="6">
        <f>'Monthly CFS'!C1011 * 86400 * DAY(EOMONTH(A1005,0)) / 43560</f>
        <v>2304.039210664791</v>
      </c>
      <c r="C1005">
        <v>1613.74396</v>
      </c>
    </row>
    <row r="1006" spans="1:3" x14ac:dyDescent="0.25">
      <c r="A1006" s="4">
        <v>38533</v>
      </c>
      <c r="B1006" s="6">
        <f>'Monthly CFS'!C1012 * 86400 * DAY(EOMONTH(A1006,0)) / 43560</f>
        <v>3029.8940420080662</v>
      </c>
      <c r="C1006">
        <v>2229.7154700000001</v>
      </c>
    </row>
    <row r="1007" spans="1:3" x14ac:dyDescent="0.25">
      <c r="A1007" s="4">
        <v>38564</v>
      </c>
      <c r="B1007" s="6">
        <f>'Monthly CFS'!C1013 * 86400 * DAY(EOMONTH(A1007,0)) / 43560</f>
        <v>3887.7224194573901</v>
      </c>
      <c r="C1007">
        <v>3130.8904779999998</v>
      </c>
    </row>
    <row r="1008" spans="1:3" x14ac:dyDescent="0.25">
      <c r="A1008" s="4">
        <v>38595</v>
      </c>
      <c r="B1008" s="6">
        <f>'Monthly CFS'!C1014 * 86400 * DAY(EOMONTH(A1008,0)) / 43560</f>
        <v>4250.6499170690295</v>
      </c>
      <c r="C1008">
        <v>3887.7225060000001</v>
      </c>
    </row>
    <row r="1009" spans="1:3" x14ac:dyDescent="0.25">
      <c r="A1009" s="4">
        <v>38625</v>
      </c>
      <c r="B1009" s="6">
        <f>'Monthly CFS'!C1015 * 86400 * DAY(EOMONTH(A1009,0)) / 43560</f>
        <v>3585.2828654276946</v>
      </c>
      <c r="C1009">
        <v>4113.5323010000002</v>
      </c>
    </row>
    <row r="1010" spans="1:3" x14ac:dyDescent="0.25">
      <c r="A1010" s="4">
        <v>38656</v>
      </c>
      <c r="B1010" s="6">
        <f>'Monthly CFS'!C1016 * 86400 * DAY(EOMONTH(A1010,0)) / 43560</f>
        <v>2441.5116681819263</v>
      </c>
      <c r="C1010">
        <v>3704.792289</v>
      </c>
    </row>
    <row r="1011" spans="1:3" x14ac:dyDescent="0.25">
      <c r="A1011" s="4">
        <v>38686</v>
      </c>
      <c r="B1011" s="6">
        <f>'Monthly CFS'!C1017 * 86400 * DAY(EOMONTH(A1011,0)) / 43560</f>
        <v>1550.6899042060877</v>
      </c>
      <c r="C1011">
        <v>2362.7533210000001</v>
      </c>
    </row>
    <row r="1012" spans="1:3" x14ac:dyDescent="0.25">
      <c r="A1012" s="4">
        <v>38717</v>
      </c>
      <c r="B1012" s="6">
        <f>'Monthly CFS'!C1018 * 86400 * DAY(EOMONTH(A1012,0)) / 43560</f>
        <v>1275.7448662618176</v>
      </c>
      <c r="C1012">
        <v>1602.3795749999999</v>
      </c>
    </row>
    <row r="1013" spans="1:3" x14ac:dyDescent="0.25">
      <c r="A1013" s="4">
        <v>38748</v>
      </c>
      <c r="B1013" s="6">
        <f>'Monthly CFS'!C1019 * 86400 * DAY(EOMONTH(A1013,0)) / 43560</f>
        <v>1215.256922679878</v>
      </c>
      <c r="C1013">
        <v>1275.7448609999999</v>
      </c>
    </row>
    <row r="1014" spans="1:3" x14ac:dyDescent="0.25">
      <c r="A1014" s="4">
        <v>38776</v>
      </c>
      <c r="B1014" s="6">
        <f>'Monthly CFS'!C1020 * 86400 * DAY(EOMONTH(A1014,0)) / 43560</f>
        <v>1083.2833765738271</v>
      </c>
      <c r="C1014">
        <v>1097.6514279999999</v>
      </c>
    </row>
    <row r="1015" spans="1:3" x14ac:dyDescent="0.25">
      <c r="A1015" s="4">
        <v>38807</v>
      </c>
      <c r="B1015" s="6">
        <f>'Monthly CFS'!C1021 * 86400 * DAY(EOMONTH(A1015,0)) / 43560</f>
        <v>1314.2371232294158</v>
      </c>
      <c r="C1015">
        <v>1199.3494270000001</v>
      </c>
    </row>
    <row r="1016" spans="1:3" x14ac:dyDescent="0.25">
      <c r="A1016" s="4">
        <v>38837</v>
      </c>
      <c r="B1016" s="6">
        <f>'Monthly CFS'!C1022 * 86400 * DAY(EOMONTH(A1016,0)) / 43560</f>
        <v>1561.6876860582602</v>
      </c>
      <c r="C1016">
        <v>1271.8423760000001</v>
      </c>
    </row>
    <row r="1017" spans="1:3" x14ac:dyDescent="0.25">
      <c r="A1017" s="4">
        <v>38868</v>
      </c>
      <c r="B1017" s="6">
        <f>'Monthly CFS'!C1023 * 86400 * DAY(EOMONTH(A1017,0)) / 43560</f>
        <v>2304.039210664791</v>
      </c>
      <c r="C1017">
        <v>1613.74396</v>
      </c>
    </row>
    <row r="1018" spans="1:3" x14ac:dyDescent="0.25">
      <c r="A1018" s="4">
        <v>38898</v>
      </c>
      <c r="B1018" s="6">
        <f>'Monthly CFS'!C1024 * 86400 * DAY(EOMONTH(A1018,0)) / 43560</f>
        <v>3029.8940420080662</v>
      </c>
      <c r="C1018">
        <v>2229.7154700000001</v>
      </c>
    </row>
    <row r="1019" spans="1:3" x14ac:dyDescent="0.25">
      <c r="A1019" s="4">
        <v>38929</v>
      </c>
      <c r="B1019" s="6">
        <f>'Monthly CFS'!C1025 * 86400 * DAY(EOMONTH(A1019,0)) / 43560</f>
        <v>3887.7224194573919</v>
      </c>
      <c r="C1019">
        <v>3130.8904779999998</v>
      </c>
    </row>
    <row r="1020" spans="1:3" x14ac:dyDescent="0.25">
      <c r="A1020" s="4">
        <v>38960</v>
      </c>
      <c r="B1020" s="6">
        <f>'Monthly CFS'!C1026 * 86400 * DAY(EOMONTH(A1020,0)) / 43560</f>
        <v>4250.6499170690313</v>
      </c>
      <c r="C1020">
        <v>3887.7225060000001</v>
      </c>
    </row>
    <row r="1021" spans="1:3" x14ac:dyDescent="0.25">
      <c r="A1021" s="4">
        <v>38990</v>
      </c>
      <c r="B1021" s="6">
        <f>'Monthly CFS'!C1027 * 86400 * DAY(EOMONTH(A1021,0)) / 43560</f>
        <v>3585.2828654276959</v>
      </c>
      <c r="C1021">
        <v>4113.5323010000002</v>
      </c>
    </row>
    <row r="1022" spans="1:3" x14ac:dyDescent="0.25">
      <c r="A1022" s="4">
        <v>39021</v>
      </c>
      <c r="B1022" s="6">
        <f>'Monthly CFS'!C1028 * 86400 * DAY(EOMONTH(A1022,0)) / 43560</f>
        <v>2441.5116681819277</v>
      </c>
      <c r="C1022">
        <v>3704.792289</v>
      </c>
    </row>
    <row r="1023" spans="1:3" x14ac:dyDescent="0.25">
      <c r="A1023" s="4">
        <v>39051</v>
      </c>
      <c r="B1023" s="6">
        <f>'Monthly CFS'!C1029 * 86400 * DAY(EOMONTH(A1023,0)) / 43560</f>
        <v>1550.6899042060888</v>
      </c>
      <c r="C1023">
        <v>2362.7533210000001</v>
      </c>
    </row>
    <row r="1024" spans="1:3" x14ac:dyDescent="0.25">
      <c r="A1024" s="4">
        <v>39082</v>
      </c>
      <c r="B1024" s="6">
        <f>'Monthly CFS'!C1030 * 86400 * DAY(EOMONTH(A1024,0)) / 43560</f>
        <v>1275.7448662618178</v>
      </c>
      <c r="C1024">
        <v>1602.3795749999999</v>
      </c>
    </row>
    <row r="1025" spans="1:3" x14ac:dyDescent="0.25">
      <c r="A1025" s="4">
        <v>39113</v>
      </c>
      <c r="B1025" s="6">
        <f>'Monthly CFS'!C1031 * 86400 * DAY(EOMONTH(A1025,0)) / 43560</f>
        <v>968.96007341479503</v>
      </c>
      <c r="C1025">
        <v>1275.7448609999999</v>
      </c>
    </row>
    <row r="1026" spans="1:3" x14ac:dyDescent="0.25">
      <c r="A1026" s="4">
        <v>39141</v>
      </c>
      <c r="B1026" s="6">
        <f>'Monthly CFS'!C1032 * 86400 * DAY(EOMONTH(A1026,0)) / 43560</f>
        <v>714.83960694182656</v>
      </c>
      <c r="C1026">
        <v>875.18975399999999</v>
      </c>
    </row>
    <row r="1027" spans="1:3" x14ac:dyDescent="0.25">
      <c r="A1027" s="4">
        <v>39172</v>
      </c>
      <c r="B1027" s="6">
        <f>'Monthly CFS'!C1033 * 86400 * DAY(EOMONTH(A1027,0)) / 43560</f>
        <v>883.85107608619955</v>
      </c>
      <c r="C1027">
        <v>791.42953599999998</v>
      </c>
    </row>
    <row r="1028" spans="1:3" x14ac:dyDescent="0.25">
      <c r="A1028" s="4">
        <v>39202</v>
      </c>
      <c r="B1028" s="6">
        <f>'Monthly CFS'!C1034 * 86400 * DAY(EOMONTH(A1028,0)) / 43560</f>
        <v>1304.8068298663088</v>
      </c>
      <c r="C1028">
        <v>855.33972500000004</v>
      </c>
    </row>
    <row r="1029" spans="1:3" x14ac:dyDescent="0.25">
      <c r="A1029" s="4">
        <v>39233</v>
      </c>
      <c r="B1029" s="6">
        <f>'Monthly CFS'!C1035 * 86400 * DAY(EOMONTH(A1029,0)) / 43560</f>
        <v>1925.0494994573746</v>
      </c>
      <c r="C1029">
        <v>1348.300369</v>
      </c>
    </row>
    <row r="1030" spans="1:3" x14ac:dyDescent="0.25">
      <c r="A1030" s="4">
        <v>39263</v>
      </c>
      <c r="B1030" s="6">
        <f>'Monthly CFS'!C1036 * 86400 * DAY(EOMONTH(A1030,0)) / 43560</f>
        <v>2531.5090046985742</v>
      </c>
      <c r="C1030">
        <v>1862.9510929999999</v>
      </c>
    </row>
    <row r="1031" spans="1:3" x14ac:dyDescent="0.25">
      <c r="A1031" s="4">
        <v>39294</v>
      </c>
      <c r="B1031" s="6">
        <f>'Monthly CFS'!C1037 * 86400 * DAY(EOMONTH(A1031,0)) / 43560</f>
        <v>3248.2338247387179</v>
      </c>
      <c r="C1031">
        <v>2615.8926289999999</v>
      </c>
    </row>
    <row r="1032" spans="1:3" x14ac:dyDescent="0.25">
      <c r="A1032" s="4">
        <v>39325</v>
      </c>
      <c r="B1032" s="6">
        <f>'Monthly CFS'!C1038 * 86400 * DAY(EOMONTH(A1032,0)) / 43560</f>
        <v>3551.4636458210666</v>
      </c>
      <c r="C1032">
        <v>3248.2337459999999</v>
      </c>
    </row>
    <row r="1033" spans="1:3" x14ac:dyDescent="0.25">
      <c r="A1033" s="4">
        <v>39355</v>
      </c>
      <c r="B1033" s="6">
        <f>'Monthly CFS'!C1039 * 86400 * DAY(EOMONTH(A1033,0)) / 43560</f>
        <v>2995.5423299906779</v>
      </c>
      <c r="C1033">
        <v>3436.9002409999998</v>
      </c>
    </row>
    <row r="1034" spans="1:3" x14ac:dyDescent="0.25">
      <c r="A1034" s="4">
        <v>39386</v>
      </c>
      <c r="B1034" s="6">
        <f>'Monthly CFS'!C1040 * 86400 * DAY(EOMONTH(A1034,0)) / 43560</f>
        <v>2039.9092137832349</v>
      </c>
      <c r="C1034">
        <v>3095.3938560000001</v>
      </c>
    </row>
    <row r="1035" spans="1:3" x14ac:dyDescent="0.25">
      <c r="A1035" s="4">
        <v>39416</v>
      </c>
      <c r="B1035" s="6">
        <f>'Monthly CFS'!C1041 * 86400 * DAY(EOMONTH(A1035,0)) / 43560</f>
        <v>1295.6180650433544</v>
      </c>
      <c r="C1035">
        <v>1974.1056080000001</v>
      </c>
    </row>
    <row r="1036" spans="1:3" x14ac:dyDescent="0.25">
      <c r="A1036" s="4">
        <v>39447</v>
      </c>
      <c r="B1036" s="6">
        <f>'Monthly CFS'!C1042 * 86400 * DAY(EOMONTH(A1036,0)) / 43560</f>
        <v>1065.8985336990106</v>
      </c>
      <c r="C1036">
        <v>1338.8052829999999</v>
      </c>
    </row>
    <row r="1037" spans="1:3" x14ac:dyDescent="0.25">
      <c r="A1037" s="4">
        <v>39478</v>
      </c>
      <c r="B1037" s="6">
        <f>'Monthly CFS'!C1043 * 86400 * DAY(EOMONTH(A1037,0)) / 43560</f>
        <v>133.67826149478657</v>
      </c>
      <c r="C1037">
        <v>1065.8985709999999</v>
      </c>
    </row>
    <row r="1038" spans="1:3" x14ac:dyDescent="0.25">
      <c r="A1038" s="4">
        <v>39507</v>
      </c>
      <c r="B1038" s="6">
        <f>'Monthly CFS'!C1044 * 86400 * DAY(EOMONTH(A1038,0)) / 43560</f>
        <v>119.16117142312106</v>
      </c>
      <c r="C1038">
        <v>125.053855</v>
      </c>
    </row>
    <row r="1039" spans="1:3" x14ac:dyDescent="0.25">
      <c r="A1039" s="4">
        <v>39538</v>
      </c>
      <c r="B1039" s="6">
        <f>'Monthly CFS'!C1045 * 86400 * DAY(EOMONTH(A1039,0)) / 43560</f>
        <v>181.64354949518889</v>
      </c>
      <c r="C1039">
        <v>127.379183</v>
      </c>
    </row>
    <row r="1040" spans="1:3" x14ac:dyDescent="0.25">
      <c r="A1040" s="4">
        <v>39568</v>
      </c>
      <c r="B1040" s="6">
        <f>'Monthly CFS'!C1046 * 86400 * DAY(EOMONTH(A1040,0)) / 43560</f>
        <v>258.66771294949086</v>
      </c>
      <c r="C1040">
        <v>175.78407300000001</v>
      </c>
    </row>
    <row r="1041" spans="1:3" x14ac:dyDescent="0.25">
      <c r="A1041" s="4">
        <v>39599</v>
      </c>
      <c r="B1041" s="6">
        <f>'Monthly CFS'!C1047 * 86400 * DAY(EOMONTH(A1041,0)) / 43560</f>
        <v>381.62595408105074</v>
      </c>
      <c r="C1041">
        <v>267.289962</v>
      </c>
    </row>
    <row r="1042" spans="1:3" x14ac:dyDescent="0.25">
      <c r="A1042" s="4">
        <v>39629</v>
      </c>
      <c r="B1042" s="6">
        <f>'Monthly CFS'!C1048 * 86400 * DAY(EOMONTH(A1042,0)) / 43560</f>
        <v>501.85179106053198</v>
      </c>
      <c r="C1042">
        <v>369.31543599999998</v>
      </c>
    </row>
    <row r="1043" spans="1:3" x14ac:dyDescent="0.25">
      <c r="A1043" s="4">
        <v>39660</v>
      </c>
      <c r="B1043" s="6">
        <f>'Monthly CFS'!C1049 * 86400 * DAY(EOMONTH(A1043,0)) / 43560</f>
        <v>643.93686125664306</v>
      </c>
      <c r="C1043">
        <v>518.58017299999995</v>
      </c>
    </row>
    <row r="1044" spans="1:3" x14ac:dyDescent="0.25">
      <c r="A1044" s="4">
        <v>39691</v>
      </c>
      <c r="B1044" s="6">
        <f>'Monthly CFS'!C1050 * 86400 * DAY(EOMONTH(A1044,0)) / 43560</f>
        <v>704.0497933183882</v>
      </c>
      <c r="C1044">
        <v>643.93683299999998</v>
      </c>
    </row>
    <row r="1045" spans="1:3" x14ac:dyDescent="0.25">
      <c r="A1045" s="4">
        <v>39721</v>
      </c>
      <c r="B1045" s="6">
        <f>'Monthly CFS'!C1051 * 86400 * DAY(EOMONTH(A1045,0)) / 43560</f>
        <v>593.84275572919023</v>
      </c>
      <c r="C1045">
        <v>681.33853299999998</v>
      </c>
    </row>
    <row r="1046" spans="1:3" x14ac:dyDescent="0.25">
      <c r="A1046" s="4">
        <v>39752</v>
      </c>
      <c r="B1046" s="6">
        <f>'Monthly CFS'!C1052 * 86400 * DAY(EOMONTH(A1046,0)) / 43560</f>
        <v>404.39599094370737</v>
      </c>
      <c r="C1046">
        <v>613.63751600000001</v>
      </c>
    </row>
    <row r="1047" spans="1:3" x14ac:dyDescent="0.25">
      <c r="A1047" s="4">
        <v>39782</v>
      </c>
      <c r="B1047" s="6">
        <f>'Monthly CFS'!C1053 * 86400 * DAY(EOMONTH(A1047,0)) / 43560</f>
        <v>256.84611244343904</v>
      </c>
      <c r="C1047">
        <v>391.35096800000002</v>
      </c>
    </row>
    <row r="1048" spans="1:3" x14ac:dyDescent="0.25">
      <c r="A1048" s="4">
        <v>39813</v>
      </c>
      <c r="B1048" s="6">
        <f>'Monthly CFS'!C1054 * 86400 * DAY(EOMONTH(A1048,0)) / 43560</f>
        <v>211.30601836011897</v>
      </c>
      <c r="C1048">
        <v>265.407645</v>
      </c>
    </row>
    <row r="1049" spans="1:3" x14ac:dyDescent="0.25">
      <c r="A1049" s="4">
        <v>39844</v>
      </c>
      <c r="B1049" s="6">
        <f>'Monthly CFS'!C1055 * 86400 * DAY(EOMONTH(A1049,0)) / 43560</f>
        <v>133.67826149478657</v>
      </c>
      <c r="C1049">
        <v>211.30602300000001</v>
      </c>
    </row>
    <row r="1050" spans="1:3" x14ac:dyDescent="0.25">
      <c r="A1050" s="4">
        <v>39872</v>
      </c>
      <c r="B1050" s="6">
        <f>'Monthly CFS'!C1056 * 86400 * DAY(EOMONTH(A1050,0)) / 43560</f>
        <v>119.16117142312106</v>
      </c>
      <c r="C1050">
        <v>120.741653</v>
      </c>
    </row>
    <row r="1051" spans="1:3" x14ac:dyDescent="0.25">
      <c r="A1051" s="4">
        <v>39903</v>
      </c>
      <c r="B1051" s="6">
        <f>'Monthly CFS'!C1057 * 86400 * DAY(EOMONTH(A1051,0)) / 43560</f>
        <v>282.91239626512885</v>
      </c>
      <c r="C1051">
        <v>131.928437</v>
      </c>
    </row>
    <row r="1052" spans="1:3" x14ac:dyDescent="0.25">
      <c r="A1052" s="4">
        <v>39933</v>
      </c>
      <c r="B1052" s="6">
        <f>'Monthly CFS'!C1058 * 86400 * DAY(EOMONTH(A1052,0)) / 43560</f>
        <v>1063.8266529130815</v>
      </c>
      <c r="C1052">
        <v>273.78619200000003</v>
      </c>
    </row>
    <row r="1053" spans="1:3" x14ac:dyDescent="0.25">
      <c r="A1053" s="4">
        <v>39964</v>
      </c>
      <c r="B1053" s="6">
        <f>'Monthly CFS'!C1059 * 86400 * DAY(EOMONTH(A1053,0)) / 43560</f>
        <v>1569.5188887918175</v>
      </c>
      <c r="C1053">
        <v>1099.287585</v>
      </c>
    </row>
    <row r="1054" spans="1:3" x14ac:dyDescent="0.25">
      <c r="A1054" s="4">
        <v>39994</v>
      </c>
      <c r="B1054" s="6">
        <f>'Monthly CFS'!C1060 * 86400 * DAY(EOMONTH(A1054,0)) / 43560</f>
        <v>2063.9735243903865</v>
      </c>
      <c r="C1054">
        <v>1518.889259</v>
      </c>
    </row>
    <row r="1055" spans="1:3" x14ac:dyDescent="0.25">
      <c r="A1055" s="4">
        <v>40025</v>
      </c>
      <c r="B1055" s="6">
        <f>'Monthly CFS'!C1061 * 86400 * DAY(EOMONTH(A1055,0)) / 43560</f>
        <v>2648.3289622302987</v>
      </c>
      <c r="C1055">
        <v>2132.7726630000002</v>
      </c>
    </row>
    <row r="1056" spans="1:3" x14ac:dyDescent="0.25">
      <c r="A1056" s="4">
        <v>40056</v>
      </c>
      <c r="B1056" s="6">
        <f>'Monthly CFS'!C1062 * 86400 * DAY(EOMONTH(A1056,0)) / 43560</f>
        <v>2895.5563358473723</v>
      </c>
      <c r="C1056">
        <v>2648.3289909999999</v>
      </c>
    </row>
    <row r="1057" spans="1:3" x14ac:dyDescent="0.25">
      <c r="A1057" s="4">
        <v>40086</v>
      </c>
      <c r="B1057" s="6">
        <f>'Monthly CFS'!C1063 * 86400 * DAY(EOMONTH(A1057,0)) / 43560</f>
        <v>2442.3061694886669</v>
      </c>
      <c r="C1057">
        <v>2802.1512870000001</v>
      </c>
    </row>
    <row r="1058" spans="1:3" x14ac:dyDescent="0.25">
      <c r="A1058" s="4">
        <v>40117</v>
      </c>
      <c r="B1058" s="6">
        <f>'Monthly CFS'!C1064 * 86400 * DAY(EOMONTH(A1058,0)) / 43560</f>
        <v>1663.1655670961857</v>
      </c>
      <c r="C1058">
        <v>2523.7163449999998</v>
      </c>
    </row>
    <row r="1059" spans="1:3" x14ac:dyDescent="0.25">
      <c r="A1059" s="4">
        <v>40147</v>
      </c>
      <c r="B1059" s="6">
        <f>'Monthly CFS'!C1065 * 86400 * DAY(EOMONTH(A1059,0)) / 43560</f>
        <v>1056.3349286959351</v>
      </c>
      <c r="C1059">
        <v>1609.515116</v>
      </c>
    </row>
    <row r="1060" spans="1:3" x14ac:dyDescent="0.25">
      <c r="A1060" s="4">
        <v>40178</v>
      </c>
      <c r="B1060" s="6">
        <f>'Monthly CFS'!C1066 * 86400 * DAY(EOMONTH(A1060,0)) / 43560</f>
        <v>869.04148836051388</v>
      </c>
      <c r="C1060">
        <v>1091.5460439999999</v>
      </c>
    </row>
    <row r="1061" spans="1:3" x14ac:dyDescent="0.25">
      <c r="A1061" s="4">
        <v>40209</v>
      </c>
      <c r="B1061" s="6">
        <f>'Monthly CFS'!C1067 * 86400 * DAY(EOMONTH(A1061,0)) / 43560</f>
        <v>133.6782614947866</v>
      </c>
      <c r="C1061">
        <v>869.04149800000005</v>
      </c>
    </row>
    <row r="1062" spans="1:3" x14ac:dyDescent="0.25">
      <c r="A1062" s="4">
        <v>40237</v>
      </c>
      <c r="B1062" s="6">
        <f>'Monthly CFS'!C1068 * 86400 * DAY(EOMONTH(A1062,0)) / 43560</f>
        <v>176.18707179624468</v>
      </c>
      <c r="C1062">
        <v>120.741653</v>
      </c>
    </row>
    <row r="1063" spans="1:3" x14ac:dyDescent="0.25">
      <c r="A1063" s="4">
        <v>40268</v>
      </c>
      <c r="B1063" s="6">
        <f>'Monthly CFS'!C1069 * 86400 * DAY(EOMONTH(A1063,0)) / 43560</f>
        <v>228.99952204820957</v>
      </c>
      <c r="C1063">
        <v>195.064255</v>
      </c>
    </row>
    <row r="1064" spans="1:3" x14ac:dyDescent="0.25">
      <c r="A1064" s="4">
        <v>40298</v>
      </c>
      <c r="B1064" s="6">
        <f>'Monthly CFS'!C1070 * 86400 * DAY(EOMONTH(A1064,0)) / 43560</f>
        <v>977.10144638772272</v>
      </c>
      <c r="C1064">
        <v>221.61243999999999</v>
      </c>
    </row>
    <row r="1065" spans="1:3" x14ac:dyDescent="0.25">
      <c r="A1065" s="4">
        <v>40329</v>
      </c>
      <c r="B1065" s="6">
        <f>'Monthly CFS'!C1071 * 86400 * DAY(EOMONTH(A1065,0)) / 43560</f>
        <v>1573.187109243735</v>
      </c>
      <c r="C1065">
        <v>1009.671486</v>
      </c>
    </row>
    <row r="1066" spans="1:3" x14ac:dyDescent="0.25">
      <c r="A1066" s="4">
        <v>40359</v>
      </c>
      <c r="B1066" s="6">
        <f>'Monthly CFS'!C1072 * 86400 * DAY(EOMONTH(A1066,0)) / 43560</f>
        <v>2068.7973655995938</v>
      </c>
      <c r="C1066">
        <v>1522.439159</v>
      </c>
    </row>
    <row r="1067" spans="1:3" x14ac:dyDescent="0.25">
      <c r="A1067" s="4">
        <v>40390</v>
      </c>
      <c r="B1067" s="6">
        <f>'Monthly CFS'!C1073 * 86400 * DAY(EOMONTH(A1067,0)) / 43560</f>
        <v>2654.5185369668839</v>
      </c>
      <c r="C1067">
        <v>2137.7572249999998</v>
      </c>
    </row>
    <row r="1068" spans="1:3" x14ac:dyDescent="0.25">
      <c r="A1068" s="4">
        <v>40421</v>
      </c>
      <c r="B1068" s="6">
        <f>'Monthly CFS'!C1074 * 86400 * DAY(EOMONTH(A1068,0)) / 43560</f>
        <v>2902.3237210930583</v>
      </c>
      <c r="C1068">
        <v>2654.51847</v>
      </c>
    </row>
    <row r="1069" spans="1:3" x14ac:dyDescent="0.25">
      <c r="A1069" s="4">
        <v>40451</v>
      </c>
      <c r="B1069" s="6">
        <f>'Monthly CFS'!C1075 * 86400 * DAY(EOMONTH(A1069,0)) / 43560</f>
        <v>2448.0142355111543</v>
      </c>
      <c r="C1069">
        <v>2808.7004099999999</v>
      </c>
    </row>
    <row r="1070" spans="1:3" x14ac:dyDescent="0.25">
      <c r="A1070" s="4">
        <v>40482</v>
      </c>
      <c r="B1070" s="6">
        <f>'Monthly CFS'!C1076 * 86400 * DAY(EOMONTH(A1070,0)) / 43560</f>
        <v>1667.052655038684</v>
      </c>
      <c r="C1070">
        <v>2529.61474</v>
      </c>
    </row>
    <row r="1071" spans="1:3" x14ac:dyDescent="0.25">
      <c r="A1071" s="4">
        <v>40512</v>
      </c>
      <c r="B1071" s="6">
        <f>'Monthly CFS'!C1077 * 86400 * DAY(EOMONTH(A1071,0)) / 43560</f>
        <v>1058.8037549185365</v>
      </c>
      <c r="C1071">
        <v>1613.2767980000001</v>
      </c>
    </row>
    <row r="1072" spans="1:3" x14ac:dyDescent="0.25">
      <c r="A1072" s="4">
        <v>40543</v>
      </c>
      <c r="B1072" s="6">
        <f>'Monthly CFS'!C1078 * 86400 * DAY(EOMONTH(A1072,0)) / 43560</f>
        <v>871.0725794062696</v>
      </c>
      <c r="C1072">
        <v>1094.097199</v>
      </c>
    </row>
    <row r="1073" spans="1:3" x14ac:dyDescent="0.25">
      <c r="A1073" s="4">
        <v>40574</v>
      </c>
      <c r="B1073" s="6">
        <f>'Monthly CFS'!C1079 * 86400 * DAY(EOMONTH(A1073,0)) / 43560</f>
        <v>1215.256922679878</v>
      </c>
      <c r="C1073">
        <v>871.07258200000001</v>
      </c>
    </row>
    <row r="1074" spans="1:3" x14ac:dyDescent="0.25">
      <c r="A1074" s="4">
        <v>40602</v>
      </c>
      <c r="B1074" s="6">
        <f>'Monthly CFS'!C1080 * 86400 * DAY(EOMONTH(A1074,0)) / 43560</f>
        <v>1083.2833765738274</v>
      </c>
      <c r="C1074">
        <v>1097.6514279999999</v>
      </c>
    </row>
    <row r="1075" spans="1:3" x14ac:dyDescent="0.25">
      <c r="A1075" s="4">
        <v>40633</v>
      </c>
      <c r="B1075" s="6">
        <f>'Monthly CFS'!C1081 * 86400 * DAY(EOMONTH(A1075,0)) / 43560</f>
        <v>1314.2371232294149</v>
      </c>
      <c r="C1075">
        <v>1199.3494270000001</v>
      </c>
    </row>
    <row r="1076" spans="1:3" x14ac:dyDescent="0.25">
      <c r="A1076" s="4">
        <v>40663</v>
      </c>
      <c r="B1076" s="6">
        <f>'Monthly CFS'!C1082 * 86400 * DAY(EOMONTH(A1076,0)) / 43560</f>
        <v>1561.6876860582588</v>
      </c>
      <c r="C1076">
        <v>1271.8423760000001</v>
      </c>
    </row>
    <row r="1077" spans="1:3" x14ac:dyDescent="0.25">
      <c r="A1077" s="4">
        <v>40694</v>
      </c>
      <c r="B1077" s="6">
        <f>'Monthly CFS'!C1083 * 86400 * DAY(EOMONTH(A1077,0)) / 43560</f>
        <v>2304.0392106647896</v>
      </c>
      <c r="C1077">
        <v>1613.74396</v>
      </c>
    </row>
    <row r="1078" spans="1:3" x14ac:dyDescent="0.25">
      <c r="A1078" s="4">
        <v>40724</v>
      </c>
      <c r="B1078" s="6">
        <f>'Monthly CFS'!C1084 * 86400 * DAY(EOMONTH(A1078,0)) / 43560</f>
        <v>3029.8940420080648</v>
      </c>
      <c r="C1078">
        <v>2229.7154700000001</v>
      </c>
    </row>
    <row r="1079" spans="1:3" x14ac:dyDescent="0.25">
      <c r="A1079" s="4">
        <v>40755</v>
      </c>
      <c r="B1079" s="6">
        <f>'Monthly CFS'!C1085 * 86400 * DAY(EOMONTH(A1079,0)) / 43560</f>
        <v>3887.7224194573919</v>
      </c>
      <c r="C1079">
        <v>3130.8904779999998</v>
      </c>
    </row>
    <row r="1080" spans="1:3" x14ac:dyDescent="0.25">
      <c r="A1080" s="4">
        <v>40786</v>
      </c>
      <c r="B1080" s="6">
        <f>'Monthly CFS'!C1086 * 86400 * DAY(EOMONTH(A1080,0)) / 43560</f>
        <v>4250.6499170690267</v>
      </c>
      <c r="C1080">
        <v>3887.7225060000001</v>
      </c>
    </row>
    <row r="1081" spans="1:3" x14ac:dyDescent="0.25">
      <c r="A1081" s="4">
        <v>40816</v>
      </c>
      <c r="B1081" s="6">
        <f>'Monthly CFS'!C1087 * 86400 * DAY(EOMONTH(A1081,0)) / 43560</f>
        <v>3585.2828654276932</v>
      </c>
      <c r="C1081">
        <v>4113.5323010000002</v>
      </c>
    </row>
    <row r="1082" spans="1:3" x14ac:dyDescent="0.25">
      <c r="A1082" s="4">
        <v>40847</v>
      </c>
      <c r="B1082" s="6">
        <f>'Monthly CFS'!C1088 * 86400 * DAY(EOMONTH(A1082,0)) / 43560</f>
        <v>2441.5116681819259</v>
      </c>
      <c r="C1082">
        <v>3704.792289</v>
      </c>
    </row>
    <row r="1083" spans="1:3" x14ac:dyDescent="0.25">
      <c r="A1083" s="4">
        <v>40877</v>
      </c>
      <c r="B1083" s="6">
        <f>'Monthly CFS'!C1089 * 86400 * DAY(EOMONTH(A1083,0)) / 43560</f>
        <v>1550.6899042060884</v>
      </c>
      <c r="C1083">
        <v>2362.7533210000001</v>
      </c>
    </row>
    <row r="1084" spans="1:3" x14ac:dyDescent="0.25">
      <c r="A1084" s="4">
        <v>40908</v>
      </c>
      <c r="B1084" s="6">
        <f>'Monthly CFS'!C1090 * 86400 * DAY(EOMONTH(A1084,0)) / 43560</f>
        <v>1275.7448662618178</v>
      </c>
      <c r="C1084">
        <v>1602.3795749999999</v>
      </c>
    </row>
    <row r="1085" spans="1:3" x14ac:dyDescent="0.25">
      <c r="A1085" s="4">
        <v>40939</v>
      </c>
      <c r="B1085" s="6">
        <f>'Monthly CFS'!C1091 * 86400 * DAY(EOMONTH(A1085,0)) / 43560</f>
        <v>795.24573209377979</v>
      </c>
      <c r="C1085">
        <v>1275.7448609999999</v>
      </c>
    </row>
    <row r="1086" spans="1:3" x14ac:dyDescent="0.25">
      <c r="A1086" s="4">
        <v>40968</v>
      </c>
      <c r="B1086" s="6">
        <f>'Monthly CFS'!C1092 * 86400 * DAY(EOMONTH(A1086,0)) / 43560</f>
        <v>800.0780961917344</v>
      </c>
      <c r="C1086">
        <v>743.93953799999997</v>
      </c>
    </row>
    <row r="1087" spans="1:3" x14ac:dyDescent="0.25">
      <c r="A1087" s="4">
        <v>40999</v>
      </c>
      <c r="B1087" s="6">
        <f>'Monthly CFS'!C1093 * 86400 * DAY(EOMONTH(A1087,0)) / 43560</f>
        <v>957.41430514775823</v>
      </c>
      <c r="C1087">
        <v>855.25590299999999</v>
      </c>
    </row>
    <row r="1088" spans="1:3" x14ac:dyDescent="0.25">
      <c r="A1088" s="4">
        <v>41029</v>
      </c>
      <c r="B1088" s="6">
        <f>'Monthly CFS'!C1094 * 86400 * DAY(EOMONTH(A1088,0)) / 43560</f>
        <v>1561.6876860582595</v>
      </c>
      <c r="C1088">
        <v>926.52999599999998</v>
      </c>
    </row>
    <row r="1089" spans="1:3" x14ac:dyDescent="0.25">
      <c r="A1089" s="4">
        <v>41060</v>
      </c>
      <c r="B1089" s="6">
        <f>'Monthly CFS'!C1095 * 86400 * DAY(EOMONTH(A1089,0)) / 43560</f>
        <v>2304.039210664791</v>
      </c>
      <c r="C1089">
        <v>1613.74396</v>
      </c>
    </row>
    <row r="1090" spans="1:3" x14ac:dyDescent="0.25">
      <c r="A1090" s="4">
        <v>41090</v>
      </c>
      <c r="B1090" s="6">
        <f>'Monthly CFS'!C1096 * 86400 * DAY(EOMONTH(A1090,0)) / 43560</f>
        <v>3029.8940420080662</v>
      </c>
      <c r="C1090">
        <v>2229.7154700000001</v>
      </c>
    </row>
    <row r="1091" spans="1:3" x14ac:dyDescent="0.25">
      <c r="A1091" s="4">
        <v>41121</v>
      </c>
      <c r="B1091" s="6">
        <f>'Monthly CFS'!C1097 * 86400 * DAY(EOMONTH(A1091,0)) / 43560</f>
        <v>3887.7224194573928</v>
      </c>
      <c r="C1091">
        <v>3130.8904779999998</v>
      </c>
    </row>
    <row r="1092" spans="1:3" x14ac:dyDescent="0.25">
      <c r="A1092" s="4">
        <v>41152</v>
      </c>
      <c r="B1092" s="6">
        <f>'Monthly CFS'!C1098 * 86400 * DAY(EOMONTH(A1092,0)) / 43560</f>
        <v>4250.6499170690286</v>
      </c>
      <c r="C1092">
        <v>3887.7225060000001</v>
      </c>
    </row>
    <row r="1093" spans="1:3" x14ac:dyDescent="0.25">
      <c r="A1093" s="4">
        <v>41182</v>
      </c>
      <c r="B1093" s="6">
        <f>'Monthly CFS'!C1099 * 86400 * DAY(EOMONTH(A1093,0)) / 43560</f>
        <v>3585.2828654276937</v>
      </c>
      <c r="C1093">
        <v>4113.5323010000002</v>
      </c>
    </row>
    <row r="1094" spans="1:3" x14ac:dyDescent="0.25">
      <c r="A1094" s="4">
        <v>41213</v>
      </c>
      <c r="B1094" s="6">
        <f>'Monthly CFS'!C1100 * 86400 * DAY(EOMONTH(A1094,0)) / 43560</f>
        <v>2441.5116681819272</v>
      </c>
      <c r="C1094">
        <v>3704.792289</v>
      </c>
    </row>
    <row r="1095" spans="1:3" x14ac:dyDescent="0.25">
      <c r="A1095" s="4">
        <v>41243</v>
      </c>
      <c r="B1095" s="6">
        <f>'Monthly CFS'!C1101 * 86400 * DAY(EOMONTH(A1095,0)) / 43560</f>
        <v>1550.6899042060877</v>
      </c>
      <c r="C1095">
        <v>2362.7533210000001</v>
      </c>
    </row>
    <row r="1096" spans="1:3" x14ac:dyDescent="0.25">
      <c r="A1096" s="4">
        <v>41274</v>
      </c>
      <c r="B1096" s="6">
        <f>'Monthly CFS'!C1102 * 86400 * DAY(EOMONTH(A1096,0)) / 43560</f>
        <v>1275.7448662618174</v>
      </c>
      <c r="C1096">
        <v>1602.3795749999999</v>
      </c>
    </row>
    <row r="1097" spans="1:3" x14ac:dyDescent="0.25">
      <c r="A1097" s="4">
        <v>41305</v>
      </c>
      <c r="B1097" s="6">
        <f>'Monthly CFS'!C1103 * 86400 * DAY(EOMONTH(A1097,0)) / 43560</f>
        <v>1057.7836304829675</v>
      </c>
      <c r="C1097">
        <v>1275.7448609999999</v>
      </c>
    </row>
    <row r="1098" spans="1:3" x14ac:dyDescent="0.25">
      <c r="A1098" s="4">
        <v>41333</v>
      </c>
      <c r="B1098" s="6">
        <f>'Monthly CFS'!C1104 * 86400 * DAY(EOMONTH(A1098,0)) / 43560</f>
        <v>840.26604850803369</v>
      </c>
      <c r="C1098">
        <v>955.41746000000001</v>
      </c>
    </row>
    <row r="1099" spans="1:3" x14ac:dyDescent="0.25">
      <c r="A1099" s="4">
        <v>41364</v>
      </c>
      <c r="B1099" s="6">
        <f>'Monthly CFS'!C1105 * 86400 * DAY(EOMONTH(A1099,0)) / 43560</f>
        <v>746.21741691337138</v>
      </c>
      <c r="C1099">
        <v>930.29454399999997</v>
      </c>
    </row>
    <row r="1100" spans="1:3" x14ac:dyDescent="0.25">
      <c r="A1100" s="4">
        <v>41394</v>
      </c>
      <c r="B1100" s="6">
        <f>'Monthly CFS'!C1106 * 86400 * DAY(EOMONTH(A1100,0)) / 43560</f>
        <v>950.73949219393569</v>
      </c>
      <c r="C1100">
        <v>722.14587500000005</v>
      </c>
    </row>
    <row r="1101" spans="1:3" x14ac:dyDescent="0.25">
      <c r="A1101" s="4">
        <v>41425</v>
      </c>
      <c r="B1101" s="6">
        <f>'Monthly CFS'!C1107 * 86400 * DAY(EOMONTH(A1101,0)) / 43560</f>
        <v>1402.6755084887322</v>
      </c>
      <c r="C1101">
        <v>982.43078700000001</v>
      </c>
    </row>
    <row r="1102" spans="1:3" x14ac:dyDescent="0.25">
      <c r="A1102" s="4">
        <v>41455</v>
      </c>
      <c r="B1102" s="6">
        <f>'Monthly CFS'!C1108 * 86400 * DAY(EOMONTH(A1102,0)) / 43560</f>
        <v>1844.5685066333538</v>
      </c>
      <c r="C1102">
        <v>1357.427915</v>
      </c>
    </row>
    <row r="1103" spans="1:3" x14ac:dyDescent="0.25">
      <c r="A1103" s="4">
        <v>41486</v>
      </c>
      <c r="B1103" s="6">
        <f>'Monthly CFS'!C1109 * 86400 * DAY(EOMONTH(A1103,0)) / 43560</f>
        <v>2366.8056499793724</v>
      </c>
      <c r="C1103">
        <v>1906.0541310000001</v>
      </c>
    </row>
    <row r="1104" spans="1:3" x14ac:dyDescent="0.25">
      <c r="A1104" s="4">
        <v>41517</v>
      </c>
      <c r="B1104" s="6">
        <f>'Monthly CFS'!C1110 * 86400 * DAY(EOMONTH(A1104,0)) / 43560</f>
        <v>2587.7521989359184</v>
      </c>
      <c r="C1104">
        <v>2366.8057250000002</v>
      </c>
    </row>
    <row r="1105" spans="1:3" x14ac:dyDescent="0.25">
      <c r="A1105" s="4">
        <v>41547</v>
      </c>
      <c r="B1105" s="6">
        <f>'Monthly CFS'!C1111 * 86400 * DAY(EOMONTH(A1105,0)) / 43560</f>
        <v>2182.6835424769965</v>
      </c>
      <c r="C1105">
        <v>2504.2762950000001</v>
      </c>
    </row>
    <row r="1106" spans="1:3" x14ac:dyDescent="0.25">
      <c r="A1106" s="4">
        <v>41578</v>
      </c>
      <c r="B1106" s="6">
        <f>'Monthly CFS'!C1112 * 86400 * DAY(EOMONTH(A1106,0)) / 43560</f>
        <v>1486.367334720894</v>
      </c>
      <c r="C1106">
        <v>2255.4396620000002</v>
      </c>
    </row>
    <row r="1107" spans="1:3" x14ac:dyDescent="0.25">
      <c r="A1107" s="4">
        <v>41608</v>
      </c>
      <c r="B1107" s="6">
        <f>'Monthly CFS'!C1113 * 86400 * DAY(EOMONTH(A1107,0)) / 43560</f>
        <v>944.04415507452495</v>
      </c>
      <c r="C1107">
        <v>1438.4199659999999</v>
      </c>
    </row>
    <row r="1108" spans="1:3" x14ac:dyDescent="0.25">
      <c r="A1108" s="4">
        <v>41639</v>
      </c>
      <c r="B1108" s="6">
        <f>'Monthly CFS'!C1114 * 86400 * DAY(EOMONTH(A1108,0)) / 43560</f>
        <v>776.66042778385156</v>
      </c>
      <c r="C1108">
        <v>975.51230599999997</v>
      </c>
    </row>
    <row r="1109" spans="1:3" x14ac:dyDescent="0.25">
      <c r="A1109" s="4">
        <v>41670</v>
      </c>
      <c r="B1109" s="6">
        <f>'Monthly CFS'!C1115 * 86400 * DAY(EOMONTH(A1109,0)) / 43560</f>
        <v>133.67826149478654</v>
      </c>
      <c r="C1109">
        <v>776.66044599999998</v>
      </c>
    </row>
    <row r="1110" spans="1:3" x14ac:dyDescent="0.25">
      <c r="A1110" s="4">
        <v>41698</v>
      </c>
      <c r="B1110" s="6">
        <f>'Monthly CFS'!C1116 * 86400 * DAY(EOMONTH(A1110,0)) / 43560</f>
        <v>119.16117142312106</v>
      </c>
      <c r="C1110">
        <v>120.741653</v>
      </c>
    </row>
    <row r="1111" spans="1:3" x14ac:dyDescent="0.25">
      <c r="A1111" s="4">
        <v>41729</v>
      </c>
      <c r="B1111" s="6">
        <f>'Monthly CFS'!C1117 * 86400 * DAY(EOMONTH(A1111,0)) / 43560</f>
        <v>153.35931306289436</v>
      </c>
      <c r="C1111">
        <v>131.928437</v>
      </c>
    </row>
    <row r="1112" spans="1:3" x14ac:dyDescent="0.25">
      <c r="A1112" s="4">
        <v>41759</v>
      </c>
      <c r="B1112" s="6">
        <f>'Monthly CFS'!C1118 * 86400 * DAY(EOMONTH(A1112,0)) / 43560</f>
        <v>189.36884209086739</v>
      </c>
      <c r="C1112">
        <v>148.41224099999999</v>
      </c>
    </row>
    <row r="1113" spans="1:3" x14ac:dyDescent="0.25">
      <c r="A1113" s="4">
        <v>41790</v>
      </c>
      <c r="B1113" s="6">
        <f>'Monthly CFS'!C1119 * 86400 * DAY(EOMONTH(A1113,0)) / 43560</f>
        <v>287.46694850786508</v>
      </c>
      <c r="C1113">
        <v>195.681139</v>
      </c>
    </row>
    <row r="1114" spans="1:3" x14ac:dyDescent="0.25">
      <c r="A1114" s="4">
        <v>41820</v>
      </c>
      <c r="B1114" s="6">
        <f>'Monthly CFS'!C1120 * 86400 * DAY(EOMONTH(A1114,0)) / 43560</f>
        <v>378.02932802819328</v>
      </c>
      <c r="C1114">
        <v>278.19383199999999</v>
      </c>
    </row>
    <row r="1115" spans="1:3" x14ac:dyDescent="0.25">
      <c r="A1115" s="4">
        <v>41851</v>
      </c>
      <c r="B1115" s="6">
        <f>'Monthly CFS'!C1121 * 86400 * DAY(EOMONTH(A1115,0)) / 43560</f>
        <v>485.05758729885878</v>
      </c>
      <c r="C1115">
        <v>390.630314</v>
      </c>
    </row>
    <row r="1116" spans="1:3" x14ac:dyDescent="0.25">
      <c r="A1116" s="4">
        <v>41882</v>
      </c>
      <c r="B1116" s="6">
        <f>'Monthly CFS'!C1122 * 86400 * DAY(EOMONTH(A1116,0)) / 43560</f>
        <v>530.33878728239119</v>
      </c>
      <c r="C1116">
        <v>485.05757899999998</v>
      </c>
    </row>
    <row r="1117" spans="1:3" x14ac:dyDescent="0.25">
      <c r="A1117" s="4">
        <v>41912</v>
      </c>
      <c r="B1117" s="6">
        <f>'Monthly CFS'!C1123 * 86400 * DAY(EOMONTH(A1117,0)) / 43560</f>
        <v>447.3232573870377</v>
      </c>
      <c r="C1117">
        <v>513.23108500000001</v>
      </c>
    </row>
    <row r="1118" spans="1:3" x14ac:dyDescent="0.25">
      <c r="A1118" s="4">
        <v>41943</v>
      </c>
      <c r="B1118" s="6">
        <f>'Monthly CFS'!C1124 * 86400 * DAY(EOMONTH(A1118,0)) / 43560</f>
        <v>304.61890828502766</v>
      </c>
      <c r="C1118">
        <v>462.23402099999998</v>
      </c>
    </row>
    <row r="1119" spans="1:3" x14ac:dyDescent="0.25">
      <c r="A1119" s="4">
        <v>41973</v>
      </c>
      <c r="B1119" s="6">
        <f>'Monthly CFS'!C1125 * 86400 * DAY(EOMONTH(A1119,0)) / 43560</f>
        <v>193.47417907677792</v>
      </c>
      <c r="C1119">
        <v>294.79249399999998</v>
      </c>
    </row>
    <row r="1120" spans="1:3" x14ac:dyDescent="0.25">
      <c r="A1120" s="4">
        <v>42004</v>
      </c>
      <c r="B1120" s="6">
        <f>'Monthly CFS'!C1126 * 86400 * DAY(EOMONTH(A1120,0)) / 43560</f>
        <v>159.1702441873999</v>
      </c>
      <c r="C1120">
        <v>199.923314</v>
      </c>
    </row>
    <row r="1121" spans="1:3" x14ac:dyDescent="0.25">
      <c r="A1121" s="4">
        <v>42035</v>
      </c>
      <c r="B1121" s="6">
        <f>'Monthly CFS'!C1127 * 86400 * DAY(EOMONTH(A1121,0)) / 43560</f>
        <v>205.98817685636314</v>
      </c>
      <c r="C1121">
        <v>159.17025000000001</v>
      </c>
    </row>
    <row r="1122" spans="1:3" x14ac:dyDescent="0.25">
      <c r="A1122" s="4">
        <v>42063</v>
      </c>
      <c r="B1122" s="6">
        <f>'Monthly CFS'!C1128 * 86400 * DAY(EOMONTH(A1122,0)) / 43560</f>
        <v>119.16117142312102</v>
      </c>
      <c r="C1122">
        <v>186.053832</v>
      </c>
    </row>
    <row r="1123" spans="1:3" x14ac:dyDescent="0.25">
      <c r="A1123" s="4">
        <v>42094</v>
      </c>
      <c r="B1123" s="6">
        <f>'Monthly CFS'!C1129 * 86400 * DAY(EOMONTH(A1123,0)) / 43560</f>
        <v>735.55259378878418</v>
      </c>
      <c r="C1123">
        <v>131.928437</v>
      </c>
    </row>
    <row r="1124" spans="1:3" x14ac:dyDescent="0.25">
      <c r="A1124" s="4">
        <v>42124</v>
      </c>
      <c r="B1124" s="6">
        <f>'Monthly CFS'!C1130 * 86400 * DAY(EOMONTH(A1124,0)) / 43560</f>
        <v>254.12242324281422</v>
      </c>
      <c r="C1124">
        <v>711.82508199999995</v>
      </c>
    </row>
    <row r="1125" spans="1:3" x14ac:dyDescent="0.25">
      <c r="A1125" s="4">
        <v>42155</v>
      </c>
      <c r="B1125" s="6">
        <f>'Monthly CFS'!C1131 * 86400 * DAY(EOMONTH(A1125,0)) / 43560</f>
        <v>374.92005135702567</v>
      </c>
      <c r="C1125">
        <v>262.59317099999998</v>
      </c>
    </row>
    <row r="1126" spans="1:3" x14ac:dyDescent="0.25">
      <c r="A1126" s="4">
        <v>42185</v>
      </c>
      <c r="B1126" s="6">
        <f>'Monthly CFS'!C1132 * 86400 * DAY(EOMONTH(A1126,0)) / 43560</f>
        <v>493.03328892056805</v>
      </c>
      <c r="C1126">
        <v>362.82587000000001</v>
      </c>
    </row>
    <row r="1127" spans="1:3" x14ac:dyDescent="0.25">
      <c r="A1127" s="4">
        <v>42216</v>
      </c>
      <c r="B1127" s="6">
        <f>'Monthly CFS'!C1133 * 86400 * DAY(EOMONTH(A1127,0)) / 43560</f>
        <v>632.62165088946779</v>
      </c>
      <c r="C1127">
        <v>509.46770800000002</v>
      </c>
    </row>
    <row r="1128" spans="1:3" x14ac:dyDescent="0.25">
      <c r="A1128" s="4">
        <v>42247</v>
      </c>
      <c r="B1128" s="6">
        <f>'Monthly CFS'!C1134 * 86400 * DAY(EOMONTH(A1128,0)) / 43560</f>
        <v>691.6782830047573</v>
      </c>
      <c r="C1128">
        <v>632.62164700000005</v>
      </c>
    </row>
    <row r="1129" spans="1:3" x14ac:dyDescent="0.25">
      <c r="A1129" s="4">
        <v>42277</v>
      </c>
      <c r="B1129" s="6">
        <f>'Monthly CFS'!C1135 * 86400 * DAY(EOMONTH(A1129,0)) / 43560</f>
        <v>583.40779523789979</v>
      </c>
      <c r="C1129">
        <v>669.36610199999996</v>
      </c>
    </row>
    <row r="1130" spans="1:3" x14ac:dyDescent="0.25">
      <c r="A1130" s="4">
        <v>42308</v>
      </c>
      <c r="B1130" s="6">
        <f>'Monthly CFS'!C1136 * 86400 * DAY(EOMONTH(A1130,0)) / 43560</f>
        <v>397.28997483486017</v>
      </c>
    </row>
    <row r="1131" spans="1:3" x14ac:dyDescent="0.25">
      <c r="A1131" s="4">
        <v>42338</v>
      </c>
      <c r="B1131" s="6">
        <f>'Monthly CFS'!C1137 * 86400 * DAY(EOMONTH(A1131,0)) / 43560</f>
        <v>252.33283176462075</v>
      </c>
    </row>
    <row r="1132" spans="1:3" x14ac:dyDescent="0.25">
      <c r="A1132" s="4">
        <v>42369</v>
      </c>
      <c r="B1132" s="6">
        <f>'Monthly CFS'!C1138 * 86400 * DAY(EOMONTH(A1132,0)) / 43560</f>
        <v>207.59296480867471</v>
      </c>
    </row>
    <row r="1133" spans="1:3" x14ac:dyDescent="0.25">
      <c r="A1133" s="4">
        <v>42400</v>
      </c>
      <c r="B1133" s="6">
        <f>'Monthly CFS'!C1139 * 86400 * DAY(EOMONTH(A1133,0)) / 43560</f>
        <v>133.67826149478654</v>
      </c>
    </row>
    <row r="1134" spans="1:3" x14ac:dyDescent="0.25">
      <c r="A1134" s="4">
        <v>42429</v>
      </c>
      <c r="B1134" s="6">
        <f>'Monthly CFS'!C1140 * 86400 * DAY(EOMONTH(A1134,0)) / 43560</f>
        <v>163.48609419170378</v>
      </c>
    </row>
    <row r="1135" spans="1:3" x14ac:dyDescent="0.25">
      <c r="A1135" s="4">
        <v>42460</v>
      </c>
      <c r="B1135" s="6">
        <f>'Monthly CFS'!C1141 * 86400 * DAY(EOMONTH(A1135,0)) / 43560</f>
        <v>733.90477803846045</v>
      </c>
    </row>
    <row r="1136" spans="1:3" x14ac:dyDescent="0.25">
      <c r="A1136" s="4">
        <v>42490</v>
      </c>
      <c r="B1136" s="6">
        <f>'Monthly CFS'!C1142 * 86400 * DAY(EOMONTH(A1136,0)) / 43560</f>
        <v>1561.6876860582595</v>
      </c>
    </row>
    <row r="1137" spans="1:2" x14ac:dyDescent="0.25">
      <c r="A1137" s="4">
        <v>42521</v>
      </c>
      <c r="B1137" s="6">
        <f>'Monthly CFS'!C1143 * 86400 * DAY(EOMONTH(A1137,0)) / 43560</f>
        <v>2304.039210664791</v>
      </c>
    </row>
    <row r="1138" spans="1:2" x14ac:dyDescent="0.25">
      <c r="A1138" s="4">
        <v>42551</v>
      </c>
      <c r="B1138" s="6">
        <f>'Monthly CFS'!C1144 * 86400 * DAY(EOMONTH(A1138,0)) / 43560</f>
        <v>3029.8940420080662</v>
      </c>
    </row>
    <row r="1139" spans="1:2" x14ac:dyDescent="0.25">
      <c r="A1139" s="4">
        <v>42582</v>
      </c>
      <c r="B1139" s="6">
        <f>'Monthly CFS'!C1145 * 86400 * DAY(EOMONTH(A1139,0)) / 43560</f>
        <v>3887.7224194573928</v>
      </c>
    </row>
    <row r="1140" spans="1:2" x14ac:dyDescent="0.25">
      <c r="A1140" s="4">
        <v>42613</v>
      </c>
      <c r="B1140" s="6">
        <f>'Monthly CFS'!C1146 * 86400 * DAY(EOMONTH(A1140,0)) / 43560</f>
        <v>4250.6499170690286</v>
      </c>
    </row>
    <row r="1141" spans="1:2" x14ac:dyDescent="0.25">
      <c r="A1141" s="4">
        <v>42643</v>
      </c>
      <c r="B1141" s="6">
        <f>'Monthly CFS'!C1147 * 86400 * DAY(EOMONTH(A1141,0)) / 43560</f>
        <v>3585.2828654276946</v>
      </c>
    </row>
    <row r="1142" spans="1:2" x14ac:dyDescent="0.25">
      <c r="A1142" s="4">
        <v>42674</v>
      </c>
      <c r="B1142" s="6">
        <f>'Monthly CFS'!C1148 * 86400 * DAY(EOMONTH(A1142,0)) / 43560</f>
        <v>2441.5116681819263</v>
      </c>
    </row>
    <row r="1143" spans="1:2" x14ac:dyDescent="0.25">
      <c r="A1143" s="4">
        <v>42704</v>
      </c>
      <c r="B1143" s="6">
        <f>'Monthly CFS'!C1149 * 86400 * DAY(EOMONTH(A1143,0)) / 43560</f>
        <v>1550.6899042060877</v>
      </c>
    </row>
    <row r="1144" spans="1:2" x14ac:dyDescent="0.25">
      <c r="A1144" s="4">
        <v>42735</v>
      </c>
      <c r="B1144" s="6">
        <f>'Monthly CFS'!C1150 * 86400 * DAY(EOMONTH(A1144,0)) / 43560</f>
        <v>1275.7448662618174</v>
      </c>
    </row>
    <row r="1145" spans="1:2" x14ac:dyDescent="0.25">
      <c r="A1145" s="4">
        <v>42766</v>
      </c>
      <c r="B1145" s="6">
        <f>'Monthly CFS'!C1151 * 86400 * DAY(EOMONTH(A1145,0)) / 43560</f>
        <v>842.15455689851819</v>
      </c>
    </row>
    <row r="1146" spans="1:2" x14ac:dyDescent="0.25">
      <c r="A1146" s="4">
        <v>42794</v>
      </c>
      <c r="B1146" s="6">
        <f>'Monthly CFS'!C1152 * 86400 * DAY(EOMONTH(A1146,0)) / 43560</f>
        <v>1083.2833765738274</v>
      </c>
    </row>
    <row r="1147" spans="1:2" x14ac:dyDescent="0.25">
      <c r="A1147" s="4">
        <v>42825</v>
      </c>
      <c r="B1147" s="6">
        <f>'Monthly CFS'!C1153 * 86400 * DAY(EOMONTH(A1147,0)) / 43560</f>
        <v>1314.2371232294161</v>
      </c>
    </row>
    <row r="1148" spans="1:2" x14ac:dyDescent="0.25">
      <c r="A1148" s="4">
        <v>42855</v>
      </c>
      <c r="B1148" s="6">
        <f>'Monthly CFS'!C1154 * 86400 * DAY(EOMONTH(A1148,0)) / 43560</f>
        <v>1561.6876860582595</v>
      </c>
    </row>
    <row r="1149" spans="1:2" x14ac:dyDescent="0.25">
      <c r="A1149" s="4">
        <v>42886</v>
      </c>
      <c r="B1149" s="6">
        <f>'Monthly CFS'!C1155 * 86400 * DAY(EOMONTH(A1149,0)) / 43560</f>
        <v>2304.039210664791</v>
      </c>
    </row>
    <row r="1150" spans="1:2" x14ac:dyDescent="0.25">
      <c r="A1150" s="4">
        <v>42916</v>
      </c>
      <c r="B1150" s="6">
        <f>'Monthly CFS'!C1156 * 86400 * DAY(EOMONTH(A1150,0)) / 43560</f>
        <v>3029.8940420080658</v>
      </c>
    </row>
    <row r="1151" spans="1:2" x14ac:dyDescent="0.25">
      <c r="A1151" s="4">
        <v>42947</v>
      </c>
      <c r="B1151" s="6">
        <f>'Monthly CFS'!C1157 * 86400 * DAY(EOMONTH(A1151,0)) / 43560</f>
        <v>3887.7224194573905</v>
      </c>
    </row>
    <row r="1152" spans="1:2" x14ac:dyDescent="0.25">
      <c r="A1152" s="4">
        <v>42978</v>
      </c>
      <c r="B1152" s="6">
        <f>'Monthly CFS'!C1158 * 86400 * DAY(EOMONTH(A1152,0)) / 43560</f>
        <v>4250.6499170690267</v>
      </c>
    </row>
    <row r="1153" spans="1:2" x14ac:dyDescent="0.25">
      <c r="A1153" s="4">
        <v>43008</v>
      </c>
      <c r="B1153" s="6">
        <f>'Monthly CFS'!C1159 * 86400 * DAY(EOMONTH(A1153,0)) / 43560</f>
        <v>3585.2828654276937</v>
      </c>
    </row>
    <row r="1154" spans="1:2" x14ac:dyDescent="0.25">
      <c r="A1154" s="4">
        <v>43039</v>
      </c>
      <c r="B1154" s="6">
        <f>'Monthly CFS'!C1160 * 86400 * DAY(EOMONTH(A1154,0)) / 43560</f>
        <v>2441.5116681819263</v>
      </c>
    </row>
    <row r="1155" spans="1:2" x14ac:dyDescent="0.25">
      <c r="A1155" s="4">
        <v>43069</v>
      </c>
      <c r="B1155" s="6">
        <f>'Monthly CFS'!C1161 * 86400 * DAY(EOMONTH(A1155,0)) / 43560</f>
        <v>1550.6899042060882</v>
      </c>
    </row>
    <row r="1156" spans="1:2" x14ac:dyDescent="0.25">
      <c r="A1156" s="4">
        <v>43100</v>
      </c>
      <c r="B1156" s="6">
        <f>'Monthly CFS'!C1162 * 86400 * DAY(EOMONTH(A1156,0)) / 43560</f>
        <v>1275.7448662618172</v>
      </c>
    </row>
    <row r="1157" spans="1:2" x14ac:dyDescent="0.25">
      <c r="A1157" s="4">
        <v>43131</v>
      </c>
      <c r="B1157" s="6">
        <f>'Monthly CFS'!C1163 * 86400 * DAY(EOMONTH(A1157,0)) / 43560</f>
        <v>956.75520131378937</v>
      </c>
    </row>
    <row r="1158" spans="1:2" x14ac:dyDescent="0.25">
      <c r="A1158" s="4">
        <v>43159</v>
      </c>
      <c r="B1158" s="6">
        <f>'Monthly CFS'!C1164 * 86400 * DAY(EOMONTH(A1158,0)) / 43560</f>
        <v>980.31221027748359</v>
      </c>
    </row>
    <row r="1159" spans="1:2" x14ac:dyDescent="0.25">
      <c r="A1159" s="4">
        <v>43190</v>
      </c>
      <c r="B1159" s="6">
        <f>'Monthly CFS'!C1165 * 86400 * DAY(EOMONTH(A1159,0)) / 43560</f>
        <v>956.62192543352546</v>
      </c>
    </row>
    <row r="1160" spans="1:2" x14ac:dyDescent="0.25">
      <c r="A1160" s="4">
        <v>43220</v>
      </c>
      <c r="B1160" s="6">
        <f>'Monthly CFS'!C1166 * 86400 * DAY(EOMONTH(A1160,0)) / 43560</f>
        <v>1561.6876860582595</v>
      </c>
    </row>
    <row r="1161" spans="1:2" x14ac:dyDescent="0.25">
      <c r="A1161" s="4">
        <v>43251</v>
      </c>
      <c r="B1161" s="6">
        <f>'Monthly CFS'!C1167 * 86400 * DAY(EOMONTH(A1161,0)) / 43560</f>
        <v>2304.0392106647896</v>
      </c>
    </row>
    <row r="1162" spans="1:2" x14ac:dyDescent="0.25">
      <c r="A1162" s="4">
        <v>43281</v>
      </c>
      <c r="B1162" s="6">
        <f>'Monthly CFS'!C1168 * 86400 * DAY(EOMONTH(A1162,0)) / 43560</f>
        <v>3029.8940420080662</v>
      </c>
    </row>
    <row r="1163" spans="1:2" x14ac:dyDescent="0.25">
      <c r="A1163" s="4">
        <v>43312</v>
      </c>
      <c r="B1163" s="6">
        <f>'Monthly CFS'!C1169 * 86400 * DAY(EOMONTH(A1163,0)) / 43560</f>
        <v>3887.7224194573901</v>
      </c>
    </row>
    <row r="1164" spans="1:2" x14ac:dyDescent="0.25">
      <c r="A1164" s="4">
        <v>43343</v>
      </c>
      <c r="B1164" s="6">
        <f>'Monthly CFS'!C1170 * 86400 * DAY(EOMONTH(A1164,0)) / 43560</f>
        <v>4250.6499170690258</v>
      </c>
    </row>
    <row r="1165" spans="1:2" x14ac:dyDescent="0.25">
      <c r="A1165" s="4">
        <v>43373</v>
      </c>
      <c r="B1165" s="6">
        <f>'Monthly CFS'!C1171 * 86400 * DAY(EOMONTH(A1165,0)) / 43560</f>
        <v>3585.2828654276923</v>
      </c>
    </row>
    <row r="1166" spans="1:2" x14ac:dyDescent="0.25">
      <c r="A1166" s="4">
        <v>43404</v>
      </c>
      <c r="B1166" s="6">
        <f>'Monthly CFS'!C1172 * 86400 * DAY(EOMONTH(A1166,0)) / 43560</f>
        <v>2441.5116681819259</v>
      </c>
    </row>
    <row r="1167" spans="1:2" x14ac:dyDescent="0.25">
      <c r="A1167" s="4">
        <v>43434</v>
      </c>
      <c r="B1167" s="6">
        <f>'Monthly CFS'!C1173 * 86400 * DAY(EOMONTH(A1167,0)) / 43560</f>
        <v>1550.6899042060877</v>
      </c>
    </row>
    <row r="1168" spans="1:2" x14ac:dyDescent="0.25">
      <c r="A1168" s="4">
        <v>43465</v>
      </c>
      <c r="B1168" s="6">
        <f>'Monthly CFS'!C1174 * 86400 * DAY(EOMONTH(A1168,0)) / 43560</f>
        <v>1275.7448662618165</v>
      </c>
    </row>
    <row r="1169" spans="1:2" x14ac:dyDescent="0.25">
      <c r="A1169" s="4">
        <v>43496</v>
      </c>
      <c r="B1169" s="6">
        <f>'Monthly CFS'!C1175 * 86400 * DAY(EOMONTH(A1169,0)) / 43560</f>
        <v>133.67826149478657</v>
      </c>
    </row>
    <row r="1170" spans="1:2" x14ac:dyDescent="0.25">
      <c r="A1170" s="4">
        <v>43524</v>
      </c>
      <c r="B1170" s="6">
        <f>'Monthly CFS'!C1176 * 86400 * DAY(EOMONTH(A1170,0)) / 43560</f>
        <v>168.02245879053959</v>
      </c>
    </row>
    <row r="1171" spans="1:2" x14ac:dyDescent="0.25">
      <c r="A1171" s="4">
        <v>43555</v>
      </c>
      <c r="B1171" s="6">
        <f>'Monthly CFS'!C1177 * 86400 * DAY(EOMONTH(A1171,0)) / 43560</f>
        <v>1101.0671114611541</v>
      </c>
    </row>
    <row r="1172" spans="1:2" x14ac:dyDescent="0.25">
      <c r="A1172" s="4">
        <v>43585</v>
      </c>
      <c r="B1172" s="6">
        <f>'Monthly CFS'!C1178 * 86400 * DAY(EOMONTH(A1172,0)) / 43560</f>
        <v>1561.687686058259</v>
      </c>
    </row>
    <row r="1173" spans="1:2" x14ac:dyDescent="0.25">
      <c r="A1173" s="4">
        <v>43616</v>
      </c>
      <c r="B1173" s="6">
        <f>'Monthly CFS'!C1179 * 86400 * DAY(EOMONTH(A1173,0)) / 43560</f>
        <v>2304.0392106647901</v>
      </c>
    </row>
    <row r="1174" spans="1:2" x14ac:dyDescent="0.25">
      <c r="A1174" s="4">
        <v>43646</v>
      </c>
      <c r="B1174" s="6">
        <f>'Monthly CFS'!C1180 * 86400 * DAY(EOMONTH(A1174,0)) / 43560</f>
        <v>3029.8940420080662</v>
      </c>
    </row>
    <row r="1175" spans="1:2" x14ac:dyDescent="0.25">
      <c r="A1175" s="4">
        <v>43677</v>
      </c>
      <c r="B1175" s="6">
        <f>'Monthly CFS'!C1181 * 86400 * DAY(EOMONTH(A1175,0)) / 43560</f>
        <v>3887.7224194573901</v>
      </c>
    </row>
    <row r="1176" spans="1:2" x14ac:dyDescent="0.25">
      <c r="A1176" s="4">
        <v>43708</v>
      </c>
      <c r="B1176" s="6">
        <f>'Monthly CFS'!C1182 * 86400 * DAY(EOMONTH(A1176,0)) / 43560</f>
        <v>4250.6499170690267</v>
      </c>
    </row>
    <row r="1177" spans="1:2" x14ac:dyDescent="0.25">
      <c r="A1177" s="4">
        <v>43738</v>
      </c>
      <c r="B1177" s="6">
        <f>'Monthly CFS'!C1183 * 86400 * DAY(EOMONTH(A1177,0)) / 43560</f>
        <v>3585.2828654276909</v>
      </c>
    </row>
    <row r="1178" spans="1:2" x14ac:dyDescent="0.25">
      <c r="A1178" s="4">
        <v>43769</v>
      </c>
      <c r="B1178" s="6">
        <f>'Monthly CFS'!C1184 * 86400 * DAY(EOMONTH(A1178,0)) / 43560</f>
        <v>2441.5116681819259</v>
      </c>
    </row>
    <row r="1179" spans="1:2" x14ac:dyDescent="0.25">
      <c r="A1179" s="4">
        <v>43799</v>
      </c>
      <c r="B1179" s="6">
        <f>'Monthly CFS'!C1185 * 86400 * DAY(EOMONTH(A1179,0)) / 43560</f>
        <v>1550.6899042060875</v>
      </c>
    </row>
    <row r="1180" spans="1:2" x14ac:dyDescent="0.25">
      <c r="A1180" s="4">
        <v>43830</v>
      </c>
      <c r="B1180" s="6">
        <f>'Monthly CFS'!C1186 * 86400 * DAY(EOMONTH(A1180,0)) / 43560</f>
        <v>1275.7448662618172</v>
      </c>
    </row>
    <row r="1181" spans="1:2" x14ac:dyDescent="0.25">
      <c r="A1181" s="4">
        <v>43861</v>
      </c>
      <c r="B1181" s="6">
        <f>'Monthly CFS'!C1187 * 86400 * DAY(EOMONTH(A1181,0)) / 43560</f>
        <v>792.63559845426107</v>
      </c>
    </row>
    <row r="1182" spans="1:2" x14ac:dyDescent="0.25">
      <c r="A1182" s="4">
        <v>43890</v>
      </c>
      <c r="B1182" s="6">
        <f>'Monthly CFS'!C1188 * 86400 * DAY(EOMONTH(A1182,0)) / 43560</f>
        <v>647.55902943150329</v>
      </c>
    </row>
    <row r="1183" spans="1:2" x14ac:dyDescent="0.25">
      <c r="A1183" s="4">
        <v>43921</v>
      </c>
      <c r="B1183" s="6">
        <f>'Monthly CFS'!C1189 * 86400 * DAY(EOMONTH(A1183,0)) / 43560</f>
        <v>467.21975982308464</v>
      </c>
    </row>
    <row r="1184" spans="1:2" x14ac:dyDescent="0.25">
      <c r="A1184" s="4">
        <v>43951</v>
      </c>
      <c r="B1184" s="6">
        <f>'Monthly CFS'!C1190 * 86400 * DAY(EOMONTH(A1184,0)) / 43560</f>
        <v>1032.1506936044873</v>
      </c>
    </row>
    <row r="1185" spans="1:2" x14ac:dyDescent="0.25">
      <c r="A1185" s="4">
        <v>43982</v>
      </c>
      <c r="B1185" s="6">
        <f>'Monthly CFS'!C1191 * 86400 * DAY(EOMONTH(A1185,0)) / 43560</f>
        <v>1522.7856956354863</v>
      </c>
    </row>
    <row r="1186" spans="1:2" x14ac:dyDescent="0.25">
      <c r="A1186" s="4">
        <v>44012</v>
      </c>
      <c r="B1186" s="6">
        <f>'Monthly CFS'!C1192 * 86400 * DAY(EOMONTH(A1186,0)) / 43560</f>
        <v>2002.5177024351995</v>
      </c>
    </row>
    <row r="1187" spans="1:2" x14ac:dyDescent="0.25">
      <c r="A1187" s="4">
        <v>44043</v>
      </c>
      <c r="B1187" s="6">
        <f>'Monthly CFS'!C1193 * 86400 * DAY(EOMONTH(A1187,0)) / 43560</f>
        <v>2569.4736710851985</v>
      </c>
    </row>
    <row r="1188" spans="1:2" x14ac:dyDescent="0.25">
      <c r="A1188" s="4">
        <v>44074</v>
      </c>
      <c r="B1188" s="6">
        <f>'Monthly CFS'!C1194 * 86400 * DAY(EOMONTH(A1188,0)) / 43560</f>
        <v>2809.3397286408426</v>
      </c>
    </row>
    <row r="1189" spans="1:2" x14ac:dyDescent="0.25">
      <c r="A1189" s="4">
        <v>44104</v>
      </c>
      <c r="B1189" s="6">
        <f>'Monthly CFS'!C1195 * 86400 * DAY(EOMONTH(A1189,0)) / 43560</f>
        <v>2369.5853078407554</v>
      </c>
    </row>
    <row r="1190" spans="1:2" x14ac:dyDescent="0.25">
      <c r="A1190" s="4">
        <v>44135</v>
      </c>
      <c r="B1190" s="6">
        <f>'Monthly CFS'!C1196 * 86400 * DAY(EOMONTH(A1190,0)) / 43560</f>
        <v>1613.6439982554957</v>
      </c>
    </row>
    <row r="1191" spans="1:2" x14ac:dyDescent="0.25">
      <c r="A1191" s="4">
        <v>44165</v>
      </c>
      <c r="B1191" s="6">
        <f>'Monthly CFS'!C1197 * 86400 * DAY(EOMONTH(A1191,0)) / 43560</f>
        <v>1024.8820391429279</v>
      </c>
    </row>
    <row r="1192" spans="1:2" x14ac:dyDescent="0.25">
      <c r="A1192" s="4">
        <v>44196</v>
      </c>
      <c r="B1192" s="6">
        <f>'Monthly CFS'!C1198 * 86400 * DAY(EOMONTH(A1192,0)) / 43560</f>
        <v>843.1653526692254</v>
      </c>
    </row>
    <row r="1193" spans="1:2" x14ac:dyDescent="0.25">
      <c r="A1193" s="4">
        <v>44227</v>
      </c>
      <c r="B1193" s="6">
        <f>'Monthly CFS'!C1199 * 86400 * DAY(EOMONTH(A1193,0)) / 43560</f>
        <v>133.67826149478648</v>
      </c>
    </row>
    <row r="1194" spans="1:2" x14ac:dyDescent="0.25">
      <c r="A1194" s="4">
        <v>44255</v>
      </c>
      <c r="B1194" s="6">
        <f>'Monthly CFS'!C1200 * 86400 * DAY(EOMONTH(A1194,0)) / 43560</f>
        <v>119.16117142312108</v>
      </c>
    </row>
    <row r="1195" spans="1:2" x14ac:dyDescent="0.25">
      <c r="A1195" s="4">
        <v>44286</v>
      </c>
      <c r="B1195" s="6">
        <f>'Monthly CFS'!C1201 * 86400 * DAY(EOMONTH(A1195,0)) / 43560</f>
        <v>240.87021549705932</v>
      </c>
    </row>
    <row r="1196" spans="1:2" x14ac:dyDescent="0.25">
      <c r="A1196" s="4">
        <v>44316</v>
      </c>
      <c r="B1196" s="6">
        <f>'Monthly CFS'!C1202 * 86400 * DAY(EOMONTH(A1196,0)) / 43560</f>
        <v>201.64790460360524</v>
      </c>
    </row>
    <row r="1197" spans="1:2" x14ac:dyDescent="0.25">
      <c r="A1197" s="4">
        <v>44347</v>
      </c>
      <c r="B1197" s="6">
        <f>'Monthly CFS'!C1203 * 86400 * DAY(EOMONTH(A1197,0)) / 43560</f>
        <v>297.50165996875734</v>
      </c>
    </row>
    <row r="1198" spans="1:2" x14ac:dyDescent="0.25">
      <c r="A1198" s="4">
        <v>44377</v>
      </c>
      <c r="B1198" s="6">
        <f>'Monthly CFS'!C1204 * 86400 * DAY(EOMONTH(A1198,0)) / 43560</f>
        <v>391.22533282181627</v>
      </c>
    </row>
    <row r="1199" spans="1:2" x14ac:dyDescent="0.25">
      <c r="A1199" s="4">
        <v>44408</v>
      </c>
      <c r="B1199" s="6">
        <f>'Monthly CFS'!C1205 * 86400 * DAY(EOMONTH(A1199,0)) / 43560</f>
        <v>501.98966577162111</v>
      </c>
    </row>
    <row r="1200" spans="1:2" x14ac:dyDescent="0.25">
      <c r="A1200" s="4">
        <v>44439</v>
      </c>
      <c r="B1200" s="6">
        <f>'Monthly CFS'!C1206 * 86400 * DAY(EOMONTH(A1200,0)) / 43560</f>
        <v>548.85151277838941</v>
      </c>
    </row>
    <row r="1201" spans="1:2" x14ac:dyDescent="0.25">
      <c r="A1201" s="4">
        <v>44469</v>
      </c>
      <c r="B1201" s="6">
        <f>'Monthly CFS'!C1207 * 86400 * DAY(EOMONTH(A1201,0)) / 43560</f>
        <v>462.93813012606012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DB50-560B-4A4A-84CD-F92251BB0574}">
  <dimension ref="A1:C95"/>
  <sheetViews>
    <sheetView workbookViewId="0">
      <selection activeCell="B9" sqref="B9"/>
    </sheetView>
  </sheetViews>
  <sheetFormatPr defaultRowHeight="15" x14ac:dyDescent="0.25"/>
  <cols>
    <col min="2" max="2" width="9.5703125" bestFit="1" customWidth="1"/>
  </cols>
  <sheetData>
    <row r="1" spans="1:3" x14ac:dyDescent="0.25">
      <c r="B1" t="s">
        <v>0</v>
      </c>
    </row>
    <row r="2" spans="1:3" x14ac:dyDescent="0.25">
      <c r="A2" s="1">
        <v>8037</v>
      </c>
      <c r="B2" s="6">
        <f>SUMIFS('Monthly AF'!$B:$B,'Monthly AF'!$A:$A,"&gt;="&amp;DATE(YEAR(A2),1,1),'Monthly AF'!$A:$A,"&lt;="&amp;DATE(YEAR(A2),12,31))</f>
        <v>27018.746269076193</v>
      </c>
      <c r="C2" s="15">
        <f>B2-'swpCVPSupplyData_CCA1_v3.7.0__B'!B3</f>
        <v>-4.0192380765802227E-4</v>
      </c>
    </row>
    <row r="3" spans="1:3" x14ac:dyDescent="0.25">
      <c r="A3" s="1">
        <v>8402</v>
      </c>
      <c r="B3" s="6">
        <f>SUMIFS('Monthly AF'!$B:$B,'Monthly AF'!$A:$A,"&gt;="&amp;DATE(YEAR(A3),1,1),'Monthly AF'!$A:$A,"&lt;="&amp;DATE(YEAR(A3),12,31))</f>
        <v>19477.113189591717</v>
      </c>
      <c r="C3" s="15">
        <f>B3-'swpCVPSupplyData_CCA1_v3.7.0__B'!B4</f>
        <v>-1.2640828208532184E-4</v>
      </c>
    </row>
    <row r="4" spans="1:3" x14ac:dyDescent="0.25">
      <c r="A4" s="1">
        <v>8767</v>
      </c>
      <c r="B4" s="6">
        <f>SUMIFS('Monthly AF'!$B:$B,'Monthly AF'!$A:$A,"&gt;="&amp;DATE(YEAR(A4),1,1),'Monthly AF'!$A:$A,"&lt;="&amp;DATE(YEAR(A4),12,31))</f>
        <v>15528.72976099247</v>
      </c>
      <c r="C4" s="15">
        <f>B4-'swpCVPSupplyData_CCA1_v3.7.0__B'!B5</f>
        <v>1.2499246986408252E-4</v>
      </c>
    </row>
    <row r="5" spans="1:3" x14ac:dyDescent="0.25">
      <c r="A5" s="1">
        <v>9133</v>
      </c>
      <c r="B5" s="6">
        <f>SUMIFS('Monthly AF'!$B:$B,'Monthly AF'!$A:$A,"&gt;="&amp;DATE(YEAR(A5),1,1),'Monthly AF'!$A:$A,"&lt;="&amp;DATE(YEAR(A5),12,31))</f>
        <v>7139.3238229268354</v>
      </c>
      <c r="C5" s="15">
        <f>B5-'swpCVPSupplyData_CCA1_v3.7.0__B'!B6</f>
        <v>1.0692683554225368E-4</v>
      </c>
    </row>
    <row r="6" spans="1:3" x14ac:dyDescent="0.25">
      <c r="A6" s="1">
        <v>9498</v>
      </c>
      <c r="B6" s="6">
        <f>SUMIFS('Monthly AF'!$B:$B,'Monthly AF'!$A:$A,"&gt;="&amp;DATE(YEAR(A6),1,1),'Monthly AF'!$A:$A,"&lt;="&amp;DATE(YEAR(A6),12,31))</f>
        <v>15337.226284042152</v>
      </c>
      <c r="C6" s="15">
        <f>B6-'swpCVPSupplyData_CCA1_v3.7.0__B'!B7</f>
        <v>-4.2957848563673906E-5</v>
      </c>
    </row>
    <row r="7" spans="1:3" x14ac:dyDescent="0.25">
      <c r="A7" s="1">
        <v>9863</v>
      </c>
      <c r="B7" s="6">
        <f>SUMIFS('Monthly AF'!$B:$B,'Monthly AF'!$A:$A,"&gt;="&amp;DATE(YEAR(A7),1,1),'Monthly AF'!$A:$A,"&lt;="&amp;DATE(YEAR(A7),12,31))</f>
        <v>26957.599136733072</v>
      </c>
      <c r="C7" s="15">
        <f>B7-'swpCVPSupplyData_CCA1_v3.7.0__B'!B8</f>
        <v>-4.542669266811572E-4</v>
      </c>
    </row>
    <row r="8" spans="1:3" x14ac:dyDescent="0.25">
      <c r="A8" s="1">
        <v>10228</v>
      </c>
      <c r="B8" s="6">
        <f>SUMIFS('Monthly AF'!$B:$B,'Monthly AF'!$A:$A,"&gt;="&amp;DATE(YEAR(A8),1,1),'Monthly AF'!$A:$A,"&lt;="&amp;DATE(YEAR(A8),12,31))</f>
        <v>26395.101773248352</v>
      </c>
      <c r="C8" s="15">
        <f>B8-'swpCVPSupplyData_CCA1_v3.7.0__B'!B9</f>
        <v>-4.0675164927961305E-4</v>
      </c>
    </row>
    <row r="9" spans="1:3" x14ac:dyDescent="0.25">
      <c r="A9" s="1">
        <v>10594</v>
      </c>
      <c r="B9" s="6">
        <f>SUMIFS('Monthly AF'!$B:$B,'Monthly AF'!$A:$A,"&gt;="&amp;DATE(YEAR(A9),1,1),'Monthly AF'!$A:$A,"&lt;="&amp;DATE(YEAR(A9),12,31))</f>
        <v>3270.2023711798779</v>
      </c>
      <c r="C9" s="15">
        <f>B9-'swpCVPSupplyData_CCA1_v3.7.0__B'!B10</f>
        <v>-2.3820121896278579E-5</v>
      </c>
    </row>
    <row r="10" spans="1:3" x14ac:dyDescent="0.25">
      <c r="A10" s="1">
        <v>10959</v>
      </c>
      <c r="B10" s="6">
        <f>SUMIFS('Monthly AF'!$B:$B,'Monthly AF'!$A:$A,"&gt;="&amp;DATE(YEAR(A10),1,1),'Monthly AF'!$A:$A,"&lt;="&amp;DATE(YEAR(A10),12,31))</f>
        <v>17205.480160910411</v>
      </c>
      <c r="C10" s="15">
        <f>B10-'swpCVPSupplyData_CCA1_v3.7.0__B'!B11</f>
        <v>-1.4908958837622777E-4</v>
      </c>
    </row>
    <row r="11" spans="1:3" x14ac:dyDescent="0.25">
      <c r="A11" s="1">
        <v>11324</v>
      </c>
      <c r="B11" s="6">
        <f>SUMIFS('Monthly AF'!$B:$B,'Monthly AF'!$A:$A,"&gt;="&amp;DATE(YEAR(A11),1,1),'Monthly AF'!$A:$A,"&lt;="&amp;DATE(YEAR(A11),12,31))</f>
        <v>3025.0000002000002</v>
      </c>
      <c r="C11" s="15">
        <f>B11-'swpCVPSupplyData_CCA1_v3.7.0__B'!B12</f>
        <v>-7.7999998211453203E-6</v>
      </c>
    </row>
    <row r="12" spans="1:3" x14ac:dyDescent="0.25">
      <c r="A12" s="1">
        <v>11689</v>
      </c>
      <c r="B12" s="6">
        <f>SUMIFS('Monthly AF'!$B:$B,'Monthly AF'!$A:$A,"&gt;="&amp;DATE(YEAR(A12),1,1),'Monthly AF'!$A:$A,"&lt;="&amp;DATE(YEAR(A12),12,31))</f>
        <v>4456.1699374680202</v>
      </c>
      <c r="C12" s="15">
        <f>B12-'swpCVPSupplyData_CCA1_v3.7.0__B'!B13</f>
        <v>5.0468020162952598E-5</v>
      </c>
    </row>
    <row r="13" spans="1:3" x14ac:dyDescent="0.25">
      <c r="A13" s="1">
        <v>12055</v>
      </c>
      <c r="B13" s="6">
        <f>SUMIFS('Monthly AF'!$B:$B,'Monthly AF'!$A:$A,"&gt;="&amp;DATE(YEAR(A13),1,1),'Monthly AF'!$A:$A,"&lt;="&amp;DATE(YEAR(A13),12,31))</f>
        <v>6085.0316077545212</v>
      </c>
      <c r="C13" s="15">
        <f>B13-'swpCVPSupplyData_CCA1_v3.7.0__B'!B14</f>
        <v>-1.1245479072385933E-5</v>
      </c>
    </row>
    <row r="14" spans="1:3" x14ac:dyDescent="0.25">
      <c r="A14" s="1">
        <v>12420</v>
      </c>
      <c r="B14" s="6">
        <f>SUMIFS('Monthly AF'!$B:$B,'Monthly AF'!$A:$A,"&gt;="&amp;DATE(YEAR(A14),1,1),'Monthly AF'!$A:$A,"&lt;="&amp;DATE(YEAR(A14),12,31))</f>
        <v>5368.4902874444451</v>
      </c>
      <c r="C14" s="15">
        <f>B14-'swpCVPSupplyData_CCA1_v3.7.0__B'!B15</f>
        <v>-2.4555554773542099E-5</v>
      </c>
    </row>
    <row r="15" spans="1:3" x14ac:dyDescent="0.25">
      <c r="A15" s="1">
        <v>12785</v>
      </c>
      <c r="B15" s="6">
        <f>SUMIFS('Monthly AF'!$B:$B,'Monthly AF'!$A:$A,"&gt;="&amp;DATE(YEAR(A15),1,1),'Monthly AF'!$A:$A,"&lt;="&amp;DATE(YEAR(A15),12,31))</f>
        <v>25031.459793463706</v>
      </c>
      <c r="C15" s="15">
        <f>B15-'swpCVPSupplyData_CCA1_v3.7.0__B'!B16</f>
        <v>-3.7653629260603338E-4</v>
      </c>
    </row>
    <row r="16" spans="1:3" x14ac:dyDescent="0.25">
      <c r="A16" s="1">
        <v>13150</v>
      </c>
      <c r="B16" s="6">
        <f>SUMIFS('Monthly AF'!$B:$B,'Monthly AF'!$A:$A,"&gt;="&amp;DATE(YEAR(A16),1,1),'Monthly AF'!$A:$A,"&lt;="&amp;DATE(YEAR(A16),12,31))</f>
        <v>25279.197510919734</v>
      </c>
      <c r="C16" s="15">
        <f>B16-'swpCVPSupplyData_CCA1_v3.7.0__B'!B17</f>
        <v>-3.8908026544959284E-4</v>
      </c>
    </row>
    <row r="17" spans="1:3" x14ac:dyDescent="0.25">
      <c r="A17" s="1">
        <v>13516</v>
      </c>
      <c r="B17" s="6">
        <f>SUMIFS('Monthly AF'!$B:$B,'Monthly AF'!$A:$A,"&gt;="&amp;DATE(YEAR(A17),1,1),'Monthly AF'!$A:$A,"&lt;="&amp;DATE(YEAR(A17),12,31))</f>
        <v>24783.074789902093</v>
      </c>
      <c r="C17" s="15">
        <f>B17-'swpCVPSupplyData_CCA1_v3.7.0__B'!B18</f>
        <v>-4.1509790753480047E-4</v>
      </c>
    </row>
    <row r="18" spans="1:3" x14ac:dyDescent="0.25">
      <c r="A18" s="1">
        <v>13881</v>
      </c>
      <c r="B18" s="6">
        <f>SUMIFS('Monthly AF'!$B:$B,'Monthly AF'!$A:$A,"&gt;="&amp;DATE(YEAR(A18),1,1),'Monthly AF'!$A:$A,"&lt;="&amp;DATE(YEAR(A18),12,31))</f>
        <v>27500.000001818182</v>
      </c>
      <c r="C18" s="15">
        <f>B18-'swpCVPSupplyData_CCA1_v3.7.0__B'!B19</f>
        <v>-3.9318181734415703E-4</v>
      </c>
    </row>
    <row r="19" spans="1:3" x14ac:dyDescent="0.25">
      <c r="A19" s="1">
        <v>14246</v>
      </c>
      <c r="B19" s="6">
        <f>SUMIFS('Monthly AF'!$B:$B,'Monthly AF'!$A:$A,"&gt;="&amp;DATE(YEAR(A19),1,1),'Monthly AF'!$A:$A,"&lt;="&amp;DATE(YEAR(A19),12,31))</f>
        <v>20471.72286008923</v>
      </c>
      <c r="C19" s="15">
        <f>B19-'swpCVPSupplyData_CCA1_v3.7.0__B'!B20</f>
        <v>2.2308923144009896E-4</v>
      </c>
    </row>
    <row r="20" spans="1:3" x14ac:dyDescent="0.25">
      <c r="A20" s="1">
        <v>14611</v>
      </c>
      <c r="B20" s="6">
        <f>SUMIFS('Monthly AF'!$B:$B,'Monthly AF'!$A:$A,"&gt;="&amp;DATE(YEAR(A20),1,1),'Monthly AF'!$A:$A,"&lt;="&amp;DATE(YEAR(A20),12,31))</f>
        <v>20847.573465508965</v>
      </c>
      <c r="C20" s="15">
        <f>B20-'swpCVPSupplyData_CCA1_v3.7.0__B'!B21</f>
        <v>-3.0049103588680737E-4</v>
      </c>
    </row>
    <row r="21" spans="1:3" x14ac:dyDescent="0.25">
      <c r="A21" s="1">
        <v>14977</v>
      </c>
      <c r="B21" s="6">
        <f>SUMIFS('Monthly AF'!$B:$B,'Monthly AF'!$A:$A,"&gt;="&amp;DATE(YEAR(A21),1,1),'Monthly AF'!$A:$A,"&lt;="&amp;DATE(YEAR(A21),12,31))</f>
        <v>26416.716625244353</v>
      </c>
      <c r="C21" s="15">
        <f>B21-'swpCVPSupplyData_CCA1_v3.7.0__B'!B22</f>
        <v>-4.1575564682716504E-4</v>
      </c>
    </row>
    <row r="22" spans="1:3" x14ac:dyDescent="0.25">
      <c r="A22" s="1">
        <v>15342</v>
      </c>
      <c r="B22" s="6">
        <f>SUMIFS('Monthly AF'!$B:$B,'Monthly AF'!$A:$A,"&gt;="&amp;DATE(YEAR(A22),1,1),'Monthly AF'!$A:$A,"&lt;="&amp;DATE(YEAR(A22),12,31))</f>
        <v>27296.340709116281</v>
      </c>
      <c r="C22" s="15">
        <f>B22-'swpCVPSupplyData_CCA1_v3.7.0__B'!B23</f>
        <v>-4.0088372043101117E-4</v>
      </c>
    </row>
    <row r="23" spans="1:3" x14ac:dyDescent="0.25">
      <c r="A23" s="1">
        <v>15707</v>
      </c>
      <c r="B23" s="6">
        <f>SUMIFS('Monthly AF'!$B:$B,'Monthly AF'!$A:$A,"&gt;="&amp;DATE(YEAR(A23),1,1),'Monthly AF'!$A:$A,"&lt;="&amp;DATE(YEAR(A23),12,31))</f>
        <v>27361.694877702394</v>
      </c>
      <c r="C23" s="15">
        <f>B23-'swpCVPSupplyData_CCA1_v3.7.0__B'!B24</f>
        <v>-3.9529760761070065E-4</v>
      </c>
    </row>
    <row r="24" spans="1:3" x14ac:dyDescent="0.25">
      <c r="A24" s="1">
        <v>16072</v>
      </c>
      <c r="B24" s="6">
        <f>SUMIFS('Monthly AF'!$B:$B,'Monthly AF'!$A:$A,"&gt;="&amp;DATE(YEAR(A24),1,1),'Monthly AF'!$A:$A,"&lt;="&amp;DATE(YEAR(A24),12,31))</f>
        <v>13042.802251720228</v>
      </c>
      <c r="C24" s="15">
        <f>B24-'swpCVPSupplyData_CCA1_v3.7.0__B'!B25</f>
        <v>-2.9279772206791677E-5</v>
      </c>
    </row>
    <row r="25" spans="1:3" x14ac:dyDescent="0.25">
      <c r="A25" s="1">
        <v>16438</v>
      </c>
      <c r="B25" s="6">
        <f>SUMIFS('Monthly AF'!$B:$B,'Monthly AF'!$A:$A,"&gt;="&amp;DATE(YEAR(A25),1,1),'Monthly AF'!$A:$A,"&lt;="&amp;DATE(YEAR(A25),12,31))</f>
        <v>25527.509451347163</v>
      </c>
      <c r="C25" s="15">
        <f>B25-'swpCVPSupplyData_CCA1_v3.7.0__B'!B26</f>
        <v>-3.8765283534303308E-4</v>
      </c>
    </row>
    <row r="26" spans="1:3" x14ac:dyDescent="0.25">
      <c r="A26" s="1">
        <v>16803</v>
      </c>
      <c r="B26" s="6">
        <f>SUMIFS('Monthly AF'!$B:$B,'Monthly AF'!$A:$A,"&gt;="&amp;DATE(YEAR(A26),1,1),'Monthly AF'!$A:$A,"&lt;="&amp;DATE(YEAR(A26),12,31))</f>
        <v>26242.640613049774</v>
      </c>
      <c r="C26" s="15">
        <f>B26-'swpCVPSupplyData_CCA1_v3.7.0__B'!B27</f>
        <v>2.350497743464075E-4</v>
      </c>
    </row>
    <row r="27" spans="1:3" x14ac:dyDescent="0.25">
      <c r="A27" s="1">
        <v>17168</v>
      </c>
      <c r="B27" s="6">
        <f>SUMIFS('Monthly AF'!$B:$B,'Monthly AF'!$A:$A,"&gt;="&amp;DATE(YEAR(A27),1,1),'Monthly AF'!$A:$A,"&lt;="&amp;DATE(YEAR(A27),12,31))</f>
        <v>14179.091397406475</v>
      </c>
      <c r="C27" s="15">
        <f>B27-'swpCVPSupplyData_CCA1_v3.7.0__B'!B28</f>
        <v>-1.1959352559642866E-4</v>
      </c>
    </row>
    <row r="28" spans="1:3" x14ac:dyDescent="0.25">
      <c r="A28" s="1">
        <v>17533</v>
      </c>
      <c r="B28" s="6">
        <f>SUMIFS('Monthly AF'!$B:$B,'Monthly AF'!$A:$A,"&gt;="&amp;DATE(YEAR(A28),1,1),'Monthly AF'!$A:$A,"&lt;="&amp;DATE(YEAR(A28),12,31))</f>
        <v>22686.544617711443</v>
      </c>
      <c r="C28" s="15">
        <f>B28-'swpCVPSupplyData_CCA1_v3.7.0__B'!B29</f>
        <v>-1.1328855907777324E-4</v>
      </c>
    </row>
    <row r="29" spans="1:3" x14ac:dyDescent="0.25">
      <c r="A29" s="1">
        <v>17899</v>
      </c>
      <c r="B29" s="6">
        <f>SUMIFS('Monthly AF'!$B:$B,'Monthly AF'!$A:$A,"&gt;="&amp;DATE(YEAR(A29),1,1),'Monthly AF'!$A:$A,"&lt;="&amp;DATE(YEAR(A29),12,31))</f>
        <v>5569.665770785512</v>
      </c>
      <c r="C29" s="15">
        <f>B29-'swpCVPSupplyData_CCA1_v3.7.0__B'!B30</f>
        <v>6.578551165148383E-5</v>
      </c>
    </row>
    <row r="30" spans="1:3" x14ac:dyDescent="0.25">
      <c r="A30" s="1">
        <v>18264</v>
      </c>
      <c r="B30" s="6">
        <f>SUMIFS('Monthly AF'!$B:$B,'Monthly AF'!$A:$A,"&gt;="&amp;DATE(YEAR(A30),1,1),'Monthly AF'!$A:$A,"&lt;="&amp;DATE(YEAR(A30),12,31))</f>
        <v>15891.84548265209</v>
      </c>
      <c r="C30" s="15">
        <f>B30-'swpCVPSupplyData_CCA1_v3.7.0__B'!B31</f>
        <v>2.0652090825024061E-5</v>
      </c>
    </row>
    <row r="31" spans="1:3" x14ac:dyDescent="0.25">
      <c r="A31" s="1">
        <v>18629</v>
      </c>
      <c r="B31" s="6">
        <f>SUMIFS('Monthly AF'!$B:$B,'Monthly AF'!$A:$A,"&gt;="&amp;DATE(YEAR(A31),1,1),'Monthly AF'!$A:$A,"&lt;="&amp;DATE(YEAR(A31),12,31))</f>
        <v>27500.000001818182</v>
      </c>
      <c r="C31" s="15">
        <f>B31-'swpCVPSupplyData_CCA1_v3.7.0__B'!B32</f>
        <v>-3.9318181734415703E-4</v>
      </c>
    </row>
    <row r="32" spans="1:3" x14ac:dyDescent="0.25">
      <c r="A32" s="1">
        <v>18994</v>
      </c>
      <c r="B32" s="6">
        <f>SUMIFS('Monthly AF'!$B:$B,'Monthly AF'!$A:$A,"&gt;="&amp;DATE(YEAR(A32),1,1),'Monthly AF'!$A:$A,"&lt;="&amp;DATE(YEAR(A32),12,31))</f>
        <v>27500.000001818182</v>
      </c>
      <c r="C32" s="15">
        <f>B32-'swpCVPSupplyData_CCA1_v3.7.0__B'!B33</f>
        <v>-3.7018181683379225E-4</v>
      </c>
    </row>
    <row r="33" spans="1:3" x14ac:dyDescent="0.25">
      <c r="A33" s="1">
        <v>19360</v>
      </c>
      <c r="B33" s="6">
        <f>SUMIFS('Monthly AF'!$B:$B,'Monthly AF'!$A:$A,"&gt;="&amp;DATE(YEAR(A33),1,1),'Monthly AF'!$A:$A,"&lt;="&amp;DATE(YEAR(A33),12,31))</f>
        <v>27500.000001818196</v>
      </c>
      <c r="C33" s="15">
        <f>B33-'swpCVPSupplyData_CCA1_v3.7.0__B'!B34</f>
        <v>-3.931818027922418E-4</v>
      </c>
    </row>
    <row r="34" spans="1:3" x14ac:dyDescent="0.25">
      <c r="A34" s="1">
        <v>19725</v>
      </c>
      <c r="B34" s="6">
        <f>SUMIFS('Monthly AF'!$B:$B,'Monthly AF'!$A:$A,"&gt;="&amp;DATE(YEAR(A34),1,1),'Monthly AF'!$A:$A,"&lt;="&amp;DATE(YEAR(A34),12,31))</f>
        <v>25451.400453493221</v>
      </c>
      <c r="C34" s="15">
        <f>B34-'swpCVPSupplyData_CCA1_v3.7.0__B'!B35</f>
        <v>-3.4150678038713522E-4</v>
      </c>
    </row>
    <row r="35" spans="1:3" x14ac:dyDescent="0.25">
      <c r="A35" s="1">
        <v>20090</v>
      </c>
      <c r="B35" s="6">
        <f>SUMIFS('Monthly AF'!$B:$B,'Monthly AF'!$A:$A,"&gt;="&amp;DATE(YEAR(A35),1,1),'Monthly AF'!$A:$A,"&lt;="&amp;DATE(YEAR(A35),12,31))</f>
        <v>5555.0728981761258</v>
      </c>
      <c r="C35" s="15">
        <f>B35-'swpCVPSupplyData_CCA1_v3.7.0__B'!B36</f>
        <v>8.7176125816768035E-5</v>
      </c>
    </row>
    <row r="36" spans="1:3" x14ac:dyDescent="0.25">
      <c r="A36" s="1">
        <v>20455</v>
      </c>
      <c r="B36" s="6">
        <f>SUMIFS('Monthly AF'!$B:$B,'Monthly AF'!$A:$A,"&gt;="&amp;DATE(YEAR(A36),1,1),'Monthly AF'!$A:$A,"&lt;="&amp;DATE(YEAR(A36),12,31))</f>
        <v>27500.000001818185</v>
      </c>
      <c r="C36" s="15">
        <f>B36-'swpCVPSupplyData_CCA1_v3.7.0__B'!B37</f>
        <v>-3.7018181319581345E-4</v>
      </c>
    </row>
    <row r="37" spans="1:3" x14ac:dyDescent="0.25">
      <c r="A37" s="1">
        <v>20821</v>
      </c>
      <c r="B37" s="6">
        <f>SUMIFS('Monthly AF'!$B:$B,'Monthly AF'!$A:$A,"&gt;="&amp;DATE(YEAR(A37),1,1),'Monthly AF'!$A:$A,"&lt;="&amp;DATE(YEAR(A37),12,31))</f>
        <v>20534.419724351901</v>
      </c>
      <c r="C37" s="15">
        <f>B37-'swpCVPSupplyData_CCA1_v3.7.0__B'!B38</f>
        <v>4.4351902033668011E-5</v>
      </c>
    </row>
    <row r="38" spans="1:3" x14ac:dyDescent="0.25">
      <c r="A38" s="1">
        <v>21186</v>
      </c>
      <c r="B38" s="6">
        <f>SUMIFS('Monthly AF'!$B:$B,'Monthly AF'!$A:$A,"&gt;="&amp;DATE(YEAR(A38),1,1),'Monthly AF'!$A:$A,"&lt;="&amp;DATE(YEAR(A38),12,31))</f>
        <v>26055.288734346967</v>
      </c>
      <c r="C38" s="15">
        <f>B38-'swpCVPSupplyData_CCA1_v3.7.0__B'!B39</f>
        <v>-4.0565303424955346E-4</v>
      </c>
    </row>
    <row r="39" spans="1:3" x14ac:dyDescent="0.25">
      <c r="A39" s="1">
        <v>21551</v>
      </c>
      <c r="B39" s="6">
        <f>SUMIFS('Monthly AF'!$B:$B,'Monthly AF'!$A:$A,"&gt;="&amp;DATE(YEAR(A39),1,1),'Monthly AF'!$A:$A,"&lt;="&amp;DATE(YEAR(A39),12,31))</f>
        <v>21948.639931443387</v>
      </c>
      <c r="C39" s="15">
        <f>B39-'swpCVPSupplyData_CCA1_v3.7.0__B'!B40</f>
        <v>1.3944338570581749E-4</v>
      </c>
    </row>
    <row r="40" spans="1:3" x14ac:dyDescent="0.25">
      <c r="A40" s="1">
        <v>21916</v>
      </c>
      <c r="B40" s="6">
        <f>SUMIFS('Monthly AF'!$B:$B,'Monthly AF'!$A:$A,"&gt;="&amp;DATE(YEAR(A40),1,1),'Monthly AF'!$A:$A,"&lt;="&amp;DATE(YEAR(A40),12,31))</f>
        <v>13594.357089522397</v>
      </c>
      <c r="C40" s="15">
        <f>B40-'swpCVPSupplyData_CCA1_v3.7.0__B'!B41</f>
        <v>-1.1477603038656525E-5</v>
      </c>
    </row>
    <row r="41" spans="1:3" x14ac:dyDescent="0.25">
      <c r="A41" s="1">
        <v>22282</v>
      </c>
      <c r="B41" s="6">
        <f>SUMIFS('Monthly AF'!$B:$B,'Monthly AF'!$A:$A,"&gt;="&amp;DATE(YEAR(A41),1,1),'Monthly AF'!$A:$A,"&lt;="&amp;DATE(YEAR(A41),12,31))</f>
        <v>15726.409281461853</v>
      </c>
      <c r="C41" s="15">
        <f>B41-'swpCVPSupplyData_CCA1_v3.7.0__B'!B42</f>
        <v>5.4461852414533496E-5</v>
      </c>
    </row>
    <row r="42" spans="1:3" x14ac:dyDescent="0.25">
      <c r="A42" s="1">
        <v>22647</v>
      </c>
      <c r="B42" s="6">
        <f>SUMIFS('Monthly AF'!$B:$B,'Monthly AF'!$A:$A,"&gt;="&amp;DATE(YEAR(A42),1,1),'Monthly AF'!$A:$A,"&lt;="&amp;DATE(YEAR(A42),12,31))</f>
        <v>24980.986327349496</v>
      </c>
      <c r="C42" s="15">
        <f>B42-'swpCVPSupplyData_CCA1_v3.7.0__B'!B43</f>
        <v>-4.0065050416160375E-4</v>
      </c>
    </row>
    <row r="43" spans="1:3" x14ac:dyDescent="0.25">
      <c r="A43" s="1">
        <v>23012</v>
      </c>
      <c r="B43" s="6">
        <f>SUMIFS('Monthly AF'!$B:$B,'Monthly AF'!$A:$A,"&gt;="&amp;DATE(YEAR(A43),1,1),'Monthly AF'!$A:$A,"&lt;="&amp;DATE(YEAR(A43),12,31))</f>
        <v>21320.568689764841</v>
      </c>
      <c r="C43" s="15">
        <f>B43-'swpCVPSupplyData_CCA1_v3.7.0__B'!B44</f>
        <v>-1.052351581165567E-4</v>
      </c>
    </row>
    <row r="44" spans="1:3" x14ac:dyDescent="0.25">
      <c r="A44" s="1">
        <v>23377</v>
      </c>
      <c r="B44" s="6">
        <f>SUMIFS('Monthly AF'!$B:$B,'Monthly AF'!$A:$A,"&gt;="&amp;DATE(YEAR(A44),1,1),'Monthly AF'!$A:$A,"&lt;="&amp;DATE(YEAR(A44),12,31))</f>
        <v>24935.567276424688</v>
      </c>
      <c r="C44" s="15">
        <f>B44-'swpCVPSupplyData_CCA1_v3.7.0__B'!B45</f>
        <v>2.8424688935047016E-5</v>
      </c>
    </row>
    <row r="45" spans="1:3" x14ac:dyDescent="0.25">
      <c r="A45" s="1">
        <v>23743</v>
      </c>
      <c r="B45" s="6">
        <f>SUMIFS('Monthly AF'!$B:$B,'Monthly AF'!$A:$A,"&gt;="&amp;DATE(YEAR(A45),1,1),'Monthly AF'!$A:$A,"&lt;="&amp;DATE(YEAR(A45),12,31))</f>
        <v>26626.258970176365</v>
      </c>
      <c r="C45" s="15">
        <f>B45-'swpCVPSupplyData_CCA1_v3.7.0__B'!B46</f>
        <v>-3.5682363522937521E-4</v>
      </c>
    </row>
    <row r="46" spans="1:3" x14ac:dyDescent="0.25">
      <c r="A46" s="1">
        <v>24108</v>
      </c>
      <c r="B46" s="6">
        <f>SUMIFS('Monthly AF'!$B:$B,'Monthly AF'!$A:$A,"&gt;="&amp;DATE(YEAR(A46),1,1),'Monthly AF'!$A:$A,"&lt;="&amp;DATE(YEAR(A46),12,31))</f>
        <v>20235.349293640884</v>
      </c>
      <c r="C46" s="15">
        <f>B46-'swpCVPSupplyData_CCA1_v3.7.0__B'!B47</f>
        <v>2.0764088549185544E-4</v>
      </c>
    </row>
    <row r="47" spans="1:3" x14ac:dyDescent="0.25">
      <c r="A47" s="1">
        <v>24473</v>
      </c>
      <c r="B47" s="6">
        <f>SUMIFS('Monthly AF'!$B:$B,'Monthly AF'!$A:$A,"&gt;="&amp;DATE(YEAR(A47),1,1),'Monthly AF'!$A:$A,"&lt;="&amp;DATE(YEAR(A47),12,31))</f>
        <v>27104.242348232001</v>
      </c>
      <c r="C47" s="15">
        <f>B47-'swpCVPSupplyData_CCA1_v3.7.0__B'!B48</f>
        <v>-3.8376799784600735E-4</v>
      </c>
    </row>
    <row r="48" spans="1:3" x14ac:dyDescent="0.25">
      <c r="A48" s="1">
        <v>24838</v>
      </c>
      <c r="B48" s="6">
        <f>SUMIFS('Monthly AF'!$B:$B,'Monthly AF'!$A:$A,"&gt;="&amp;DATE(YEAR(A48),1,1),'Monthly AF'!$A:$A,"&lt;="&amp;DATE(YEAR(A48),12,31))</f>
        <v>26802.891969145559</v>
      </c>
      <c r="C48" s="15">
        <f>B48-'swpCVPSupplyData_CCA1_v3.7.0__B'!B49</f>
        <v>1.9414555936236866E-4</v>
      </c>
    </row>
    <row r="49" spans="1:3" x14ac:dyDescent="0.25">
      <c r="A49" s="1">
        <v>25204</v>
      </c>
      <c r="B49" s="6">
        <f>SUMIFS('Monthly AF'!$B:$B,'Monthly AF'!$A:$A,"&gt;="&amp;DATE(YEAR(A49),1,1),'Monthly AF'!$A:$A,"&lt;="&amp;DATE(YEAR(A49),12,31))</f>
        <v>27003.404487035164</v>
      </c>
      <c r="C49" s="15">
        <f>B49-'swpCVPSupplyData_CCA1_v3.7.0__B'!B50</f>
        <v>-3.7196483390289359E-4</v>
      </c>
    </row>
    <row r="50" spans="1:3" x14ac:dyDescent="0.25">
      <c r="A50" s="1">
        <v>25569</v>
      </c>
      <c r="B50" s="6">
        <f>SUMIFS('Monthly AF'!$B:$B,'Monthly AF'!$A:$A,"&gt;="&amp;DATE(YEAR(A50),1,1),'Monthly AF'!$A:$A,"&lt;="&amp;DATE(YEAR(A50),12,31))</f>
        <v>27500.000001818185</v>
      </c>
      <c r="C50" s="15">
        <f>B50-'swpCVPSupplyData_CCA1_v3.7.0__B'!B51</f>
        <v>-3.9318181370617822E-4</v>
      </c>
    </row>
    <row r="51" spans="1:3" x14ac:dyDescent="0.25">
      <c r="A51" s="1">
        <v>25934</v>
      </c>
      <c r="B51" s="6">
        <f>SUMIFS('Monthly AF'!$B:$B,'Monthly AF'!$A:$A,"&gt;="&amp;DATE(YEAR(A51),1,1),'Monthly AF'!$A:$A,"&lt;="&amp;DATE(YEAR(A51),12,31))</f>
        <v>21826.116094045894</v>
      </c>
      <c r="C51" s="15">
        <f>B51-'swpCVPSupplyData_CCA1_v3.7.0__B'!B52</f>
        <v>-3.9954105886863545E-5</v>
      </c>
    </row>
    <row r="52" spans="1:3" x14ac:dyDescent="0.25">
      <c r="A52" s="1">
        <v>26299</v>
      </c>
      <c r="B52" s="6">
        <f>SUMIFS('Monthly AF'!$B:$B,'Monthly AF'!$A:$A,"&gt;="&amp;DATE(YEAR(A52),1,1),'Monthly AF'!$A:$A,"&lt;="&amp;DATE(YEAR(A52),12,31))</f>
        <v>18618.172141247036</v>
      </c>
      <c r="C52" s="15">
        <f>B52-'swpCVPSupplyData_CCA1_v3.7.0__B'!B53</f>
        <v>-1.1375296526239254E-4</v>
      </c>
    </row>
    <row r="53" spans="1:3" x14ac:dyDescent="0.25">
      <c r="A53" s="1">
        <v>26665</v>
      </c>
      <c r="B53" s="6">
        <f>SUMIFS('Monthly AF'!$B:$B,'Monthly AF'!$A:$A,"&gt;="&amp;DATE(YEAR(A53),1,1),'Monthly AF'!$A:$A,"&lt;="&amp;DATE(YEAR(A53),12,31))</f>
        <v>27278.267914264579</v>
      </c>
      <c r="C53" s="15">
        <f>B53-'swpCVPSupplyData_CCA1_v3.7.0__B'!B54</f>
        <v>-3.8673542076139711E-4</v>
      </c>
    </row>
    <row r="54" spans="1:3" x14ac:dyDescent="0.25">
      <c r="A54" s="1">
        <v>27030</v>
      </c>
      <c r="B54" s="6">
        <f>SUMIFS('Monthly AF'!$B:$B,'Monthly AF'!$A:$A,"&gt;="&amp;DATE(YEAR(A54),1,1),'Monthly AF'!$A:$A,"&lt;="&amp;DATE(YEAR(A54),12,31))</f>
        <v>27346.398891574408</v>
      </c>
      <c r="C54" s="15">
        <f>B54-'swpCVPSupplyData_CCA1_v3.7.0__B'!B55</f>
        <v>-3.8242559094214812E-4</v>
      </c>
    </row>
    <row r="55" spans="1:3" x14ac:dyDescent="0.25">
      <c r="A55" s="1">
        <v>27395</v>
      </c>
      <c r="B55" s="6">
        <f>SUMIFS('Monthly AF'!$B:$B,'Monthly AF'!$A:$A,"&gt;="&amp;DATE(YEAR(A55),1,1),'Monthly AF'!$A:$A,"&lt;="&amp;DATE(YEAR(A55),12,31))</f>
        <v>27500.000001818189</v>
      </c>
      <c r="C55" s="15">
        <f>B55-'swpCVPSupplyData_CCA1_v3.7.0__B'!B56</f>
        <v>-3.9318181006819941E-4</v>
      </c>
    </row>
    <row r="56" spans="1:3" x14ac:dyDescent="0.25">
      <c r="A56" s="1">
        <v>27760</v>
      </c>
      <c r="B56" s="6">
        <f>SUMIFS('Monthly AF'!$B:$B,'Monthly AF'!$A:$A,"&gt;="&amp;DATE(YEAR(A56),1,1),'Monthly AF'!$A:$A,"&lt;="&amp;DATE(YEAR(A56),12,31))</f>
        <v>13388.25943215519</v>
      </c>
      <c r="C56" s="15">
        <f>B56-'swpCVPSupplyData_CCA1_v3.7.0__B'!B57</f>
        <v>-1.8784481108014006E-4</v>
      </c>
    </row>
    <row r="57" spans="1:3" x14ac:dyDescent="0.25">
      <c r="A57" s="1">
        <v>28126</v>
      </c>
      <c r="B57" s="6">
        <f>SUMIFS('Monthly AF'!$B:$B,'Monthly AF'!$A:$A,"&gt;="&amp;DATE(YEAR(A57),1,1),'Monthly AF'!$A:$A,"&lt;="&amp;DATE(YEAR(A57),12,31))</f>
        <v>3053.3378509538502</v>
      </c>
      <c r="C57" s="15">
        <f>B57-'swpCVPSupplyData_CCA1_v3.7.0__B'!B58</f>
        <v>-9.0461498984950595E-6</v>
      </c>
    </row>
    <row r="58" spans="1:3" x14ac:dyDescent="0.25">
      <c r="A58" s="1">
        <v>28491</v>
      </c>
      <c r="B58" s="6">
        <f>SUMIFS('Monthly AF'!$B:$B,'Monthly AF'!$A:$A,"&gt;="&amp;DATE(YEAR(A58),1,1),'Monthly AF'!$A:$A,"&lt;="&amp;DATE(YEAR(A58),12,31))</f>
        <v>25743.764418551858</v>
      </c>
      <c r="C58" s="15">
        <f>B58-'swpCVPSupplyData_CCA1_v3.7.0__B'!B59</f>
        <v>-3.7344814336393028E-4</v>
      </c>
    </row>
    <row r="59" spans="1:3" x14ac:dyDescent="0.25">
      <c r="A59" s="1">
        <v>28856</v>
      </c>
      <c r="B59" s="6">
        <f>SUMIFS('Monthly AF'!$B:$B,'Monthly AF'!$A:$A,"&gt;="&amp;DATE(YEAR(A59),1,1),'Monthly AF'!$A:$A,"&lt;="&amp;DATE(YEAR(A59),12,31))</f>
        <v>24912.429790616588</v>
      </c>
      <c r="C59" s="15">
        <f>B59-'swpCVPSupplyData_CCA1_v3.7.0__B'!B60</f>
        <v>-3.7938341120025143E-4</v>
      </c>
    </row>
    <row r="60" spans="1:3" x14ac:dyDescent="0.25">
      <c r="A60" s="1">
        <v>29221</v>
      </c>
      <c r="B60" s="6">
        <f>SUMIFS('Monthly AF'!$B:$B,'Monthly AF'!$A:$A,"&gt;="&amp;DATE(YEAR(A60),1,1),'Monthly AF'!$A:$A,"&lt;="&amp;DATE(YEAR(A60),12,31))</f>
        <v>27171.85306273857</v>
      </c>
      <c r="C60" s="15">
        <f>B60-'swpCVPSupplyData_CCA1_v3.7.0__B'!B61</f>
        <v>-3.5026143086724915E-4</v>
      </c>
    </row>
    <row r="61" spans="1:3" x14ac:dyDescent="0.25">
      <c r="A61" s="1">
        <v>29587</v>
      </c>
      <c r="B61" s="6">
        <f>SUMIFS('Monthly AF'!$B:$B,'Monthly AF'!$A:$A,"&gt;="&amp;DATE(YEAR(A61),1,1),'Monthly AF'!$A:$A,"&lt;="&amp;DATE(YEAR(A61),12,31))</f>
        <v>14583.228781581147</v>
      </c>
      <c r="C61" s="15">
        <f>B61-'swpCVPSupplyData_CCA1_v3.7.0__B'!B62</f>
        <v>-4.04188522225013E-5</v>
      </c>
    </row>
    <row r="62" spans="1:3" x14ac:dyDescent="0.25">
      <c r="A62" s="1">
        <v>29952</v>
      </c>
      <c r="B62" s="6">
        <f>SUMIFS('Monthly AF'!$B:$B,'Monthly AF'!$A:$A,"&gt;="&amp;DATE(YEAR(A62),1,1),'Monthly AF'!$A:$A,"&lt;="&amp;DATE(YEAR(A62),12,31))</f>
        <v>27500.000001818182</v>
      </c>
      <c r="C62" s="15">
        <f>B62-'swpCVPSupplyData_CCA1_v3.7.0__B'!B63</f>
        <v>-3.9318181734415703E-4</v>
      </c>
    </row>
    <row r="63" spans="1:3" x14ac:dyDescent="0.25">
      <c r="A63" s="1">
        <v>30317</v>
      </c>
      <c r="B63" s="6">
        <f>SUMIFS('Monthly AF'!$B:$B,'Monthly AF'!$A:$A,"&gt;="&amp;DATE(YEAR(A63),1,1),'Monthly AF'!$A:$A,"&lt;="&amp;DATE(YEAR(A63),12,31))</f>
        <v>27500.000001818182</v>
      </c>
      <c r="C63" s="15">
        <f>B63-'swpCVPSupplyData_CCA1_v3.7.0__B'!B64</f>
        <v>-3.9318181734415703E-4</v>
      </c>
    </row>
    <row r="64" spans="1:3" x14ac:dyDescent="0.25">
      <c r="A64" s="1">
        <v>30682</v>
      </c>
      <c r="B64" s="6">
        <f>SUMIFS('Monthly AF'!$B:$B,'Monthly AF'!$A:$A,"&gt;="&amp;DATE(YEAR(A64),1,1),'Monthly AF'!$A:$A,"&lt;="&amp;DATE(YEAR(A64),12,31))</f>
        <v>27500.000001818189</v>
      </c>
      <c r="C64" s="15">
        <f>B64-'swpCVPSupplyData_CCA1_v3.7.0__B'!B65</f>
        <v>-3.7018180955783464E-4</v>
      </c>
    </row>
    <row r="65" spans="1:3" x14ac:dyDescent="0.25">
      <c r="A65" s="1">
        <v>31048</v>
      </c>
      <c r="B65" s="6">
        <f>SUMIFS('Monthly AF'!$B:$B,'Monthly AF'!$A:$A,"&gt;="&amp;DATE(YEAR(A65),1,1),'Monthly AF'!$A:$A,"&lt;="&amp;DATE(YEAR(A65),12,31))</f>
        <v>20956.142928484307</v>
      </c>
      <c r="C65" s="15">
        <f>B65-'swpCVPSupplyData_CCA1_v3.7.0__B'!B66</f>
        <v>2.484306605765596E-6</v>
      </c>
    </row>
    <row r="66" spans="1:3" x14ac:dyDescent="0.25">
      <c r="A66" s="1">
        <v>31413</v>
      </c>
      <c r="B66" s="6">
        <f>SUMIFS('Monthly AF'!$B:$B,'Monthly AF'!$A:$A,"&gt;="&amp;DATE(YEAR(A66),1,1),'Monthly AF'!$A:$A,"&lt;="&amp;DATE(YEAR(A66),12,31))</f>
        <v>25459.009785685419</v>
      </c>
      <c r="C66" s="15">
        <f>B66-'swpCVPSupplyData_CCA1_v3.7.0__B'!B67</f>
        <v>-3.98314579797443E-4</v>
      </c>
    </row>
    <row r="67" spans="1:3" x14ac:dyDescent="0.25">
      <c r="A67" s="1">
        <v>31778</v>
      </c>
      <c r="B67" s="6">
        <f>SUMIFS('Monthly AF'!$B:$B,'Monthly AF'!$A:$A,"&gt;="&amp;DATE(YEAR(A67),1,1),'Monthly AF'!$A:$A,"&lt;="&amp;DATE(YEAR(A67),12,31))</f>
        <v>6708.544643322597</v>
      </c>
      <c r="C67" s="15">
        <f>B67-'swpCVPSupplyData_CCA1_v3.7.0__B'!B68</f>
        <v>1.3932259662396973E-4</v>
      </c>
    </row>
    <row r="68" spans="1:3" x14ac:dyDescent="0.25">
      <c r="A68" s="1">
        <v>32143</v>
      </c>
      <c r="B68" s="6">
        <f>SUMIFS('Monthly AF'!$B:$B,'Monthly AF'!$A:$A,"&gt;="&amp;DATE(YEAR(A68),1,1),'Monthly AF'!$A:$A,"&lt;="&amp;DATE(YEAR(A68),12,31))</f>
        <v>3766.6951892323814</v>
      </c>
      <c r="C68" s="15">
        <f>B68-'swpCVPSupplyData_CCA1_v3.7.0__B'!B69</f>
        <v>-6.8767618813581066E-5</v>
      </c>
    </row>
    <row r="69" spans="1:3" x14ac:dyDescent="0.25">
      <c r="A69" s="1">
        <v>32509</v>
      </c>
      <c r="B69" s="6">
        <f>SUMIFS('Monthly AF'!$B:$B,'Monthly AF'!$A:$A,"&gt;="&amp;DATE(YEAR(A69),1,1),'Monthly AF'!$A:$A,"&lt;="&amp;DATE(YEAR(A69),12,31))</f>
        <v>25083.815767191914</v>
      </c>
      <c r="C69" s="15">
        <f>B69-'swpCVPSupplyData_CCA1_v3.7.0__B'!B70</f>
        <v>-3.9680808549746871E-4</v>
      </c>
    </row>
    <row r="70" spans="1:3" x14ac:dyDescent="0.25">
      <c r="A70" s="1">
        <v>32874</v>
      </c>
      <c r="B70" s="6">
        <f>SUMIFS('Monthly AF'!$B:$B,'Monthly AF'!$A:$A,"&gt;="&amp;DATE(YEAR(A70),1,1),'Monthly AF'!$A:$A,"&lt;="&amp;DATE(YEAR(A70),12,31))</f>
        <v>3531.7799069327466</v>
      </c>
      <c r="C70" s="15">
        <f>B70-'swpCVPSupplyData_CCA1_v3.7.0__B'!B71</f>
        <v>3.1932746423990466E-5</v>
      </c>
    </row>
    <row r="71" spans="1:3" x14ac:dyDescent="0.25">
      <c r="A71" s="1">
        <v>33239</v>
      </c>
      <c r="B71" s="6">
        <f>SUMIFS('Monthly AF'!$B:$B,'Monthly AF'!$A:$A,"&gt;="&amp;DATE(YEAR(A71),1,1),'Monthly AF'!$A:$A,"&lt;="&amp;DATE(YEAR(A71),12,31))</f>
        <v>3756.5315241225117</v>
      </c>
      <c r="C71" s="15">
        <f>B71-'swpCVPSupplyData_CCA1_v3.7.0__B'!B72</f>
        <v>-1.9877488284691935E-5</v>
      </c>
    </row>
    <row r="72" spans="1:3" x14ac:dyDescent="0.25">
      <c r="A72" s="1">
        <v>33604</v>
      </c>
      <c r="B72" s="6">
        <f>SUMIFS('Monthly AF'!$B:$B,'Monthly AF'!$A:$A,"&gt;="&amp;DATE(YEAR(A72),1,1),'Monthly AF'!$A:$A,"&lt;="&amp;DATE(YEAR(A72),12,31))</f>
        <v>5045.440683832715</v>
      </c>
      <c r="C72" s="15">
        <f>B72-'swpCVPSupplyData_CCA1_v3.7.0__B'!B73</f>
        <v>8.3271515904925764E-7</v>
      </c>
    </row>
    <row r="73" spans="1:3" x14ac:dyDescent="0.25">
      <c r="A73" s="1">
        <v>33970</v>
      </c>
      <c r="B73" s="6">
        <f>SUMIFS('Monthly AF'!$B:$B,'Monthly AF'!$A:$A,"&gt;="&amp;DATE(YEAR(A73),1,1),'Monthly AF'!$A:$A,"&lt;="&amp;DATE(YEAR(A73),12,31))</f>
        <v>26169.77604406514</v>
      </c>
      <c r="C73" s="15">
        <f>B73-'swpCVPSupplyData_CCA1_v3.7.0__B'!B74</f>
        <v>-3.7793485898873769E-4</v>
      </c>
    </row>
    <row r="74" spans="1:3" x14ac:dyDescent="0.25">
      <c r="A74" s="1">
        <v>34335</v>
      </c>
      <c r="B74" s="6">
        <f>SUMIFS('Monthly AF'!$B:$B,'Monthly AF'!$A:$A,"&gt;="&amp;DATE(YEAR(A74),1,1),'Monthly AF'!$A:$A,"&lt;="&amp;DATE(YEAR(A74),12,31))</f>
        <v>9002.9232036421563</v>
      </c>
      <c r="C74" s="15">
        <f>B74-'swpCVPSupplyData_CCA1_v3.7.0__B'!B75</f>
        <v>8.6421568994410336E-6</v>
      </c>
    </row>
    <row r="75" spans="1:3" x14ac:dyDescent="0.25">
      <c r="A75" s="1">
        <v>34700</v>
      </c>
      <c r="B75" s="6">
        <f>SUMIFS('Monthly AF'!$B:$B,'Monthly AF'!$A:$A,"&gt;="&amp;DATE(YEAR(A75),1,1),'Monthly AF'!$A:$A,"&lt;="&amp;DATE(YEAR(A75),12,31))</f>
        <v>26360.283009508166</v>
      </c>
      <c r="C75" s="15">
        <f>B75-'swpCVPSupplyData_CCA1_v3.7.0__B'!B76</f>
        <v>-3.3649183387751691E-4</v>
      </c>
    </row>
    <row r="76" spans="1:3" x14ac:dyDescent="0.25">
      <c r="A76" s="1">
        <v>35065</v>
      </c>
      <c r="B76" s="6">
        <f>SUMIFS('Monthly AF'!$B:$B,'Monthly AF'!$A:$A,"&gt;="&amp;DATE(YEAR(A76),1,1),'Monthly AF'!$A:$A,"&lt;="&amp;DATE(YEAR(A76),12,31))</f>
        <v>27213.545846616031</v>
      </c>
      <c r="C76" s="15">
        <f>B76-'swpCVPSupplyData_CCA1_v3.7.0__B'!B77</f>
        <v>-3.5238396958447993E-4</v>
      </c>
    </row>
    <row r="77" spans="1:3" x14ac:dyDescent="0.25">
      <c r="A77" s="1">
        <v>35431</v>
      </c>
      <c r="B77" s="6">
        <f>SUMIFS('Monthly AF'!$B:$B,'Monthly AF'!$A:$A,"&gt;="&amp;DATE(YEAR(A77),1,1),'Monthly AF'!$A:$A,"&lt;="&amp;DATE(YEAR(A77),12,31))</f>
        <v>27500.000001818189</v>
      </c>
      <c r="C77" s="15">
        <f>B77-'swpCVPSupplyData_CCA1_v3.7.0__B'!B78</f>
        <v>-3.9318181006819941E-4</v>
      </c>
    </row>
    <row r="78" spans="1:3" x14ac:dyDescent="0.25">
      <c r="A78" s="1">
        <v>35796</v>
      </c>
      <c r="B78" s="6">
        <f>SUMIFS('Monthly AF'!$B:$B,'Monthly AF'!$A:$A,"&gt;="&amp;DATE(YEAR(A78),1,1),'Monthly AF'!$A:$A,"&lt;="&amp;DATE(YEAR(A78),12,31))</f>
        <v>26525.824200668761</v>
      </c>
      <c r="C78" s="15">
        <f>B78-'swpCVPSupplyData_CCA1_v3.7.0__B'!B79</f>
        <v>-3.7733123826910742E-4</v>
      </c>
    </row>
    <row r="79" spans="1:3" x14ac:dyDescent="0.25">
      <c r="A79" s="1">
        <v>36161</v>
      </c>
      <c r="B79" s="6">
        <f>SUMIFS('Monthly AF'!$B:$B,'Monthly AF'!$A:$A,"&gt;="&amp;DATE(YEAR(A79),1,1),'Monthly AF'!$A:$A,"&lt;="&amp;DATE(YEAR(A79),12,31))</f>
        <v>27500.000001818185</v>
      </c>
      <c r="C79" s="15">
        <f>B79-'swpCVPSupplyData_CCA1_v3.7.0__B'!B80</f>
        <v>-3.9318181370617822E-4</v>
      </c>
    </row>
    <row r="80" spans="1:3" x14ac:dyDescent="0.25">
      <c r="A80" s="1">
        <v>36526</v>
      </c>
      <c r="B80" s="6">
        <f>SUMIFS('Monthly AF'!$B:$B,'Monthly AF'!$A:$A,"&gt;="&amp;DATE(YEAR(A80),1,1),'Monthly AF'!$A:$A,"&lt;="&amp;DATE(YEAR(A80),12,31))</f>
        <v>26136.04961607005</v>
      </c>
      <c r="C80" s="15">
        <f>B80-'swpCVPSupplyData_CCA1_v3.7.0__B'!B81</f>
        <v>-4.0392994924332015E-4</v>
      </c>
    </row>
    <row r="81" spans="1:3" x14ac:dyDescent="0.25">
      <c r="A81" s="1">
        <v>36892</v>
      </c>
      <c r="B81" s="6">
        <f>SUMIFS('Monthly AF'!$B:$B,'Monthly AF'!$A:$A,"&gt;="&amp;DATE(YEAR(A81),1,1),'Monthly AF'!$A:$A,"&lt;="&amp;DATE(YEAR(A81),12,31))</f>
        <v>5833.132320956749</v>
      </c>
      <c r="C81" s="15">
        <f>B81-'swpCVPSupplyData_CCA1_v3.7.0__B'!B82</f>
        <v>-8.0432510003447533E-6</v>
      </c>
    </row>
    <row r="82" spans="1:3" x14ac:dyDescent="0.25">
      <c r="A82" s="1">
        <v>37257</v>
      </c>
      <c r="B82" s="6">
        <f>SUMIFS('Monthly AF'!$B:$B,'Monthly AF'!$A:$A,"&gt;="&amp;DATE(YEAR(A82),1,1),'Monthly AF'!$A:$A,"&lt;="&amp;DATE(YEAR(A82),12,31))</f>
        <v>18768.16029874892</v>
      </c>
      <c r="C82" s="15">
        <f>B82-'swpCVPSupplyData_CCA1_v3.7.0__B'!B83</f>
        <v>-1.9825108029181138E-4</v>
      </c>
    </row>
    <row r="83" spans="1:3" x14ac:dyDescent="0.25">
      <c r="A83" s="1">
        <v>37622</v>
      </c>
      <c r="B83" s="6">
        <f>SUMIFS('Monthly AF'!$B:$B,'Monthly AF'!$A:$A,"&gt;="&amp;DATE(YEAR(A83),1,1),'Monthly AF'!$A:$A,"&lt;="&amp;DATE(YEAR(A83),12,31))</f>
        <v>23180.664907080358</v>
      </c>
      <c r="C83" s="15">
        <f>B83-'swpCVPSupplyData_CCA1_v3.7.0__B'!B84</f>
        <v>1.6108035924844444E-4</v>
      </c>
    </row>
    <row r="84" spans="1:3" x14ac:dyDescent="0.25">
      <c r="A84" s="1">
        <v>37987</v>
      </c>
      <c r="B84" s="6">
        <f>SUMIFS('Monthly AF'!$B:$B,'Monthly AF'!$A:$A,"&gt;="&amp;DATE(YEAR(A84),1,1),'Monthly AF'!$A:$A,"&lt;="&amp;DATE(YEAR(A84),12,31))</f>
        <v>26554.29133982342</v>
      </c>
      <c r="C84" s="15">
        <f>B84-'swpCVPSupplyData_CCA1_v3.7.0__B'!B85</f>
        <v>-4.1217658144887537E-4</v>
      </c>
    </row>
    <row r="85" spans="1:3" x14ac:dyDescent="0.25">
      <c r="A85" s="1">
        <v>38353</v>
      </c>
      <c r="B85" s="6">
        <f>SUMIFS('Monthly AF'!$B:$B,'Monthly AF'!$A:$A,"&gt;="&amp;DATE(YEAR(A85),1,1),'Monthly AF'!$A:$A,"&lt;="&amp;DATE(YEAR(A85),12,31))</f>
        <v>25978.832707634207</v>
      </c>
      <c r="C85" s="15">
        <f>B85-'swpCVPSupplyData_CCA1_v3.7.0__B'!B86</f>
        <v>-3.4636579221114516E-4</v>
      </c>
    </row>
    <row r="86" spans="1:3" x14ac:dyDescent="0.25">
      <c r="A86" s="1">
        <v>38718</v>
      </c>
      <c r="B86" s="6">
        <f>SUMIFS('Monthly AF'!$B:$B,'Monthly AF'!$A:$A,"&gt;="&amp;DATE(YEAR(A86),1,1),'Monthly AF'!$A:$A,"&lt;="&amp;DATE(YEAR(A86),12,31))</f>
        <v>27500.000001818193</v>
      </c>
      <c r="C86" s="15">
        <f>B86-'swpCVPSupplyData_CCA1_v3.7.0__B'!B87</f>
        <v>-3.931818064302206E-4</v>
      </c>
    </row>
    <row r="87" spans="1:3" x14ac:dyDescent="0.25">
      <c r="A87" s="1">
        <v>39083</v>
      </c>
      <c r="B87" s="6">
        <f>SUMIFS('Monthly AF'!$B:$B,'Monthly AF'!$A:$A,"&gt;="&amp;DATE(YEAR(A87),1,1),'Monthly AF'!$A:$A,"&lt;="&amp;DATE(YEAR(A87),12,31))</f>
        <v>22525.68170354114</v>
      </c>
      <c r="C87" s="15">
        <f>B87-'swpCVPSupplyData_CCA1_v3.7.0__B'!B88</f>
        <v>2.3654114193050191E-4</v>
      </c>
    </row>
    <row r="88" spans="1:3" x14ac:dyDescent="0.25">
      <c r="A88" s="1">
        <v>39448</v>
      </c>
      <c r="B88" s="6">
        <f>SUMIFS('Monthly AF'!$B:$B,'Monthly AF'!$A:$A,"&gt;="&amp;DATE(YEAR(A88),1,1),'Monthly AF'!$A:$A,"&lt;="&amp;DATE(YEAR(A88),12,31))</f>
        <v>4391.0059725556575</v>
      </c>
      <c r="C88" s="15">
        <f>B88-'swpCVPSupplyData_CCA1_v3.7.0__B'!B89</f>
        <v>2.7555657652555965E-5</v>
      </c>
    </row>
    <row r="89" spans="1:3" x14ac:dyDescent="0.25">
      <c r="A89" s="1">
        <v>39814</v>
      </c>
      <c r="B89" s="6">
        <f>SUMIFS('Monthly AF'!$B:$B,'Monthly AF'!$A:$A,"&gt;="&amp;DATE(YEAR(A89),1,1),'Monthly AF'!$A:$A,"&lt;="&amp;DATE(YEAR(A89),12,31))</f>
        <v>16807.804346997294</v>
      </c>
      <c r="C89" s="15">
        <f>B89-'swpCVPSupplyData_CCA1_v3.7.0__B'!B90</f>
        <v>-8.0002704635262489E-5</v>
      </c>
    </row>
    <row r="90" spans="1:3" x14ac:dyDescent="0.25">
      <c r="A90" s="1">
        <v>40179</v>
      </c>
      <c r="B90" s="6">
        <f>SUMIFS('Monthly AF'!$B:$B,'Monthly AF'!$A:$A,"&gt;="&amp;DATE(YEAR(A90),1,1),'Monthly AF'!$A:$A,"&lt;="&amp;DATE(YEAR(A90),12,31))</f>
        <v>16759.73625950488</v>
      </c>
      <c r="C90" s="15">
        <f>B90-'swpCVPSupplyData_CCA1_v3.7.0__B'!B91</f>
        <v>2.0504878193605691E-5</v>
      </c>
    </row>
    <row r="91" spans="1:3" x14ac:dyDescent="0.25">
      <c r="A91" s="1">
        <v>40544</v>
      </c>
      <c r="B91" s="6">
        <f>SUMIFS('Monthly AF'!$B:$B,'Monthly AF'!$A:$A,"&gt;="&amp;DATE(YEAR(A91),1,1),'Monthly AF'!$A:$A,"&lt;="&amp;DATE(YEAR(A91),12,31))</f>
        <v>27500.000001818178</v>
      </c>
      <c r="C91" s="15">
        <f>B91-'swpCVPSupplyData_CCA1_v3.7.0__B'!B92</f>
        <v>-3.9318182098213583E-4</v>
      </c>
    </row>
    <row r="92" spans="1:3" x14ac:dyDescent="0.25">
      <c r="A92" s="1">
        <v>40909</v>
      </c>
      <c r="B92" s="6">
        <f>SUMIFS('Monthly AF'!$B:$B,'Monthly AF'!$A:$A,"&gt;="&amp;DATE(YEAR(A92),1,1),'Monthly AF'!$A:$A,"&lt;="&amp;DATE(YEAR(A92),12,31))</f>
        <v>26439.960712768338</v>
      </c>
      <c r="C92" s="15">
        <f>B92-'swpCVPSupplyData_CCA1_v3.7.0__B'!B93</f>
        <v>-4.1423166112508625E-4</v>
      </c>
    </row>
    <row r="93" spans="1:3" x14ac:dyDescent="0.25">
      <c r="A93" s="1">
        <v>41275</v>
      </c>
      <c r="B93" s="6">
        <f>SUMIFS('Monthly AF'!$B:$B,'Monthly AF'!$A:$A,"&gt;="&amp;DATE(YEAR(A93),1,1),'Monthly AF'!$A:$A,"&lt;="&amp;DATE(YEAR(A93),12,31))</f>
        <v>17186.563912191952</v>
      </c>
      <c r="C93" s="15">
        <f>B93-'swpCVPSupplyData_CCA1_v3.7.0__B'!B94</f>
        <v>2.1919513528700918E-6</v>
      </c>
    </row>
    <row r="94" spans="1:3" x14ac:dyDescent="0.25">
      <c r="A94" s="1">
        <v>41640</v>
      </c>
      <c r="B94" s="6">
        <f>SUMIFS('Monthly AF'!$B:$B,'Monthly AF'!$A:$A,"&gt;="&amp;DATE(YEAR(A94),1,1),'Monthly AF'!$A:$A,"&lt;="&amp;DATE(YEAR(A94),12,31))</f>
        <v>3381.0468281252211</v>
      </c>
      <c r="C94" s="15">
        <f>B94-'swpCVPSupplyData_CCA1_v3.7.0__B'!B95</f>
        <v>-2.8747790565830655E-6</v>
      </c>
    </row>
    <row r="95" spans="1:3" x14ac:dyDescent="0.25">
      <c r="A95" s="1">
        <v>42005</v>
      </c>
      <c r="B95" s="6">
        <f>SUMIFS('Monthly AF'!$B:$B,'Monthly AF'!$A:$A,"&gt;="&amp;DATE(YEAR(A95),1,1),'Monthly AF'!$A:$A,"&lt;="&amp;DATE(YEAR(A95),12,31))</f>
        <v>4947.701206128957</v>
      </c>
      <c r="C95" s="15">
        <f>B95-'swpCVPSupplyData_CCA1_v3.7.0__B'!B96</f>
        <v>4947.701206128957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7B75-C367-4EB7-823B-B4A2153D97B1}">
  <dimension ref="A1:M1207"/>
  <sheetViews>
    <sheetView topLeftCell="A7" workbookViewId="0">
      <selection activeCell="J7" sqref="J7"/>
    </sheetView>
  </sheetViews>
  <sheetFormatPr defaultRowHeight="15" x14ac:dyDescent="0.25"/>
  <cols>
    <col min="1" max="1" width="5.7109375" style="2" bestFit="1" customWidth="1"/>
    <col min="2" max="2" width="5.7109375" style="2" customWidth="1"/>
    <col min="3" max="3" width="6.5703125" style="2" bestFit="1" customWidth="1"/>
    <col min="4" max="4" width="11.7109375" style="2" bestFit="1" customWidth="1"/>
    <col min="5" max="5" width="17.140625" style="2" bestFit="1" customWidth="1"/>
    <col min="6" max="6" width="18.28515625" style="2" bestFit="1" customWidth="1"/>
    <col min="7" max="7" width="15.85546875" style="2" bestFit="1" customWidth="1"/>
    <col min="8" max="8" width="15.85546875" style="2" customWidth="1"/>
    <col min="9" max="9" width="9.140625" style="2"/>
    <col min="10" max="10" width="9.140625" style="11"/>
    <col min="11" max="11" width="23" style="2" customWidth="1"/>
    <col min="12" max="12" width="9.140625" style="2"/>
    <col min="13" max="13" width="11.5703125" style="2" bestFit="1" customWidth="1"/>
    <col min="14" max="16384" width="9.140625" style="2"/>
  </cols>
  <sheetData>
    <row r="1" spans="1:13" x14ac:dyDescent="0.25">
      <c r="A1" s="5" t="s">
        <v>56</v>
      </c>
      <c r="B1" s="5"/>
      <c r="C1" s="5"/>
      <c r="D1" s="5" t="s">
        <v>44</v>
      </c>
      <c r="E1" s="5" t="s">
        <v>55</v>
      </c>
      <c r="F1" s="5" t="s">
        <v>55</v>
      </c>
      <c r="G1" s="5"/>
      <c r="H1" s="5"/>
    </row>
    <row r="2" spans="1:13" x14ac:dyDescent="0.25">
      <c r="A2" s="5" t="s">
        <v>54</v>
      </c>
      <c r="B2" s="5"/>
      <c r="C2" s="5"/>
      <c r="D2" s="5" t="s">
        <v>44</v>
      </c>
      <c r="E2" s="5" t="s">
        <v>61</v>
      </c>
      <c r="F2" s="5" t="s">
        <v>60</v>
      </c>
      <c r="G2" s="5" t="s">
        <v>61</v>
      </c>
      <c r="H2" s="5"/>
    </row>
    <row r="3" spans="1:13" x14ac:dyDescent="0.25">
      <c r="A3" s="5" t="s">
        <v>52</v>
      </c>
      <c r="B3" s="5"/>
      <c r="C3" s="5"/>
      <c r="D3" s="5" t="s">
        <v>44</v>
      </c>
      <c r="E3" s="5" t="s">
        <v>51</v>
      </c>
      <c r="F3" s="5" t="s">
        <v>59</v>
      </c>
      <c r="G3" s="5" t="s">
        <v>51</v>
      </c>
      <c r="H3" s="5"/>
    </row>
    <row r="4" spans="1:13" x14ac:dyDescent="0.25">
      <c r="A4" s="5" t="s">
        <v>50</v>
      </c>
      <c r="B4" s="5"/>
      <c r="C4" s="5"/>
      <c r="D4" s="5" t="s">
        <v>44</v>
      </c>
      <c r="E4" s="5" t="s">
        <v>44</v>
      </c>
      <c r="F4" s="5" t="s">
        <v>44</v>
      </c>
      <c r="G4" s="5" t="s">
        <v>44</v>
      </c>
      <c r="H4" s="5"/>
    </row>
    <row r="5" spans="1:13" x14ac:dyDescent="0.25">
      <c r="A5" s="5" t="s">
        <v>49</v>
      </c>
      <c r="B5" s="5"/>
      <c r="C5" s="5"/>
      <c r="D5" s="5" t="s">
        <v>44</v>
      </c>
      <c r="E5" s="5" t="s">
        <v>48</v>
      </c>
      <c r="F5" s="5" t="s">
        <v>48</v>
      </c>
      <c r="G5" s="5" t="s">
        <v>48</v>
      </c>
      <c r="H5" s="5"/>
    </row>
    <row r="6" spans="1:13" x14ac:dyDescent="0.25">
      <c r="A6" s="5" t="s">
        <v>47</v>
      </c>
      <c r="B6" s="5"/>
      <c r="C6" s="5"/>
      <c r="D6" s="5" t="s">
        <v>44</v>
      </c>
      <c r="E6" s="5" t="s">
        <v>46</v>
      </c>
      <c r="F6" s="5" t="s">
        <v>58</v>
      </c>
      <c r="G6" s="5" t="s">
        <v>62</v>
      </c>
      <c r="H6" s="5"/>
    </row>
    <row r="7" spans="1:13" x14ac:dyDescent="0.25">
      <c r="A7" s="5" t="s">
        <v>45</v>
      </c>
      <c r="B7" s="5" t="s">
        <v>63</v>
      </c>
      <c r="C7" s="5" t="s">
        <v>64</v>
      </c>
      <c r="D7" s="5" t="s">
        <v>44</v>
      </c>
      <c r="E7" s="5" t="s">
        <v>43</v>
      </c>
      <c r="F7" s="5" t="s">
        <v>43</v>
      </c>
      <c r="G7" s="5"/>
      <c r="H7" s="5"/>
      <c r="J7" s="11" t="s">
        <v>65</v>
      </c>
      <c r="K7" s="2" t="s">
        <v>66</v>
      </c>
      <c r="L7" s="2" t="s">
        <v>67</v>
      </c>
    </row>
    <row r="8" spans="1:13" x14ac:dyDescent="0.25">
      <c r="A8" s="2">
        <v>1</v>
      </c>
      <c r="B8" s="2">
        <f>YEAR(D8)</f>
        <v>1921</v>
      </c>
      <c r="C8" s="2">
        <f>MONTH(D8)</f>
        <v>10</v>
      </c>
      <c r="D8" s="4">
        <v>7975</v>
      </c>
      <c r="E8" s="3">
        <v>215.12985528304068</v>
      </c>
      <c r="F8" s="14">
        <v>1</v>
      </c>
      <c r="G8" s="3">
        <f>'Monthly CFS'!C8 * 86400 * DAY(EOMONTH(D8,0)) / 43560</f>
        <v>1934.3275927890204</v>
      </c>
      <c r="H8" s="3"/>
      <c r="I8" s="2">
        <v>1922</v>
      </c>
      <c r="J8" s="12">
        <f>MIN(SUMIFS($G$8:$G$1207,$B$8:$B$1207,I8,$C$8:$C$1207,"&gt;2") + SUMIFS($G$8:$G$1207,$B$8:$B$1207,I8+1,$C$8:$C$1207,"&lt;3"),SUMIFS($F$8:$F$1207,$B$8:$B$1207,I8,$C$8:$C$1207,5)*195000)</f>
        <v>26931.733381088889</v>
      </c>
      <c r="K8" s="2">
        <f>SUMIFS($F$8:$F$1207,$B$8:$B$1207,I8,$C$8:$C$1207,5)*195000</f>
        <v>195000</v>
      </c>
      <c r="L8" s="2">
        <f>IF(K8=J8,1,0)</f>
        <v>0</v>
      </c>
      <c r="M8" s="13">
        <f>K8-J8</f>
        <v>168068.26661891112</v>
      </c>
    </row>
    <row r="9" spans="1:13" x14ac:dyDescent="0.25">
      <c r="A9" s="2">
        <v>2</v>
      </c>
      <c r="B9" s="2">
        <f t="shared" ref="B9:B72" si="0">YEAR(D9)</f>
        <v>1921</v>
      </c>
      <c r="C9" s="2">
        <f t="shared" ref="C9:C72" si="1">MONTH(D9)</f>
        <v>11</v>
      </c>
      <c r="D9" s="4">
        <v>8005</v>
      </c>
      <c r="E9" s="3">
        <v>152.24052617673215</v>
      </c>
      <c r="F9" s="14">
        <v>1</v>
      </c>
      <c r="G9" s="3">
        <f>'Monthly CFS'!C9 * 86400 * DAY(EOMONTH(D9,0)) / 43560</f>
        <v>1228.5594652917675</v>
      </c>
      <c r="H9" s="3"/>
      <c r="I9" s="2">
        <v>1923</v>
      </c>
      <c r="J9" s="12">
        <f t="shared" ref="J9:J72" si="2">MIN(SUMIFS($G$8:$G$1207,$B$8:$B$1207,I9,$C$8:$C$1207,"&gt;2") + SUMIFS($G$8:$G$1207,$B$8:$B$1207,I9+1,$C$8:$C$1207,"&lt;3"),SUMIFS($F$8:$F$1207,$B$8:$B$1207,I9,$C$8:$C$1207,5)*195000)</f>
        <v>18017.159206829943</v>
      </c>
      <c r="K9" s="2">
        <f t="shared" ref="K9:K72" si="3">SUMIFS($F$8:$F$1207,$B$8:$B$1207,I9,$C$8:$C$1207,5)*195000</f>
        <v>195000</v>
      </c>
      <c r="L9" s="2">
        <f t="shared" ref="L9:L72" si="4">IF(K9=J9,1,0)</f>
        <v>0</v>
      </c>
      <c r="M9" s="13">
        <f t="shared" ref="M9:M72" si="5">K9-J9</f>
        <v>176982.84079317006</v>
      </c>
    </row>
    <row r="10" spans="1:13" x14ac:dyDescent="0.25">
      <c r="A10" s="2">
        <v>3</v>
      </c>
      <c r="B10" s="2">
        <f t="shared" si="0"/>
        <v>1921</v>
      </c>
      <c r="C10" s="2">
        <f t="shared" si="1"/>
        <v>12</v>
      </c>
      <c r="D10" s="4">
        <v>8036</v>
      </c>
      <c r="E10" s="3">
        <v>138.92959785864781</v>
      </c>
      <c r="F10" s="14">
        <v>1</v>
      </c>
      <c r="G10" s="3">
        <f>'Monthly CFS'!C10 * 86400 * DAY(EOMONTH(D10,0)) / 43560</f>
        <v>1010.7297574402963</v>
      </c>
      <c r="H10" s="3"/>
      <c r="I10" s="2">
        <v>1924</v>
      </c>
      <c r="J10" s="12">
        <f t="shared" si="2"/>
        <v>15511.249498147736</v>
      </c>
      <c r="K10" s="2">
        <f t="shared" si="3"/>
        <v>48750</v>
      </c>
      <c r="L10" s="2">
        <f t="shared" si="4"/>
        <v>0</v>
      </c>
      <c r="M10" s="13">
        <f t="shared" si="5"/>
        <v>33238.750501852264</v>
      </c>
    </row>
    <row r="11" spans="1:13" x14ac:dyDescent="0.25">
      <c r="A11" s="2">
        <v>4</v>
      </c>
      <c r="B11" s="2">
        <f t="shared" si="0"/>
        <v>1922</v>
      </c>
      <c r="C11" s="2">
        <f t="shared" si="1"/>
        <v>1</v>
      </c>
      <c r="D11" s="4">
        <v>8067</v>
      </c>
      <c r="E11" s="3">
        <v>110.24576070621373</v>
      </c>
      <c r="F11" s="14">
        <v>1</v>
      </c>
      <c r="G11" s="3">
        <f>'Monthly CFS'!C11 * 86400 * DAY(EOMONTH(D11,0)) / 43560</f>
        <v>1016.5395496336508</v>
      </c>
      <c r="H11" s="3"/>
      <c r="I11" s="2">
        <v>1925</v>
      </c>
      <c r="J11" s="12">
        <f t="shared" si="2"/>
        <v>7140.120153117673</v>
      </c>
      <c r="K11" s="2">
        <f t="shared" si="3"/>
        <v>195000</v>
      </c>
      <c r="L11" s="2">
        <f t="shared" si="4"/>
        <v>0</v>
      </c>
      <c r="M11" s="13">
        <f t="shared" si="5"/>
        <v>187859.87984688234</v>
      </c>
    </row>
    <row r="12" spans="1:13" x14ac:dyDescent="0.25">
      <c r="A12" s="2">
        <v>5</v>
      </c>
      <c r="B12" s="2">
        <f t="shared" si="0"/>
        <v>1922</v>
      </c>
      <c r="C12" s="2">
        <f t="shared" si="1"/>
        <v>2</v>
      </c>
      <c r="D12" s="4">
        <v>8095</v>
      </c>
      <c r="E12" s="3">
        <v>102.91438209013761</v>
      </c>
      <c r="F12" s="14">
        <v>1</v>
      </c>
      <c r="G12" s="3">
        <f>'Monthly CFS'!C12 * 86400 * DAY(EOMONTH(D12,0)) / 43560</f>
        <v>800.74701687806805</v>
      </c>
      <c r="H12" s="3"/>
      <c r="I12" s="2">
        <v>1926</v>
      </c>
      <c r="J12" s="12">
        <f t="shared" si="2"/>
        <v>16839.729955102004</v>
      </c>
      <c r="K12" s="2">
        <f t="shared" si="3"/>
        <v>118806.19561246355</v>
      </c>
      <c r="L12" s="2">
        <f t="shared" si="4"/>
        <v>0</v>
      </c>
      <c r="M12" s="13">
        <f t="shared" si="5"/>
        <v>101966.46565736155</v>
      </c>
    </row>
    <row r="13" spans="1:13" x14ac:dyDescent="0.25">
      <c r="A13" s="2">
        <v>6</v>
      </c>
      <c r="B13" s="2">
        <f t="shared" si="0"/>
        <v>1922</v>
      </c>
      <c r="C13" s="2">
        <f t="shared" si="1"/>
        <v>3</v>
      </c>
      <c r="D13" s="4">
        <v>8126</v>
      </c>
      <c r="E13" s="3">
        <v>106.88716825976319</v>
      </c>
      <c r="F13" s="14">
        <v>0.75</v>
      </c>
      <c r="G13" s="3">
        <f>'Monthly CFS'!C13 * 86400 * DAY(EOMONTH(D13,0)) / 43560</f>
        <v>1314.2371232294154</v>
      </c>
      <c r="H13" s="3"/>
      <c r="I13" s="2">
        <v>1927</v>
      </c>
      <c r="J13" s="12">
        <f t="shared" si="2"/>
        <v>26826.167080305273</v>
      </c>
      <c r="K13" s="2">
        <f t="shared" si="3"/>
        <v>195000</v>
      </c>
      <c r="L13" s="2">
        <f t="shared" si="4"/>
        <v>0</v>
      </c>
      <c r="M13" s="13">
        <f t="shared" si="5"/>
        <v>168173.83291969472</v>
      </c>
    </row>
    <row r="14" spans="1:13" x14ac:dyDescent="0.25">
      <c r="A14" s="2">
        <v>7</v>
      </c>
      <c r="B14" s="2">
        <f t="shared" si="0"/>
        <v>1922</v>
      </c>
      <c r="C14" s="2">
        <f t="shared" si="1"/>
        <v>4</v>
      </c>
      <c r="D14" s="4">
        <v>8156</v>
      </c>
      <c r="E14" s="3">
        <v>140.91721845376128</v>
      </c>
      <c r="F14" s="14">
        <v>0.99999999999999989</v>
      </c>
      <c r="G14" s="3">
        <f>'Monthly CFS'!C14 * 86400 * DAY(EOMONTH(D14,0)) / 43560</f>
        <v>1561.6876860582588</v>
      </c>
      <c r="H14" s="3"/>
      <c r="I14" s="2">
        <v>1928</v>
      </c>
      <c r="J14" s="12">
        <f t="shared" si="2"/>
        <v>25023.233828425466</v>
      </c>
      <c r="K14" s="2">
        <f t="shared" si="3"/>
        <v>194999.99999999997</v>
      </c>
      <c r="L14" s="2">
        <f t="shared" si="4"/>
        <v>0</v>
      </c>
      <c r="M14" s="13">
        <f t="shared" si="5"/>
        <v>169976.76617157451</v>
      </c>
    </row>
    <row r="15" spans="1:13" x14ac:dyDescent="0.25">
      <c r="A15" s="2">
        <v>8</v>
      </c>
      <c r="B15" s="2">
        <f t="shared" si="0"/>
        <v>1922</v>
      </c>
      <c r="C15" s="2">
        <f t="shared" si="1"/>
        <v>5</v>
      </c>
      <c r="D15" s="4">
        <v>8187</v>
      </c>
      <c r="E15" s="3">
        <v>172.19561393611602</v>
      </c>
      <c r="F15" s="14">
        <v>1</v>
      </c>
      <c r="G15" s="3">
        <f>'Monthly CFS'!C15 * 86400 * DAY(EOMONTH(D15,0)) / 43560</f>
        <v>2304.0392106647905</v>
      </c>
      <c r="H15" s="3"/>
      <c r="I15" s="2">
        <v>1929</v>
      </c>
      <c r="J15" s="12">
        <f t="shared" si="2"/>
        <v>3355.2385039933133</v>
      </c>
      <c r="K15" s="2">
        <f t="shared" si="3"/>
        <v>48750</v>
      </c>
      <c r="L15" s="2">
        <f t="shared" si="4"/>
        <v>0</v>
      </c>
      <c r="M15" s="13">
        <f t="shared" si="5"/>
        <v>45394.761496006686</v>
      </c>
    </row>
    <row r="16" spans="1:13" x14ac:dyDescent="0.25">
      <c r="A16" s="2">
        <v>9</v>
      </c>
      <c r="B16" s="2">
        <f t="shared" si="0"/>
        <v>1922</v>
      </c>
      <c r="C16" s="2">
        <f t="shared" si="1"/>
        <v>6</v>
      </c>
      <c r="D16" s="4">
        <v>8217</v>
      </c>
      <c r="E16" s="3">
        <v>249.30857479426103</v>
      </c>
      <c r="F16" s="14">
        <v>1</v>
      </c>
      <c r="G16" s="3">
        <f>'Monthly CFS'!C16 * 86400 * DAY(EOMONTH(D16,0)) / 43560</f>
        <v>3029.8940420080658</v>
      </c>
      <c r="H16" s="3"/>
      <c r="I16" s="2">
        <v>1930</v>
      </c>
      <c r="J16" s="12">
        <f t="shared" si="2"/>
        <v>17120.444028096976</v>
      </c>
      <c r="K16" s="2">
        <f t="shared" si="3"/>
        <v>112547.44618807646</v>
      </c>
      <c r="L16" s="2">
        <f t="shared" si="4"/>
        <v>0</v>
      </c>
      <c r="M16" s="13">
        <f t="shared" si="5"/>
        <v>95427.002159979485</v>
      </c>
    </row>
    <row r="17" spans="1:13" x14ac:dyDescent="0.25">
      <c r="A17" s="2">
        <v>10</v>
      </c>
      <c r="B17" s="2">
        <f t="shared" si="0"/>
        <v>1922</v>
      </c>
      <c r="C17" s="2">
        <f t="shared" si="1"/>
        <v>7</v>
      </c>
      <c r="D17" s="4">
        <v>8248</v>
      </c>
      <c r="E17" s="3">
        <v>274.69602802891444</v>
      </c>
      <c r="F17" s="14">
        <v>1</v>
      </c>
      <c r="G17" s="3">
        <f>'Monthly CFS'!C17 * 86400 * DAY(EOMONTH(D17,0)) / 43560</f>
        <v>3887.7224194573919</v>
      </c>
      <c r="H17" s="3"/>
      <c r="I17" s="2">
        <v>1931</v>
      </c>
      <c r="J17" s="12">
        <f t="shared" si="2"/>
        <v>3025.0000002000002</v>
      </c>
      <c r="K17" s="2">
        <f t="shared" si="3"/>
        <v>48750</v>
      </c>
      <c r="L17" s="2">
        <f t="shared" si="4"/>
        <v>0</v>
      </c>
      <c r="M17" s="13">
        <f t="shared" si="5"/>
        <v>45724.999999799998</v>
      </c>
    </row>
    <row r="18" spans="1:13" x14ac:dyDescent="0.25">
      <c r="A18" s="2">
        <v>11</v>
      </c>
      <c r="B18" s="2">
        <f t="shared" si="0"/>
        <v>1922</v>
      </c>
      <c r="C18" s="2">
        <f t="shared" si="1"/>
        <v>8</v>
      </c>
      <c r="D18" s="4">
        <v>8279</v>
      </c>
      <c r="E18" s="3">
        <v>284.25012948115898</v>
      </c>
      <c r="F18" s="14">
        <v>1</v>
      </c>
      <c r="G18" s="3">
        <f>'Monthly CFS'!C18 * 86400 * DAY(EOMONTH(D18,0)) / 43560</f>
        <v>4250.6499170690286</v>
      </c>
      <c r="H18" s="3"/>
      <c r="I18" s="2">
        <v>1932</v>
      </c>
      <c r="J18" s="12">
        <f t="shared" si="2"/>
        <v>4456.1699374680202</v>
      </c>
      <c r="K18" s="2">
        <f t="shared" si="3"/>
        <v>48750</v>
      </c>
      <c r="L18" s="2">
        <f t="shared" si="4"/>
        <v>0</v>
      </c>
      <c r="M18" s="13">
        <f t="shared" si="5"/>
        <v>44293.830062531983</v>
      </c>
    </row>
    <row r="19" spans="1:13" x14ac:dyDescent="0.25">
      <c r="A19" s="2">
        <v>12</v>
      </c>
      <c r="B19" s="2">
        <f t="shared" si="0"/>
        <v>1922</v>
      </c>
      <c r="C19" s="2">
        <f t="shared" si="1"/>
        <v>9</v>
      </c>
      <c r="D19" s="4">
        <v>8309</v>
      </c>
      <c r="E19" s="3">
        <v>251.09751946104598</v>
      </c>
      <c r="F19" s="14">
        <v>0.99999999999999989</v>
      </c>
      <c r="G19" s="3">
        <f>'Monthly CFS'!C19 * 86400 * DAY(EOMONTH(D19,0)) / 43560</f>
        <v>3585.2828654276937</v>
      </c>
      <c r="H19" s="3"/>
      <c r="I19" s="2">
        <v>1933</v>
      </c>
      <c r="J19" s="12">
        <f t="shared" si="2"/>
        <v>6085.0316077545212</v>
      </c>
      <c r="K19" s="2">
        <f t="shared" si="3"/>
        <v>48750</v>
      </c>
      <c r="L19" s="2">
        <f t="shared" si="4"/>
        <v>0</v>
      </c>
      <c r="M19" s="13">
        <f t="shared" si="5"/>
        <v>42664.968392245479</v>
      </c>
    </row>
    <row r="20" spans="1:13" x14ac:dyDescent="0.25">
      <c r="A20" s="2">
        <v>13</v>
      </c>
      <c r="B20" s="2">
        <f t="shared" si="0"/>
        <v>1922</v>
      </c>
      <c r="C20" s="2">
        <f t="shared" si="1"/>
        <v>10</v>
      </c>
      <c r="D20" s="4">
        <v>8340</v>
      </c>
      <c r="E20" s="3">
        <v>215.12985528304065</v>
      </c>
      <c r="F20" s="14">
        <v>0.99999999999999989</v>
      </c>
      <c r="G20" s="3">
        <f>'Monthly CFS'!C20 * 86400 * DAY(EOMONTH(D20,0)) / 43560</f>
        <v>2441.5116681819259</v>
      </c>
      <c r="H20" s="3"/>
      <c r="I20" s="2">
        <v>1934</v>
      </c>
      <c r="J20" s="12">
        <f t="shared" si="2"/>
        <v>5451.2503184438274</v>
      </c>
      <c r="K20" s="2">
        <f t="shared" si="3"/>
        <v>48750</v>
      </c>
      <c r="L20" s="2">
        <f t="shared" si="4"/>
        <v>0</v>
      </c>
      <c r="M20" s="13">
        <f t="shared" si="5"/>
        <v>43298.749681556175</v>
      </c>
    </row>
    <row r="21" spans="1:13" x14ac:dyDescent="0.25">
      <c r="A21" s="2">
        <v>14</v>
      </c>
      <c r="B21" s="2">
        <f t="shared" si="0"/>
        <v>1922</v>
      </c>
      <c r="C21" s="2">
        <f t="shared" si="1"/>
        <v>11</v>
      </c>
      <c r="D21" s="4">
        <v>8370</v>
      </c>
      <c r="E21" s="3">
        <v>152.24052617673215</v>
      </c>
      <c r="F21" s="14">
        <v>1</v>
      </c>
      <c r="G21" s="3">
        <f>'Monthly CFS'!C21 * 86400 * DAY(EOMONTH(D21,0)) / 43560</f>
        <v>1550.689904206087</v>
      </c>
      <c r="H21" s="3"/>
      <c r="I21" s="2">
        <v>1935</v>
      </c>
      <c r="J21" s="12">
        <f t="shared" si="2"/>
        <v>25010.215823933817</v>
      </c>
      <c r="K21" s="2">
        <f t="shared" si="3"/>
        <v>97500</v>
      </c>
      <c r="L21" s="2">
        <f t="shared" si="4"/>
        <v>0</v>
      </c>
      <c r="M21" s="13">
        <f t="shared" si="5"/>
        <v>72489.784176066183</v>
      </c>
    </row>
    <row r="22" spans="1:13" x14ac:dyDescent="0.25">
      <c r="A22" s="2">
        <v>15</v>
      </c>
      <c r="B22" s="2">
        <f t="shared" si="0"/>
        <v>1922</v>
      </c>
      <c r="C22" s="2">
        <f t="shared" si="1"/>
        <v>12</v>
      </c>
      <c r="D22" s="4">
        <v>8401</v>
      </c>
      <c r="E22" s="3">
        <v>138.92959785864781</v>
      </c>
      <c r="F22" s="14">
        <v>1</v>
      </c>
      <c r="G22" s="3">
        <f>'Monthly CFS'!C22 * 86400 * DAY(EOMONTH(D22,0)) / 43560</f>
        <v>1275.7448662618169</v>
      </c>
      <c r="H22" s="3"/>
      <c r="I22" s="2">
        <v>1936</v>
      </c>
      <c r="J22" s="12">
        <f t="shared" si="2"/>
        <v>25217.68144945024</v>
      </c>
      <c r="K22" s="2">
        <f t="shared" si="3"/>
        <v>146249.99999999997</v>
      </c>
      <c r="L22" s="2">
        <f t="shared" si="4"/>
        <v>0</v>
      </c>
      <c r="M22" s="13">
        <f t="shared" si="5"/>
        <v>121032.31855054974</v>
      </c>
    </row>
    <row r="23" spans="1:13" x14ac:dyDescent="0.25">
      <c r="A23" s="2">
        <v>16</v>
      </c>
      <c r="B23" s="2">
        <f t="shared" si="0"/>
        <v>1923</v>
      </c>
      <c r="C23" s="2">
        <f t="shared" si="1"/>
        <v>1</v>
      </c>
      <c r="D23" s="4">
        <v>8432</v>
      </c>
      <c r="E23" s="3">
        <v>110.24576070621372</v>
      </c>
      <c r="F23" s="14">
        <v>0.99999999999999989</v>
      </c>
      <c r="G23" s="3">
        <f>'Monthly CFS'!C23 * 86400 * DAY(EOMONTH(D23,0)) / 43560</f>
        <v>1029.0644767517983</v>
      </c>
      <c r="H23" s="3"/>
      <c r="I23" s="2">
        <v>1937</v>
      </c>
      <c r="J23" s="12">
        <f t="shared" si="2"/>
        <v>26828.775656237893</v>
      </c>
      <c r="K23" s="2">
        <f t="shared" si="3"/>
        <v>182417.72107990828</v>
      </c>
      <c r="L23" s="2">
        <f t="shared" si="4"/>
        <v>0</v>
      </c>
      <c r="M23" s="13">
        <f t="shared" si="5"/>
        <v>155588.9454236704</v>
      </c>
    </row>
    <row r="24" spans="1:13" x14ac:dyDescent="0.25">
      <c r="A24" s="2">
        <v>17</v>
      </c>
      <c r="B24" s="2">
        <f t="shared" si="0"/>
        <v>1923</v>
      </c>
      <c r="C24" s="2">
        <f t="shared" si="1"/>
        <v>2</v>
      </c>
      <c r="D24" s="4">
        <v>8460</v>
      </c>
      <c r="E24" s="3">
        <v>102.91438209013761</v>
      </c>
      <c r="F24" s="14">
        <v>1.0000000000000002</v>
      </c>
      <c r="G24" s="3">
        <f>'Monthly CFS'!C24 * 86400 * DAY(EOMONTH(D24,0)) / 43560</f>
        <v>701.20920177261712</v>
      </c>
      <c r="H24" s="3"/>
      <c r="I24" s="2">
        <v>1938</v>
      </c>
      <c r="J24" s="12">
        <f t="shared" si="2"/>
        <v>26345.868374561451</v>
      </c>
      <c r="K24" s="2">
        <f t="shared" si="3"/>
        <v>195000</v>
      </c>
      <c r="L24" s="2">
        <f t="shared" si="4"/>
        <v>0</v>
      </c>
      <c r="M24" s="13">
        <f t="shared" si="5"/>
        <v>168654.13162543855</v>
      </c>
    </row>
    <row r="25" spans="1:13" x14ac:dyDescent="0.25">
      <c r="A25" s="2">
        <v>18</v>
      </c>
      <c r="B25" s="2">
        <f t="shared" si="0"/>
        <v>1923</v>
      </c>
      <c r="C25" s="2">
        <f t="shared" si="1"/>
        <v>3</v>
      </c>
      <c r="D25" s="4">
        <v>8491</v>
      </c>
      <c r="E25" s="3">
        <v>106.88716825976024</v>
      </c>
      <c r="F25" s="14">
        <v>0.75</v>
      </c>
      <c r="G25" s="3">
        <f>'Monthly CFS'!C25 * 86400 * DAY(EOMONTH(D25,0)) / 43560</f>
        <v>791.18791678830269</v>
      </c>
      <c r="H25" s="3"/>
      <c r="I25" s="2">
        <v>1939</v>
      </c>
      <c r="J25" s="12">
        <f t="shared" si="2"/>
        <v>19597.872779078953</v>
      </c>
      <c r="K25" s="2">
        <f t="shared" si="3"/>
        <v>136774.98663406636</v>
      </c>
      <c r="L25" s="2">
        <f t="shared" si="4"/>
        <v>0</v>
      </c>
      <c r="M25" s="13">
        <f t="shared" si="5"/>
        <v>117177.1138549874</v>
      </c>
    </row>
    <row r="26" spans="1:13" x14ac:dyDescent="0.25">
      <c r="A26" s="2">
        <v>19</v>
      </c>
      <c r="B26" s="2">
        <f t="shared" si="0"/>
        <v>1923</v>
      </c>
      <c r="C26" s="2">
        <f t="shared" si="1"/>
        <v>4</v>
      </c>
      <c r="D26" s="4">
        <v>8521</v>
      </c>
      <c r="E26" s="3">
        <v>181.23525201198251</v>
      </c>
      <c r="F26" s="14">
        <v>0.75</v>
      </c>
      <c r="G26" s="3">
        <f>'Monthly CFS'!C26 * 86400 * DAY(EOMONTH(D26,0)) / 43560</f>
        <v>1085.4100883765727</v>
      </c>
      <c r="H26" s="3"/>
      <c r="I26" s="2">
        <v>1940</v>
      </c>
      <c r="J26" s="12">
        <f t="shared" si="2"/>
        <v>21792.271797202146</v>
      </c>
      <c r="K26" s="2">
        <f t="shared" si="3"/>
        <v>195000</v>
      </c>
      <c r="L26" s="2">
        <f t="shared" si="4"/>
        <v>0</v>
      </c>
      <c r="M26" s="13">
        <f t="shared" si="5"/>
        <v>173207.72820279785</v>
      </c>
    </row>
    <row r="27" spans="1:13" x14ac:dyDescent="0.25">
      <c r="A27" s="2">
        <v>20</v>
      </c>
      <c r="B27" s="2">
        <f t="shared" si="0"/>
        <v>1923</v>
      </c>
      <c r="C27" s="2">
        <f t="shared" si="1"/>
        <v>5</v>
      </c>
      <c r="D27" s="4">
        <v>8552</v>
      </c>
      <c r="E27" s="3">
        <v>189.91672423298658</v>
      </c>
      <c r="F27" s="14">
        <v>1</v>
      </c>
      <c r="G27" s="3">
        <f>'Monthly CFS'!C27 * 86400 * DAY(EOMONTH(D27,0)) / 43560</f>
        <v>1637.840207955355</v>
      </c>
      <c r="H27" s="3"/>
      <c r="I27" s="2">
        <v>1941</v>
      </c>
      <c r="J27" s="12">
        <f t="shared" si="2"/>
        <v>27500.000001818185</v>
      </c>
      <c r="K27" s="2">
        <f t="shared" si="3"/>
        <v>195000</v>
      </c>
      <c r="L27" s="2">
        <f t="shared" si="4"/>
        <v>0</v>
      </c>
      <c r="M27" s="13">
        <f t="shared" si="5"/>
        <v>167499.99999818183</v>
      </c>
    </row>
    <row r="28" spans="1:13" x14ac:dyDescent="0.25">
      <c r="A28" s="2">
        <v>21</v>
      </c>
      <c r="B28" s="2">
        <f t="shared" si="0"/>
        <v>1923</v>
      </c>
      <c r="C28" s="2">
        <f t="shared" si="1"/>
        <v>6</v>
      </c>
      <c r="D28" s="4">
        <v>8582</v>
      </c>
      <c r="E28" s="3">
        <v>249.94227532208063</v>
      </c>
      <c r="F28" s="14">
        <v>1</v>
      </c>
      <c r="G28" s="3">
        <f>'Monthly CFS'!C28 * 86400 * DAY(EOMONTH(D28,0)) / 43560</f>
        <v>2153.8185048566711</v>
      </c>
      <c r="H28" s="3"/>
      <c r="I28" s="2">
        <v>1942</v>
      </c>
      <c r="J28" s="12">
        <f t="shared" si="2"/>
        <v>27158.035585000507</v>
      </c>
      <c r="K28" s="2">
        <f t="shared" si="3"/>
        <v>195000</v>
      </c>
      <c r="L28" s="2">
        <f t="shared" si="4"/>
        <v>0</v>
      </c>
      <c r="M28" s="13">
        <f t="shared" si="5"/>
        <v>167841.9644149995</v>
      </c>
    </row>
    <row r="29" spans="1:13" x14ac:dyDescent="0.25">
      <c r="A29" s="2">
        <v>22</v>
      </c>
      <c r="B29" s="2">
        <f t="shared" si="0"/>
        <v>1923</v>
      </c>
      <c r="C29" s="2">
        <f t="shared" si="1"/>
        <v>7</v>
      </c>
      <c r="D29" s="4">
        <v>8613</v>
      </c>
      <c r="E29" s="3">
        <v>278.83348316359661</v>
      </c>
      <c r="F29" s="14">
        <v>1</v>
      </c>
      <c r="G29" s="3">
        <f>'Monthly CFS'!C29 * 86400 * DAY(EOMONTH(D29,0)) / 43560</f>
        <v>2763.6109951963754</v>
      </c>
      <c r="H29" s="3"/>
      <c r="I29" s="2">
        <v>1943</v>
      </c>
      <c r="J29" s="12">
        <f t="shared" si="2"/>
        <v>25454.299135482372</v>
      </c>
      <c r="K29" s="2">
        <f t="shared" si="3"/>
        <v>195000</v>
      </c>
      <c r="L29" s="2">
        <f t="shared" si="4"/>
        <v>0</v>
      </c>
      <c r="M29" s="13">
        <f t="shared" si="5"/>
        <v>169545.70086451762</v>
      </c>
    </row>
    <row r="30" spans="1:13" x14ac:dyDescent="0.25">
      <c r="A30" s="2">
        <v>23</v>
      </c>
      <c r="B30" s="2">
        <f t="shared" si="0"/>
        <v>1923</v>
      </c>
      <c r="C30" s="2">
        <f t="shared" si="1"/>
        <v>8</v>
      </c>
      <c r="D30" s="4">
        <v>8644</v>
      </c>
      <c r="E30" s="3">
        <v>281.64601106700837</v>
      </c>
      <c r="F30" s="14">
        <v>1</v>
      </c>
      <c r="G30" s="3">
        <f>'Monthly CFS'!C30 * 86400 * DAY(EOMONTH(D30,0)) / 43560</f>
        <v>3021.6002018945765</v>
      </c>
      <c r="H30" s="3"/>
      <c r="I30" s="2">
        <v>1944</v>
      </c>
      <c r="J30" s="12">
        <f t="shared" si="2"/>
        <v>13527.65080949726</v>
      </c>
      <c r="K30" s="2">
        <f t="shared" si="3"/>
        <v>146250</v>
      </c>
      <c r="L30" s="2">
        <f t="shared" si="4"/>
        <v>0</v>
      </c>
      <c r="M30" s="13">
        <f t="shared" si="5"/>
        <v>132722.34919050275</v>
      </c>
    </row>
    <row r="31" spans="1:13" x14ac:dyDescent="0.25">
      <c r="A31" s="2">
        <v>24</v>
      </c>
      <c r="B31" s="2">
        <f t="shared" si="0"/>
        <v>1923</v>
      </c>
      <c r="C31" s="2">
        <f t="shared" si="1"/>
        <v>9</v>
      </c>
      <c r="D31" s="4">
        <v>8674</v>
      </c>
      <c r="E31" s="3">
        <v>247.80503551638381</v>
      </c>
      <c r="F31" s="14">
        <v>1</v>
      </c>
      <c r="G31" s="3">
        <f>'Monthly CFS'!C31 * 86400 * DAY(EOMONTH(D31,0)) / 43560</f>
        <v>2548.6200090303878</v>
      </c>
      <c r="H31" s="3"/>
      <c r="I31" s="2">
        <v>1945</v>
      </c>
      <c r="J31" s="12">
        <f t="shared" si="2"/>
        <v>27088.361759905929</v>
      </c>
      <c r="K31" s="2">
        <f t="shared" si="3"/>
        <v>166432.61619570968</v>
      </c>
      <c r="L31" s="2">
        <f t="shared" si="4"/>
        <v>0</v>
      </c>
      <c r="M31" s="13">
        <f t="shared" si="5"/>
        <v>139344.25443580374</v>
      </c>
    </row>
    <row r="32" spans="1:13" x14ac:dyDescent="0.25">
      <c r="A32" s="2">
        <v>25</v>
      </c>
      <c r="B32" s="2">
        <f t="shared" si="0"/>
        <v>1923</v>
      </c>
      <c r="C32" s="2">
        <f t="shared" si="1"/>
        <v>10</v>
      </c>
      <c r="D32" s="4">
        <v>8705</v>
      </c>
      <c r="E32" s="3">
        <v>213.68325149262245</v>
      </c>
      <c r="F32" s="14">
        <v>1</v>
      </c>
      <c r="G32" s="3">
        <f>'Monthly CFS'!C32 * 86400 * DAY(EOMONTH(D32,0)) / 43560</f>
        <v>1735.5633358282662</v>
      </c>
      <c r="H32" s="3"/>
      <c r="I32" s="2">
        <v>1946</v>
      </c>
      <c r="J32" s="12">
        <f t="shared" si="2"/>
        <v>24270.336922035338</v>
      </c>
      <c r="K32" s="2">
        <f t="shared" si="3"/>
        <v>194999.99999999997</v>
      </c>
      <c r="L32" s="2">
        <f t="shared" si="4"/>
        <v>0</v>
      </c>
      <c r="M32" s="13">
        <f t="shared" si="5"/>
        <v>170729.66307796462</v>
      </c>
    </row>
    <row r="33" spans="1:13" x14ac:dyDescent="0.25">
      <c r="A33" s="2">
        <v>26</v>
      </c>
      <c r="B33" s="2">
        <f t="shared" si="0"/>
        <v>1923</v>
      </c>
      <c r="C33" s="2">
        <f t="shared" si="1"/>
        <v>11</v>
      </c>
      <c r="D33" s="4">
        <v>8735</v>
      </c>
      <c r="E33" s="3">
        <v>158.89264570494973</v>
      </c>
      <c r="F33" s="14">
        <v>1</v>
      </c>
      <c r="G33" s="3">
        <f>'Monthly CFS'!C33 * 86400 * DAY(EOMONTH(D33,0)) / 43560</f>
        <v>1102.3172971289664</v>
      </c>
      <c r="H33" s="3"/>
      <c r="I33" s="2">
        <v>1947</v>
      </c>
      <c r="J33" s="12">
        <f t="shared" si="2"/>
        <v>14105.694222085114</v>
      </c>
      <c r="K33" s="2">
        <f t="shared" si="3"/>
        <v>104287.08640541745</v>
      </c>
      <c r="L33" s="2">
        <f t="shared" si="4"/>
        <v>0</v>
      </c>
      <c r="M33" s="13">
        <f t="shared" si="5"/>
        <v>90181.392183332326</v>
      </c>
    </row>
    <row r="34" spans="1:13" x14ac:dyDescent="0.25">
      <c r="A34" s="2">
        <v>27</v>
      </c>
      <c r="B34" s="2">
        <f t="shared" si="0"/>
        <v>1923</v>
      </c>
      <c r="C34" s="2">
        <f t="shared" si="1"/>
        <v>12</v>
      </c>
      <c r="D34" s="4">
        <v>8766</v>
      </c>
      <c r="E34" s="3">
        <v>140.71970178349733</v>
      </c>
      <c r="F34" s="14">
        <v>1</v>
      </c>
      <c r="G34" s="3">
        <f>'Monthly CFS'!C34 * 86400 * DAY(EOMONTH(D34,0)) / 43560</f>
        <v>906.87095401182535</v>
      </c>
      <c r="H34" s="3"/>
      <c r="I34" s="2">
        <v>1948</v>
      </c>
      <c r="J34" s="12">
        <f t="shared" si="2"/>
        <v>22686.544617711443</v>
      </c>
      <c r="K34" s="2">
        <f t="shared" si="3"/>
        <v>195000</v>
      </c>
      <c r="L34" s="2">
        <f t="shared" si="4"/>
        <v>0</v>
      </c>
      <c r="M34" s="13">
        <f t="shared" si="5"/>
        <v>172313.45538228855</v>
      </c>
    </row>
    <row r="35" spans="1:13" x14ac:dyDescent="0.25">
      <c r="A35" s="2">
        <v>28</v>
      </c>
      <c r="B35" s="2">
        <f t="shared" si="0"/>
        <v>1924</v>
      </c>
      <c r="C35" s="2">
        <f t="shared" si="1"/>
        <v>1</v>
      </c>
      <c r="D35" s="4">
        <v>8797</v>
      </c>
      <c r="E35" s="3">
        <v>120.71654124454039</v>
      </c>
      <c r="F35" s="14">
        <v>1</v>
      </c>
      <c r="G35" s="3">
        <f>'Monthly CFS'!C35 * 86400 * DAY(EOMONTH(D35,0)) / 43560</f>
        <v>133.67826149478657</v>
      </c>
      <c r="H35" s="3"/>
      <c r="I35" s="2">
        <v>1949</v>
      </c>
      <c r="J35" s="12">
        <f t="shared" si="2"/>
        <v>5569.665770785512</v>
      </c>
      <c r="K35" s="2">
        <f t="shared" si="3"/>
        <v>195000</v>
      </c>
      <c r="L35" s="2">
        <f t="shared" si="4"/>
        <v>0</v>
      </c>
      <c r="M35" s="13">
        <f t="shared" si="5"/>
        <v>189430.3342292145</v>
      </c>
    </row>
    <row r="36" spans="1:13" x14ac:dyDescent="0.25">
      <c r="A36" s="2">
        <v>29</v>
      </c>
      <c r="B36" s="2">
        <f t="shared" si="0"/>
        <v>1924</v>
      </c>
      <c r="C36" s="2">
        <f t="shared" si="1"/>
        <v>2</v>
      </c>
      <c r="D36" s="4">
        <v>8826</v>
      </c>
      <c r="E36" s="3">
        <v>110.50888971995006</v>
      </c>
      <c r="F36" s="14">
        <v>0.25</v>
      </c>
      <c r="G36" s="3">
        <f>'Monthly CFS'!C36 * 86400 * DAY(EOMONTH(D36,0)) / 43560</f>
        <v>136.64143426785594</v>
      </c>
      <c r="H36" s="3"/>
      <c r="I36" s="2">
        <v>1950</v>
      </c>
      <c r="J36" s="12">
        <f t="shared" si="2"/>
        <v>17937.546348987889</v>
      </c>
      <c r="K36" s="2">
        <f t="shared" si="3"/>
        <v>146250</v>
      </c>
      <c r="L36" s="2">
        <f t="shared" si="4"/>
        <v>0</v>
      </c>
      <c r="M36" s="13">
        <f t="shared" si="5"/>
        <v>128312.45365101211</v>
      </c>
    </row>
    <row r="37" spans="1:13" x14ac:dyDescent="0.25">
      <c r="A37" s="2">
        <v>30</v>
      </c>
      <c r="B37" s="2">
        <f t="shared" si="0"/>
        <v>1924</v>
      </c>
      <c r="C37" s="2">
        <f t="shared" si="1"/>
        <v>3</v>
      </c>
      <c r="D37" s="4">
        <v>8857</v>
      </c>
      <c r="E37" s="3">
        <v>152.55323506385841</v>
      </c>
      <c r="F37" s="14">
        <v>0.25</v>
      </c>
      <c r="G37" s="3">
        <f>'Monthly CFS'!C37 * 86400 * DAY(EOMONTH(D37,0)) / 43560</f>
        <v>783.61207391155506</v>
      </c>
      <c r="H37" s="3"/>
      <c r="I37" s="2">
        <v>1951</v>
      </c>
      <c r="J37" s="12">
        <f t="shared" si="2"/>
        <v>27500.000001818182</v>
      </c>
      <c r="K37" s="2">
        <f t="shared" si="3"/>
        <v>195000</v>
      </c>
      <c r="L37" s="2">
        <f t="shared" si="4"/>
        <v>0</v>
      </c>
      <c r="M37" s="13">
        <f t="shared" si="5"/>
        <v>167499.99999818183</v>
      </c>
    </row>
    <row r="38" spans="1:13" x14ac:dyDescent="0.25">
      <c r="A38" s="2">
        <v>31</v>
      </c>
      <c r="B38" s="2">
        <f t="shared" si="0"/>
        <v>1924</v>
      </c>
      <c r="C38" s="2">
        <f t="shared" si="1"/>
        <v>4</v>
      </c>
      <c r="D38" s="4">
        <v>8887</v>
      </c>
      <c r="E38" s="3">
        <v>196.32088667964658</v>
      </c>
      <c r="F38" s="14">
        <v>0.25</v>
      </c>
      <c r="G38" s="3">
        <f>'Monthly CFS'!C38 * 86400 * DAY(EOMONTH(D38,0)) / 43560</f>
        <v>898.07770116216989</v>
      </c>
      <c r="H38" s="3"/>
      <c r="I38" s="2">
        <v>1952</v>
      </c>
      <c r="J38" s="12">
        <f t="shared" si="2"/>
        <v>27500.000001818182</v>
      </c>
      <c r="K38" s="2">
        <f t="shared" si="3"/>
        <v>195000</v>
      </c>
      <c r="L38" s="2">
        <f t="shared" si="4"/>
        <v>0</v>
      </c>
      <c r="M38" s="13">
        <f t="shared" si="5"/>
        <v>167499.99999818183</v>
      </c>
    </row>
    <row r="39" spans="1:13" x14ac:dyDescent="0.25">
      <c r="A39" s="2">
        <v>32</v>
      </c>
      <c r="B39" s="2">
        <f t="shared" si="0"/>
        <v>1924</v>
      </c>
      <c r="C39" s="2">
        <f t="shared" si="1"/>
        <v>5</v>
      </c>
      <c r="D39" s="4">
        <v>8918</v>
      </c>
      <c r="E39" s="3">
        <v>239.89165958575308</v>
      </c>
      <c r="F39" s="14">
        <v>0.25</v>
      </c>
      <c r="G39" s="3">
        <f>'Monthly CFS'!C39 * 86400 * DAY(EOMONTH(D39,0)) / 43560</f>
        <v>1401.144297338564</v>
      </c>
      <c r="H39" s="3"/>
      <c r="I39" s="2">
        <v>1953</v>
      </c>
      <c r="J39" s="12">
        <f t="shared" si="2"/>
        <v>25997.970068351282</v>
      </c>
      <c r="K39" s="2">
        <f t="shared" si="3"/>
        <v>195000</v>
      </c>
      <c r="L39" s="2">
        <f t="shared" si="4"/>
        <v>0</v>
      </c>
      <c r="M39" s="13">
        <f t="shared" si="5"/>
        <v>169002.02993164872</v>
      </c>
    </row>
    <row r="40" spans="1:13" x14ac:dyDescent="0.25">
      <c r="A40" s="2">
        <v>33</v>
      </c>
      <c r="B40" s="2">
        <f t="shared" si="0"/>
        <v>1924</v>
      </c>
      <c r="C40" s="2">
        <f t="shared" si="1"/>
        <v>6</v>
      </c>
      <c r="D40" s="4">
        <v>8948</v>
      </c>
      <c r="E40" s="3">
        <v>275.36306112931697</v>
      </c>
      <c r="F40" s="14">
        <v>0.25</v>
      </c>
      <c r="G40" s="3">
        <f>'Monthly CFS'!C40 * 86400 * DAY(EOMONTH(D40,0)) / 43560</f>
        <v>1842.5549091565936</v>
      </c>
      <c r="H40" s="3"/>
      <c r="I40" s="2">
        <v>1954</v>
      </c>
      <c r="J40" s="12">
        <f t="shared" si="2"/>
        <v>24907.729520624329</v>
      </c>
      <c r="K40" s="2">
        <f t="shared" si="3"/>
        <v>195000</v>
      </c>
      <c r="L40" s="2">
        <f t="shared" si="4"/>
        <v>0</v>
      </c>
      <c r="M40" s="13">
        <f t="shared" si="5"/>
        <v>170092.27047937567</v>
      </c>
    </row>
    <row r="41" spans="1:13" x14ac:dyDescent="0.25">
      <c r="A41" s="2">
        <v>34</v>
      </c>
      <c r="B41" s="2">
        <f t="shared" si="0"/>
        <v>1924</v>
      </c>
      <c r="C41" s="2">
        <f t="shared" si="1"/>
        <v>7</v>
      </c>
      <c r="D41" s="4">
        <v>8979</v>
      </c>
      <c r="E41" s="3">
        <v>287.21574840608628</v>
      </c>
      <c r="F41" s="14">
        <v>0.25</v>
      </c>
      <c r="G41" s="3">
        <f>'Monthly CFS'!C41 * 86400 * DAY(EOMONTH(D41,0)) / 43560</f>
        <v>2364.2219596107893</v>
      </c>
      <c r="H41" s="3"/>
      <c r="I41" s="2">
        <v>1955</v>
      </c>
      <c r="J41" s="12">
        <f t="shared" si="2"/>
        <v>7600.7737645119232</v>
      </c>
      <c r="K41" s="2">
        <f t="shared" si="3"/>
        <v>146250</v>
      </c>
      <c r="L41" s="2">
        <f t="shared" si="4"/>
        <v>0</v>
      </c>
      <c r="M41" s="13">
        <f t="shared" si="5"/>
        <v>138649.22623548808</v>
      </c>
    </row>
    <row r="42" spans="1:13" x14ac:dyDescent="0.25">
      <c r="A42" s="2">
        <v>35</v>
      </c>
      <c r="B42" s="2">
        <f t="shared" si="0"/>
        <v>1924</v>
      </c>
      <c r="C42" s="2">
        <f t="shared" si="1"/>
        <v>8</v>
      </c>
      <c r="D42" s="4">
        <v>9010</v>
      </c>
      <c r="E42" s="3">
        <v>278.99732431952134</v>
      </c>
      <c r="F42" s="14">
        <v>0.25</v>
      </c>
      <c r="G42" s="3">
        <f>'Monthly CFS'!C42 * 86400 * DAY(EOMONTH(D42,0)) / 43560</f>
        <v>2584.9273153495828</v>
      </c>
      <c r="H42" s="3"/>
      <c r="I42" s="2">
        <v>1956</v>
      </c>
      <c r="J42" s="12">
        <f t="shared" si="2"/>
        <v>25771.884371940003</v>
      </c>
      <c r="K42" s="2">
        <f t="shared" si="3"/>
        <v>195000</v>
      </c>
      <c r="L42" s="2">
        <f t="shared" si="4"/>
        <v>0</v>
      </c>
      <c r="M42" s="13">
        <f t="shared" si="5"/>
        <v>169228.11562806001</v>
      </c>
    </row>
    <row r="43" spans="1:13" x14ac:dyDescent="0.25">
      <c r="A43" s="2">
        <v>36</v>
      </c>
      <c r="B43" s="2">
        <f t="shared" si="0"/>
        <v>1924</v>
      </c>
      <c r="C43" s="2">
        <f t="shared" si="1"/>
        <v>9</v>
      </c>
      <c r="D43" s="4">
        <v>9040</v>
      </c>
      <c r="E43" s="3">
        <v>254.3199242390414</v>
      </c>
      <c r="F43" s="14">
        <v>0.25</v>
      </c>
      <c r="G43" s="3">
        <f>'Monthly CFS'!C43 * 86400 * DAY(EOMONTH(D43,0)) / 43560</f>
        <v>2180.3008464383879</v>
      </c>
      <c r="H43" s="3"/>
      <c r="I43" s="2">
        <v>1957</v>
      </c>
      <c r="J43" s="12">
        <f t="shared" si="2"/>
        <v>20817.824086758865</v>
      </c>
      <c r="K43" s="2">
        <f t="shared" si="3"/>
        <v>195000</v>
      </c>
      <c r="L43" s="2">
        <f t="shared" si="4"/>
        <v>0</v>
      </c>
      <c r="M43" s="13">
        <f t="shared" si="5"/>
        <v>174182.17591324114</v>
      </c>
    </row>
    <row r="44" spans="1:13" x14ac:dyDescent="0.25">
      <c r="A44" s="2">
        <v>37</v>
      </c>
      <c r="B44" s="2">
        <f t="shared" si="0"/>
        <v>1924</v>
      </c>
      <c r="C44" s="2">
        <f t="shared" si="1"/>
        <v>10</v>
      </c>
      <c r="D44" s="4">
        <v>9071</v>
      </c>
      <c r="E44" s="3">
        <v>214.84262990668282</v>
      </c>
      <c r="F44" s="14">
        <v>0.25</v>
      </c>
      <c r="G44" s="3">
        <f>'Monthly CFS'!C44 * 86400 * DAY(EOMONTH(D44,0)) / 43560</f>
        <v>1484.7447625561999</v>
      </c>
      <c r="H44" s="3"/>
      <c r="I44" s="2">
        <v>1958</v>
      </c>
      <c r="J44" s="12">
        <f t="shared" si="2"/>
        <v>26636.580630654298</v>
      </c>
      <c r="K44" s="2">
        <f t="shared" si="3"/>
        <v>195000</v>
      </c>
      <c r="L44" s="2">
        <f t="shared" si="4"/>
        <v>0</v>
      </c>
      <c r="M44" s="13">
        <f t="shared" si="5"/>
        <v>168363.41936934571</v>
      </c>
    </row>
    <row r="45" spans="1:13" x14ac:dyDescent="0.25">
      <c r="A45" s="2">
        <v>38</v>
      </c>
      <c r="B45" s="2">
        <f t="shared" si="0"/>
        <v>1924</v>
      </c>
      <c r="C45" s="2">
        <f t="shared" si="1"/>
        <v>11</v>
      </c>
      <c r="D45" s="4">
        <v>9101</v>
      </c>
      <c r="E45" s="3">
        <v>177.10611356727179</v>
      </c>
      <c r="F45" s="14">
        <v>0.25</v>
      </c>
      <c r="G45" s="3">
        <f>'Monthly CFS'!C45 * 86400 * DAY(EOMONTH(D45,0)) / 43560</f>
        <v>943.01360244296222</v>
      </c>
      <c r="H45" s="3"/>
      <c r="I45" s="2">
        <v>1959</v>
      </c>
      <c r="J45" s="12">
        <f t="shared" si="2"/>
        <v>20766.358436271472</v>
      </c>
      <c r="K45" s="2">
        <f t="shared" si="3"/>
        <v>188885.98652563337</v>
      </c>
      <c r="L45" s="2">
        <f t="shared" si="4"/>
        <v>0</v>
      </c>
      <c r="M45" s="13">
        <f t="shared" si="5"/>
        <v>168119.62808936191</v>
      </c>
    </row>
    <row r="46" spans="1:13" x14ac:dyDescent="0.25">
      <c r="A46" s="2">
        <v>39</v>
      </c>
      <c r="B46" s="2">
        <f t="shared" si="0"/>
        <v>1924</v>
      </c>
      <c r="C46" s="2">
        <f t="shared" si="1"/>
        <v>12</v>
      </c>
      <c r="D46" s="4">
        <v>9132</v>
      </c>
      <c r="E46" s="3">
        <v>161.98826861286921</v>
      </c>
      <c r="F46" s="14">
        <v>0.25</v>
      </c>
      <c r="G46" s="3">
        <f>'Monthly CFS'!C46 * 86400 * DAY(EOMONTH(D46,0)) / 43560</f>
        <v>775.81259726302164</v>
      </c>
      <c r="H46" s="3"/>
      <c r="I46" s="2">
        <v>1960</v>
      </c>
      <c r="J46" s="12">
        <f t="shared" si="2"/>
        <v>13614.675147932718</v>
      </c>
      <c r="K46" s="2">
        <f t="shared" si="3"/>
        <v>146250</v>
      </c>
      <c r="L46" s="2">
        <f t="shared" si="4"/>
        <v>0</v>
      </c>
      <c r="M46" s="13">
        <f t="shared" si="5"/>
        <v>132635.32485206728</v>
      </c>
    </row>
    <row r="47" spans="1:13" x14ac:dyDescent="0.25">
      <c r="A47" s="2">
        <v>40</v>
      </c>
      <c r="B47" s="2">
        <f t="shared" si="0"/>
        <v>1925</v>
      </c>
      <c r="C47" s="2">
        <f t="shared" si="1"/>
        <v>1</v>
      </c>
      <c r="D47" s="4">
        <v>9163</v>
      </c>
      <c r="E47" s="3">
        <v>157.69227420397434</v>
      </c>
      <c r="F47" s="14">
        <v>0.25</v>
      </c>
      <c r="G47" s="3">
        <f>'Monthly CFS'!C47 * 86400 * DAY(EOMONTH(D47,0)) / 43560</f>
        <v>133.67826149478657</v>
      </c>
      <c r="H47" s="3"/>
      <c r="I47" s="2">
        <v>1961</v>
      </c>
      <c r="J47" s="12">
        <f t="shared" si="2"/>
        <v>15706.091223051533</v>
      </c>
      <c r="K47" s="2">
        <f t="shared" si="3"/>
        <v>157638.24860416926</v>
      </c>
      <c r="L47" s="2">
        <f t="shared" si="4"/>
        <v>0</v>
      </c>
      <c r="M47" s="13">
        <f t="shared" si="5"/>
        <v>141932.15738111772</v>
      </c>
    </row>
    <row r="48" spans="1:13" x14ac:dyDescent="0.25">
      <c r="A48" s="2">
        <v>41</v>
      </c>
      <c r="B48" s="2">
        <f t="shared" si="0"/>
        <v>1925</v>
      </c>
      <c r="C48" s="2">
        <f t="shared" si="1"/>
        <v>2</v>
      </c>
      <c r="D48" s="4">
        <v>9191</v>
      </c>
      <c r="E48" s="3">
        <v>173.743928821011</v>
      </c>
      <c r="F48" s="14">
        <v>0.5</v>
      </c>
      <c r="G48" s="3">
        <f>'Monthly CFS'!C48 * 86400 * DAY(EOMONTH(D48,0)) / 43560</f>
        <v>119.16117142312102</v>
      </c>
      <c r="H48" s="3"/>
      <c r="I48" s="2">
        <v>1962</v>
      </c>
      <c r="J48" s="12">
        <f t="shared" si="2"/>
        <v>26455.741319915047</v>
      </c>
      <c r="K48" s="2">
        <f t="shared" si="3"/>
        <v>194999.99999999997</v>
      </c>
      <c r="L48" s="2">
        <f t="shared" si="4"/>
        <v>0</v>
      </c>
      <c r="M48" s="13">
        <f t="shared" si="5"/>
        <v>168544.25868008492</v>
      </c>
    </row>
    <row r="49" spans="1:13" x14ac:dyDescent="0.25">
      <c r="A49" s="2">
        <v>42</v>
      </c>
      <c r="B49" s="2">
        <f t="shared" si="0"/>
        <v>1925</v>
      </c>
      <c r="C49" s="2">
        <f t="shared" si="1"/>
        <v>3</v>
      </c>
      <c r="D49" s="4">
        <v>9222</v>
      </c>
      <c r="E49" s="3">
        <v>123.59371307268762</v>
      </c>
      <c r="F49" s="14">
        <v>0.75000000000000011</v>
      </c>
      <c r="G49" s="3">
        <f>'Monthly CFS'!C49 * 86400 * DAY(EOMONTH(D49,0)) / 43560</f>
        <v>231.20320454466994</v>
      </c>
      <c r="H49" s="3"/>
      <c r="I49" s="2">
        <v>1963</v>
      </c>
      <c r="J49" s="12">
        <f t="shared" si="2"/>
        <v>21527.912560502642</v>
      </c>
      <c r="K49" s="2">
        <f t="shared" si="3"/>
        <v>195000</v>
      </c>
      <c r="L49" s="2">
        <f t="shared" si="4"/>
        <v>0</v>
      </c>
      <c r="M49" s="13">
        <f t="shared" si="5"/>
        <v>173472.08743949735</v>
      </c>
    </row>
    <row r="50" spans="1:13" x14ac:dyDescent="0.25">
      <c r="A50" s="2">
        <v>43</v>
      </c>
      <c r="B50" s="2">
        <f t="shared" si="0"/>
        <v>1925</v>
      </c>
      <c r="C50" s="2">
        <f t="shared" si="1"/>
        <v>4</v>
      </c>
      <c r="D50" s="4">
        <v>9252</v>
      </c>
      <c r="E50" s="3">
        <v>181.23525201198254</v>
      </c>
      <c r="F50" s="14">
        <v>0.75</v>
      </c>
      <c r="G50" s="3">
        <f>'Monthly CFS'!C50 * 86400 * DAY(EOMONTH(D50,0)) / 43560</f>
        <v>331.47230340254845</v>
      </c>
      <c r="H50" s="3"/>
      <c r="I50" s="2">
        <v>1964</v>
      </c>
      <c r="J50" s="12">
        <f t="shared" si="2"/>
        <v>25076.509132219053</v>
      </c>
      <c r="K50" s="2">
        <f t="shared" si="3"/>
        <v>146250</v>
      </c>
      <c r="L50" s="2">
        <f t="shared" si="4"/>
        <v>0</v>
      </c>
      <c r="M50" s="13">
        <f t="shared" si="5"/>
        <v>121173.49086778094</v>
      </c>
    </row>
    <row r="51" spans="1:13" x14ac:dyDescent="0.25">
      <c r="A51" s="2">
        <v>44</v>
      </c>
      <c r="B51" s="2">
        <f t="shared" si="0"/>
        <v>1925</v>
      </c>
      <c r="C51" s="2">
        <f t="shared" si="1"/>
        <v>5</v>
      </c>
      <c r="D51" s="4">
        <v>9283</v>
      </c>
      <c r="E51" s="3">
        <v>220.07156033713082</v>
      </c>
      <c r="F51" s="14">
        <v>1</v>
      </c>
      <c r="G51" s="3">
        <f>'Monthly CFS'!C51 * 86400 * DAY(EOMONTH(D51,0)) / 43560</f>
        <v>652.62954256958039</v>
      </c>
      <c r="H51" s="3"/>
      <c r="I51" s="2">
        <v>1965</v>
      </c>
      <c r="J51" s="12">
        <f t="shared" si="2"/>
        <v>25997.396938649759</v>
      </c>
      <c r="K51" s="2">
        <f t="shared" si="3"/>
        <v>195000</v>
      </c>
      <c r="L51" s="2">
        <f t="shared" si="4"/>
        <v>0</v>
      </c>
      <c r="M51" s="13">
        <f t="shared" si="5"/>
        <v>169002.60306135024</v>
      </c>
    </row>
    <row r="52" spans="1:13" x14ac:dyDescent="0.25">
      <c r="A52" s="2">
        <v>45</v>
      </c>
      <c r="B52" s="2">
        <f t="shared" si="0"/>
        <v>1925</v>
      </c>
      <c r="C52" s="2">
        <f t="shared" si="1"/>
        <v>6</v>
      </c>
      <c r="D52" s="4">
        <v>9313</v>
      </c>
      <c r="E52" s="3">
        <v>257.70906701703865</v>
      </c>
      <c r="F52" s="14">
        <v>1</v>
      </c>
      <c r="G52" s="3">
        <f>'Monthly CFS'!C52 * 86400 * DAY(EOMONTH(D52,0)) / 43560</f>
        <v>858.23121130802178</v>
      </c>
      <c r="H52" s="3"/>
      <c r="I52" s="2">
        <v>1966</v>
      </c>
      <c r="J52" s="12">
        <f t="shared" si="2"/>
        <v>20691.113818819387</v>
      </c>
      <c r="K52" s="2">
        <f t="shared" si="3"/>
        <v>195000</v>
      </c>
      <c r="L52" s="2">
        <f t="shared" si="4"/>
        <v>0</v>
      </c>
      <c r="M52" s="13">
        <f t="shared" si="5"/>
        <v>174308.8861811806</v>
      </c>
    </row>
    <row r="53" spans="1:13" x14ac:dyDescent="0.25">
      <c r="A53" s="2">
        <v>46</v>
      </c>
      <c r="B53" s="2">
        <f t="shared" si="0"/>
        <v>1925</v>
      </c>
      <c r="C53" s="2">
        <f t="shared" si="1"/>
        <v>7</v>
      </c>
      <c r="D53" s="4">
        <v>9344</v>
      </c>
      <c r="E53" s="3">
        <v>288.24290179325095</v>
      </c>
      <c r="F53" s="14">
        <v>1</v>
      </c>
      <c r="G53" s="3">
        <f>'Monthly CFS'!C53 * 86400 * DAY(EOMONTH(D53,0)) / 43560</f>
        <v>1101.2149847553608</v>
      </c>
      <c r="H53" s="3"/>
      <c r="I53" s="2">
        <v>1967</v>
      </c>
      <c r="J53" s="12">
        <f t="shared" si="2"/>
        <v>27323.977980192423</v>
      </c>
      <c r="K53" s="2">
        <f t="shared" si="3"/>
        <v>195000</v>
      </c>
      <c r="L53" s="2">
        <f t="shared" si="4"/>
        <v>0</v>
      </c>
      <c r="M53" s="13">
        <f t="shared" si="5"/>
        <v>167676.02201980757</v>
      </c>
    </row>
    <row r="54" spans="1:13" x14ac:dyDescent="0.25">
      <c r="A54" s="2">
        <v>47</v>
      </c>
      <c r="B54" s="2">
        <f t="shared" si="0"/>
        <v>1925</v>
      </c>
      <c r="C54" s="2">
        <f t="shared" si="1"/>
        <v>8</v>
      </c>
      <c r="D54" s="4">
        <v>9375</v>
      </c>
      <c r="E54" s="3">
        <v>279.99483921206041</v>
      </c>
      <c r="F54" s="14">
        <v>1</v>
      </c>
      <c r="G54" s="3">
        <f>'Monthly CFS'!C54 * 86400 * DAY(EOMONTH(D54,0)) / 43560</f>
        <v>1204.0158423344578</v>
      </c>
      <c r="H54" s="3"/>
      <c r="I54" s="2">
        <v>1968</v>
      </c>
      <c r="J54" s="12">
        <f t="shared" si="2"/>
        <v>26482.318475988301</v>
      </c>
      <c r="K54" s="2">
        <f t="shared" si="3"/>
        <v>180632.96474858437</v>
      </c>
      <c r="L54" s="2">
        <f t="shared" si="4"/>
        <v>0</v>
      </c>
      <c r="M54" s="13">
        <f t="shared" si="5"/>
        <v>154150.64627259609</v>
      </c>
    </row>
    <row r="55" spans="1:13" x14ac:dyDescent="0.25">
      <c r="A55" s="2">
        <v>48</v>
      </c>
      <c r="B55" s="2">
        <f t="shared" si="0"/>
        <v>1925</v>
      </c>
      <c r="C55" s="2">
        <f t="shared" si="1"/>
        <v>9</v>
      </c>
      <c r="D55" s="4">
        <v>9405</v>
      </c>
      <c r="E55" s="3">
        <v>253.56663201676471</v>
      </c>
      <c r="F55" s="14">
        <v>1</v>
      </c>
      <c r="G55" s="3">
        <f>'Monthly CFS'!C55 * 86400 * DAY(EOMONTH(D55,0)) / 43560</f>
        <v>1015.5476111760726</v>
      </c>
      <c r="H55" s="3"/>
      <c r="I55" s="2">
        <v>1969</v>
      </c>
      <c r="J55" s="12">
        <f t="shared" si="2"/>
        <v>27500.000001818174</v>
      </c>
      <c r="K55" s="2">
        <f t="shared" si="3"/>
        <v>195000</v>
      </c>
      <c r="L55" s="2">
        <f t="shared" si="4"/>
        <v>0</v>
      </c>
      <c r="M55" s="13">
        <f t="shared" si="5"/>
        <v>167499.99999818183</v>
      </c>
    </row>
    <row r="56" spans="1:13" x14ac:dyDescent="0.25">
      <c r="A56" s="2">
        <v>49</v>
      </c>
      <c r="B56" s="2">
        <f t="shared" si="0"/>
        <v>1925</v>
      </c>
      <c r="C56" s="2">
        <f t="shared" si="1"/>
        <v>10</v>
      </c>
      <c r="D56" s="4">
        <v>9436</v>
      </c>
      <c r="E56" s="3">
        <v>216.07475469170529</v>
      </c>
      <c r="F56" s="14">
        <v>1</v>
      </c>
      <c r="G56" s="3">
        <f>'Monthly CFS'!C56 * 86400 * DAY(EOMONTH(D56,0)) / 43560</f>
        <v>691.56923884299545</v>
      </c>
      <c r="H56" s="3"/>
      <c r="I56" s="2">
        <v>1970</v>
      </c>
      <c r="J56" s="12">
        <f t="shared" si="2"/>
        <v>27428.415506048601</v>
      </c>
      <c r="K56" s="2">
        <f t="shared" si="3"/>
        <v>195000</v>
      </c>
      <c r="L56" s="2">
        <f t="shared" si="4"/>
        <v>0</v>
      </c>
      <c r="M56" s="13">
        <f t="shared" si="5"/>
        <v>167571.58449395141</v>
      </c>
    </row>
    <row r="57" spans="1:13" x14ac:dyDescent="0.25">
      <c r="A57" s="2">
        <v>50</v>
      </c>
      <c r="B57" s="2">
        <f t="shared" si="0"/>
        <v>1925</v>
      </c>
      <c r="C57" s="2">
        <f t="shared" si="1"/>
        <v>11</v>
      </c>
      <c r="D57" s="4">
        <v>9466</v>
      </c>
      <c r="E57" s="3">
        <v>174.85540601156069</v>
      </c>
      <c r="F57" s="14">
        <v>1</v>
      </c>
      <c r="G57" s="3">
        <f>'Monthly CFS'!C57 * 86400 * DAY(EOMONTH(D57,0)) / 43560</f>
        <v>439.23993921843197</v>
      </c>
      <c r="H57" s="3"/>
      <c r="I57" s="2">
        <v>1971</v>
      </c>
      <c r="J57" s="12">
        <f t="shared" si="2"/>
        <v>20918.224025919015</v>
      </c>
      <c r="K57" s="2">
        <f t="shared" si="3"/>
        <v>195000</v>
      </c>
      <c r="L57" s="2">
        <f t="shared" si="4"/>
        <v>0</v>
      </c>
      <c r="M57" s="13">
        <f t="shared" si="5"/>
        <v>174081.77597408099</v>
      </c>
    </row>
    <row r="58" spans="1:13" x14ac:dyDescent="0.25">
      <c r="A58" s="2">
        <v>51</v>
      </c>
      <c r="B58" s="2">
        <f t="shared" si="0"/>
        <v>1925</v>
      </c>
      <c r="C58" s="2">
        <f t="shared" si="1"/>
        <v>12</v>
      </c>
      <c r="D58" s="4">
        <v>9497</v>
      </c>
      <c r="E58" s="3">
        <v>153.1868782359345</v>
      </c>
      <c r="F58" s="14">
        <v>1</v>
      </c>
      <c r="G58" s="3">
        <f>'Monthly CFS'!C58 * 86400 * DAY(EOMONTH(D58,0)) / 43560</f>
        <v>361.36051185678883</v>
      </c>
      <c r="H58" s="3"/>
      <c r="I58" s="2">
        <v>1972</v>
      </c>
      <c r="J58" s="12">
        <f t="shared" si="2"/>
        <v>19375.916617589894</v>
      </c>
      <c r="K58" s="2">
        <f t="shared" si="3"/>
        <v>195000</v>
      </c>
      <c r="L58" s="2">
        <f t="shared" si="4"/>
        <v>0</v>
      </c>
      <c r="M58" s="13">
        <f t="shared" si="5"/>
        <v>175624.08338241011</v>
      </c>
    </row>
    <row r="59" spans="1:13" x14ac:dyDescent="0.25">
      <c r="A59" s="2">
        <v>52</v>
      </c>
      <c r="B59" s="2">
        <f t="shared" si="0"/>
        <v>1926</v>
      </c>
      <c r="C59" s="2">
        <f t="shared" si="1"/>
        <v>1</v>
      </c>
      <c r="D59" s="4">
        <v>9528</v>
      </c>
      <c r="E59" s="3">
        <v>148.33069936464571</v>
      </c>
      <c r="F59" s="14">
        <v>1</v>
      </c>
      <c r="G59" s="3">
        <f>'Monthly CFS'!C59 * 86400 * DAY(EOMONTH(D59,0)) / 43560</f>
        <v>133.6782614947866</v>
      </c>
      <c r="H59" s="3"/>
      <c r="I59" s="2">
        <v>1973</v>
      </c>
      <c r="J59" s="12">
        <f t="shared" si="2"/>
        <v>27500.000001818182</v>
      </c>
      <c r="K59" s="2">
        <f t="shared" si="3"/>
        <v>195000</v>
      </c>
      <c r="L59" s="2">
        <f t="shared" si="4"/>
        <v>0</v>
      </c>
      <c r="M59" s="13">
        <f t="shared" si="5"/>
        <v>167499.99999818183</v>
      </c>
    </row>
    <row r="60" spans="1:13" x14ac:dyDescent="0.25">
      <c r="A60" s="2">
        <v>53</v>
      </c>
      <c r="B60" s="2">
        <f t="shared" si="0"/>
        <v>1926</v>
      </c>
      <c r="C60" s="2">
        <f t="shared" si="1"/>
        <v>2</v>
      </c>
      <c r="D60" s="4">
        <v>9556</v>
      </c>
      <c r="E60" s="3">
        <v>145.70191233106175</v>
      </c>
      <c r="F60" s="14">
        <v>0.75</v>
      </c>
      <c r="G60" s="3">
        <f>'Monthly CFS'!C60 * 86400 * DAY(EOMONTH(D60,0)) / 43560</f>
        <v>119.95750161395917</v>
      </c>
      <c r="H60" s="3"/>
      <c r="I60" s="2">
        <v>1974</v>
      </c>
      <c r="J60" s="12">
        <f t="shared" si="2"/>
        <v>27346.398891574408</v>
      </c>
      <c r="K60" s="2">
        <f t="shared" si="3"/>
        <v>195000</v>
      </c>
      <c r="L60" s="2">
        <f t="shared" si="4"/>
        <v>0</v>
      </c>
      <c r="M60" s="13">
        <f t="shared" si="5"/>
        <v>167653.60110842559</v>
      </c>
    </row>
    <row r="61" spans="1:13" x14ac:dyDescent="0.25">
      <c r="A61" s="2">
        <v>54</v>
      </c>
      <c r="B61" s="2">
        <f t="shared" si="0"/>
        <v>1926</v>
      </c>
      <c r="C61" s="2">
        <f t="shared" si="1"/>
        <v>3</v>
      </c>
      <c r="D61" s="4">
        <v>9587</v>
      </c>
      <c r="E61" s="3">
        <v>123.59371307269255</v>
      </c>
      <c r="F61" s="14">
        <v>0.49999999999999994</v>
      </c>
      <c r="G61" s="3">
        <f>'Monthly CFS'!C61 * 86400 * DAY(EOMONTH(D61,0)) / 43560</f>
        <v>633.43220234449745</v>
      </c>
      <c r="H61" s="3"/>
      <c r="I61" s="2">
        <v>1975</v>
      </c>
      <c r="J61" s="12">
        <f t="shared" si="2"/>
        <v>25565.241233437551</v>
      </c>
      <c r="K61" s="2">
        <f t="shared" si="3"/>
        <v>195000</v>
      </c>
      <c r="L61" s="2">
        <f t="shared" si="4"/>
        <v>0</v>
      </c>
      <c r="M61" s="13">
        <f t="shared" si="5"/>
        <v>169434.75876656245</v>
      </c>
    </row>
    <row r="62" spans="1:13" x14ac:dyDescent="0.25">
      <c r="A62" s="2">
        <v>55</v>
      </c>
      <c r="B62" s="2">
        <f t="shared" si="0"/>
        <v>1926</v>
      </c>
      <c r="C62" s="2">
        <f t="shared" si="1"/>
        <v>4</v>
      </c>
      <c r="D62" s="4">
        <v>9617</v>
      </c>
      <c r="E62" s="3">
        <v>196.32088667964661</v>
      </c>
      <c r="F62" s="14">
        <v>0.5</v>
      </c>
      <c r="G62" s="3">
        <f>'Monthly CFS'!C62 * 86400 * DAY(EOMONTH(D62,0)) / 43560</f>
        <v>314.04159282178665</v>
      </c>
      <c r="H62" s="3"/>
      <c r="I62" s="2">
        <v>1976</v>
      </c>
      <c r="J62" s="12">
        <f t="shared" si="2"/>
        <v>13277.317334200032</v>
      </c>
      <c r="K62" s="2">
        <f t="shared" si="3"/>
        <v>137688.10056241445</v>
      </c>
      <c r="L62" s="2">
        <f t="shared" si="4"/>
        <v>0</v>
      </c>
      <c r="M62" s="13">
        <f t="shared" si="5"/>
        <v>124410.78322821441</v>
      </c>
    </row>
    <row r="63" spans="1:13" x14ac:dyDescent="0.25">
      <c r="A63" s="2">
        <v>56</v>
      </c>
      <c r="B63" s="2">
        <f t="shared" si="0"/>
        <v>1926</v>
      </c>
      <c r="C63" s="2">
        <f t="shared" si="1"/>
        <v>5</v>
      </c>
      <c r="D63" s="4">
        <v>9648</v>
      </c>
      <c r="E63" s="3">
        <v>220.07156033713082</v>
      </c>
      <c r="F63" s="14">
        <v>0.60926254160237714</v>
      </c>
      <c r="G63" s="3">
        <f>'Monthly CFS'!C63 * 86400 * DAY(EOMONTH(D63,0)) / 43560</f>
        <v>1458.8751122155695</v>
      </c>
      <c r="H63" s="3"/>
      <c r="I63" s="2">
        <v>1977</v>
      </c>
      <c r="J63" s="12">
        <f t="shared" si="2"/>
        <v>3562.7230080466857</v>
      </c>
      <c r="K63" s="2">
        <f t="shared" si="3"/>
        <v>48750</v>
      </c>
      <c r="L63" s="2">
        <f t="shared" si="4"/>
        <v>0</v>
      </c>
      <c r="M63" s="13">
        <f t="shared" si="5"/>
        <v>45187.276991953317</v>
      </c>
    </row>
    <row r="64" spans="1:13" x14ac:dyDescent="0.25">
      <c r="A64" s="2">
        <v>57</v>
      </c>
      <c r="B64" s="2">
        <f t="shared" si="0"/>
        <v>1926</v>
      </c>
      <c r="C64" s="2">
        <f t="shared" si="1"/>
        <v>6</v>
      </c>
      <c r="D64" s="4">
        <v>9678</v>
      </c>
      <c r="E64" s="3">
        <v>257.70906701703865</v>
      </c>
      <c r="F64" s="14">
        <v>0.60926254160237714</v>
      </c>
      <c r="G64" s="3">
        <f>'Monthly CFS'!C64 * 86400 * DAY(EOMONTH(D64,0)) / 43560</f>
        <v>1918.4729973672729</v>
      </c>
      <c r="H64" s="3"/>
      <c r="I64" s="2">
        <v>1978</v>
      </c>
      <c r="J64" s="12">
        <f t="shared" si="2"/>
        <v>25272.809121435916</v>
      </c>
      <c r="K64" s="2">
        <f t="shared" si="3"/>
        <v>195000</v>
      </c>
      <c r="L64" s="2">
        <f t="shared" si="4"/>
        <v>0</v>
      </c>
      <c r="M64" s="13">
        <f t="shared" si="5"/>
        <v>169727.19087856408</v>
      </c>
    </row>
    <row r="65" spans="1:13" x14ac:dyDescent="0.25">
      <c r="A65" s="2">
        <v>58</v>
      </c>
      <c r="B65" s="2">
        <f t="shared" si="0"/>
        <v>1926</v>
      </c>
      <c r="C65" s="2">
        <f t="shared" si="1"/>
        <v>7</v>
      </c>
      <c r="D65" s="4">
        <v>9709</v>
      </c>
      <c r="E65" s="3">
        <v>288.24290179325095</v>
      </c>
      <c r="F65" s="14">
        <v>0.60926254160237714</v>
      </c>
      <c r="G65" s="3">
        <f>'Monthly CFS'!C65 * 86400 * DAY(EOMONTH(D65,0)) / 43560</f>
        <v>2461.6340966317234</v>
      </c>
      <c r="H65" s="3"/>
      <c r="I65" s="2">
        <v>1979</v>
      </c>
      <c r="J65" s="12">
        <f t="shared" si="2"/>
        <v>26591.553857895895</v>
      </c>
      <c r="K65" s="2">
        <f t="shared" si="3"/>
        <v>195000</v>
      </c>
      <c r="L65" s="2">
        <f t="shared" si="4"/>
        <v>0</v>
      </c>
      <c r="M65" s="13">
        <f t="shared" si="5"/>
        <v>168408.44614210411</v>
      </c>
    </row>
    <row r="66" spans="1:13" x14ac:dyDescent="0.25">
      <c r="A66" s="2">
        <v>59</v>
      </c>
      <c r="B66" s="2">
        <f t="shared" si="0"/>
        <v>1926</v>
      </c>
      <c r="C66" s="2">
        <f t="shared" si="1"/>
        <v>8</v>
      </c>
      <c r="D66" s="4">
        <v>9740</v>
      </c>
      <c r="E66" s="3">
        <v>279.99483921206041</v>
      </c>
      <c r="F66" s="14">
        <v>0.60926254160237714</v>
      </c>
      <c r="G66" s="3">
        <f>'Monthly CFS'!C66 * 86400 * DAY(EOMONTH(D66,0)) / 43560</f>
        <v>2691.4330910904705</v>
      </c>
      <c r="H66" s="3"/>
      <c r="I66" s="2">
        <v>1980</v>
      </c>
      <c r="J66" s="12">
        <f t="shared" si="2"/>
        <v>25454.299135482375</v>
      </c>
      <c r="K66" s="2">
        <f t="shared" si="3"/>
        <v>195000</v>
      </c>
      <c r="L66" s="2">
        <f t="shared" si="4"/>
        <v>0</v>
      </c>
      <c r="M66" s="13">
        <f t="shared" si="5"/>
        <v>169545.70086451762</v>
      </c>
    </row>
    <row r="67" spans="1:13" x14ac:dyDescent="0.25">
      <c r="A67" s="2">
        <v>60</v>
      </c>
      <c r="B67" s="2">
        <f t="shared" si="0"/>
        <v>1926</v>
      </c>
      <c r="C67" s="2">
        <f t="shared" si="1"/>
        <v>9</v>
      </c>
      <c r="D67" s="4">
        <v>9770</v>
      </c>
      <c r="E67" s="3">
        <v>253.56663201676477</v>
      </c>
      <c r="F67" s="14">
        <v>0.60926254160237714</v>
      </c>
      <c r="G67" s="3">
        <f>'Monthly CFS'!C67 * 86400 * DAY(EOMONTH(D67,0)) / 43560</f>
        <v>2270.1349518770662</v>
      </c>
      <c r="H67" s="3"/>
      <c r="I67" s="2">
        <v>1981</v>
      </c>
      <c r="J67" s="12">
        <f t="shared" si="2"/>
        <v>16628.929647916942</v>
      </c>
      <c r="K67" s="2">
        <f t="shared" si="3"/>
        <v>195000</v>
      </c>
      <c r="L67" s="2">
        <f t="shared" si="4"/>
        <v>0</v>
      </c>
      <c r="M67" s="13">
        <f t="shared" si="5"/>
        <v>178371.07035208307</v>
      </c>
    </row>
    <row r="68" spans="1:13" x14ac:dyDescent="0.25">
      <c r="A68" s="2">
        <v>61</v>
      </c>
      <c r="B68" s="2">
        <f t="shared" si="0"/>
        <v>1926</v>
      </c>
      <c r="C68" s="2">
        <f t="shared" si="1"/>
        <v>10</v>
      </c>
      <c r="D68" s="4">
        <v>9801</v>
      </c>
      <c r="E68" s="3">
        <v>216.07475469170532</v>
      </c>
      <c r="F68" s="14">
        <v>0.60926254160237714</v>
      </c>
      <c r="G68" s="3">
        <f>'Monthly CFS'!C68 * 86400 * DAY(EOMONTH(D68,0)) / 43560</f>
        <v>1545.9201355634987</v>
      </c>
      <c r="H68" s="3"/>
      <c r="I68" s="2">
        <v>1982</v>
      </c>
      <c r="J68" s="12">
        <f t="shared" si="2"/>
        <v>27500.000001818182</v>
      </c>
      <c r="K68" s="2">
        <f t="shared" si="3"/>
        <v>195000</v>
      </c>
      <c r="L68" s="2">
        <f t="shared" si="4"/>
        <v>0</v>
      </c>
      <c r="M68" s="13">
        <f t="shared" si="5"/>
        <v>167499.99999818183</v>
      </c>
    </row>
    <row r="69" spans="1:13" x14ac:dyDescent="0.25">
      <c r="A69" s="2">
        <v>62</v>
      </c>
      <c r="B69" s="2">
        <f t="shared" si="0"/>
        <v>1926</v>
      </c>
      <c r="C69" s="2">
        <f t="shared" si="1"/>
        <v>11</v>
      </c>
      <c r="D69" s="4">
        <v>9831</v>
      </c>
      <c r="E69" s="3">
        <v>174.85540601156069</v>
      </c>
      <c r="F69" s="14">
        <v>0.60926254160237714</v>
      </c>
      <c r="G69" s="3">
        <f>'Monthly CFS'!C69 * 86400 * DAY(EOMONTH(D69,0)) / 43560</f>
        <v>981.86823277086125</v>
      </c>
      <c r="H69" s="3"/>
      <c r="I69" s="2">
        <v>1983</v>
      </c>
      <c r="J69" s="12">
        <f t="shared" si="2"/>
        <v>27500.000001818182</v>
      </c>
      <c r="K69" s="2">
        <f t="shared" si="3"/>
        <v>195000</v>
      </c>
      <c r="L69" s="2">
        <f t="shared" si="4"/>
        <v>0</v>
      </c>
      <c r="M69" s="13">
        <f t="shared" si="5"/>
        <v>167499.99999818183</v>
      </c>
    </row>
    <row r="70" spans="1:13" x14ac:dyDescent="0.25">
      <c r="A70" s="2">
        <v>63</v>
      </c>
      <c r="B70" s="2">
        <f t="shared" si="0"/>
        <v>1926</v>
      </c>
      <c r="C70" s="2">
        <f t="shared" si="1"/>
        <v>12</v>
      </c>
      <c r="D70" s="4">
        <v>9862</v>
      </c>
      <c r="E70" s="3">
        <v>153.18687823594178</v>
      </c>
      <c r="F70" s="14">
        <v>0.60926254160237714</v>
      </c>
      <c r="G70" s="3">
        <f>'Monthly CFS'!C70 * 86400 * DAY(EOMONTH(D70,0)) / 43560</f>
        <v>807.77810825065933</v>
      </c>
      <c r="H70" s="3"/>
      <c r="I70" s="2">
        <v>1984</v>
      </c>
      <c r="J70" s="12">
        <f t="shared" si="2"/>
        <v>26326.269328485745</v>
      </c>
      <c r="K70" s="2">
        <f t="shared" si="3"/>
        <v>194999.99999999997</v>
      </c>
      <c r="L70" s="2">
        <f t="shared" si="4"/>
        <v>0</v>
      </c>
      <c r="M70" s="13">
        <f t="shared" si="5"/>
        <v>168673.73067151423</v>
      </c>
    </row>
    <row r="71" spans="1:13" x14ac:dyDescent="0.25">
      <c r="A71" s="2">
        <v>64</v>
      </c>
      <c r="B71" s="2">
        <f t="shared" si="0"/>
        <v>1927</v>
      </c>
      <c r="C71" s="2">
        <f t="shared" si="1"/>
        <v>1</v>
      </c>
      <c r="D71" s="4">
        <v>9893</v>
      </c>
      <c r="E71" s="3">
        <v>148.33069936464571</v>
      </c>
      <c r="F71" s="14">
        <v>0.60926254160237714</v>
      </c>
      <c r="G71" s="3">
        <f>'Monthly CFS'!C71 * 86400 * DAY(EOMONTH(D71,0)) / 43560</f>
        <v>864.92893801947582</v>
      </c>
      <c r="H71" s="3"/>
      <c r="I71" s="2">
        <v>1985</v>
      </c>
      <c r="J71" s="12">
        <f t="shared" si="2"/>
        <v>20088.883385683988</v>
      </c>
      <c r="K71" s="2">
        <f t="shared" si="3"/>
        <v>146250</v>
      </c>
      <c r="L71" s="2">
        <f t="shared" si="4"/>
        <v>0</v>
      </c>
      <c r="M71" s="13">
        <f t="shared" si="5"/>
        <v>126161.11661431601</v>
      </c>
    </row>
    <row r="72" spans="1:13" x14ac:dyDescent="0.25">
      <c r="A72" s="2">
        <v>65</v>
      </c>
      <c r="B72" s="2">
        <f t="shared" si="0"/>
        <v>1927</v>
      </c>
      <c r="C72" s="2">
        <f t="shared" si="1"/>
        <v>2</v>
      </c>
      <c r="D72" s="4">
        <v>9921</v>
      </c>
      <c r="E72" s="3">
        <v>145.70191233106175</v>
      </c>
      <c r="F72" s="14">
        <v>0.60926254160237714</v>
      </c>
      <c r="G72" s="3">
        <f>'Monthly CFS'!C72 * 86400 * DAY(EOMONTH(D72,0)) / 43560</f>
        <v>891.21049614912658</v>
      </c>
      <c r="H72" s="3"/>
      <c r="I72" s="2">
        <v>1986</v>
      </c>
      <c r="J72" s="12">
        <f t="shared" si="2"/>
        <v>25454.299135482383</v>
      </c>
      <c r="K72" s="2">
        <f t="shared" si="3"/>
        <v>195000</v>
      </c>
      <c r="L72" s="2">
        <f t="shared" si="4"/>
        <v>0</v>
      </c>
      <c r="M72" s="13">
        <f t="shared" si="5"/>
        <v>169545.70086451762</v>
      </c>
    </row>
    <row r="73" spans="1:13" x14ac:dyDescent="0.25">
      <c r="A73" s="2">
        <v>66</v>
      </c>
      <c r="B73" s="2">
        <f t="shared" ref="B73:B136" si="6">YEAR(D73)</f>
        <v>1927</v>
      </c>
      <c r="C73" s="2">
        <f t="shared" ref="C73:C136" si="7">MONTH(D73)</f>
        <v>3</v>
      </c>
      <c r="D73" s="4">
        <v>9952</v>
      </c>
      <c r="E73" s="3">
        <v>95.988743796668956</v>
      </c>
      <c r="F73" s="14">
        <v>1</v>
      </c>
      <c r="G73" s="3">
        <f>'Monthly CFS'!C73 * 86400 * DAY(EOMONTH(D73,0)) / 43560</f>
        <v>1314.2371232294151</v>
      </c>
      <c r="H73" s="3"/>
      <c r="I73" s="2">
        <v>1987</v>
      </c>
      <c r="J73" s="12">
        <f t="shared" ref="J73:J101" si="8">MIN(SUMIFS($G$8:$G$1207,$B$8:$B$1207,I73,$C$8:$C$1207,"&gt;2") + SUMIFS($G$8:$G$1207,$B$8:$B$1207,I73+1,$C$8:$C$1207,"&lt;3"),SUMIFS($F$8:$F$1207,$B$8:$B$1207,I73,$C$8:$C$1207,5)*195000)</f>
        <v>6708.544643322597</v>
      </c>
      <c r="K73" s="2">
        <f t="shared" ref="K73:K101" si="9">SUMIFS($F$8:$F$1207,$B$8:$B$1207,I73,$C$8:$C$1207,5)*195000</f>
        <v>146250.00000000003</v>
      </c>
      <c r="L73" s="2">
        <f t="shared" ref="L73:L101" si="10">IF(K73=J73,1,0)</f>
        <v>0</v>
      </c>
      <c r="M73" s="13">
        <f t="shared" ref="M73:M101" si="11">K73-J73</f>
        <v>139541.45535667744</v>
      </c>
    </row>
    <row r="74" spans="1:13" x14ac:dyDescent="0.25">
      <c r="A74" s="2">
        <v>67</v>
      </c>
      <c r="B74" s="2">
        <f t="shared" si="6"/>
        <v>1927</v>
      </c>
      <c r="C74" s="2">
        <f t="shared" si="7"/>
        <v>4</v>
      </c>
      <c r="D74" s="4">
        <v>9982</v>
      </c>
      <c r="E74" s="3">
        <v>127.84175342511904</v>
      </c>
      <c r="F74" s="14">
        <v>1</v>
      </c>
      <c r="G74" s="3">
        <f>'Monthly CFS'!C74 * 86400 * DAY(EOMONTH(D74,0)) / 43560</f>
        <v>1561.6876860582597</v>
      </c>
      <c r="H74" s="3"/>
      <c r="I74" s="2">
        <v>1988</v>
      </c>
      <c r="J74" s="12">
        <f t="shared" si="8"/>
        <v>3869.7642103256335</v>
      </c>
      <c r="K74" s="2">
        <f t="shared" si="9"/>
        <v>97500</v>
      </c>
      <c r="L74" s="2">
        <f t="shared" si="10"/>
        <v>0</v>
      </c>
      <c r="M74" s="13">
        <f t="shared" si="11"/>
        <v>93630.235789674363</v>
      </c>
    </row>
    <row r="75" spans="1:13" x14ac:dyDescent="0.25">
      <c r="A75" s="2">
        <v>68</v>
      </c>
      <c r="B75" s="2">
        <f t="shared" si="6"/>
        <v>1927</v>
      </c>
      <c r="C75" s="2">
        <f t="shared" si="7"/>
        <v>5</v>
      </c>
      <c r="D75" s="4">
        <v>10013</v>
      </c>
      <c r="E75" s="3">
        <v>173.69722718890347</v>
      </c>
      <c r="F75" s="14">
        <v>1</v>
      </c>
      <c r="G75" s="3">
        <f>'Monthly CFS'!C75 * 86400 * DAY(EOMONTH(D75,0)) / 43560</f>
        <v>2304.0392106647896</v>
      </c>
      <c r="H75" s="3"/>
      <c r="I75" s="2">
        <v>1989</v>
      </c>
      <c r="J75" s="12">
        <f t="shared" si="8"/>
        <v>24980.746746098663</v>
      </c>
      <c r="K75" s="2">
        <f t="shared" si="9"/>
        <v>186475.4653428703</v>
      </c>
      <c r="L75" s="2">
        <f t="shared" si="10"/>
        <v>0</v>
      </c>
      <c r="M75" s="13">
        <f t="shared" si="11"/>
        <v>161494.71859677165</v>
      </c>
    </row>
    <row r="76" spans="1:13" x14ac:dyDescent="0.25">
      <c r="A76" s="2">
        <v>69</v>
      </c>
      <c r="B76" s="2">
        <f t="shared" si="6"/>
        <v>1927</v>
      </c>
      <c r="C76" s="2">
        <f t="shared" si="7"/>
        <v>6</v>
      </c>
      <c r="D76" s="4">
        <v>10043</v>
      </c>
      <c r="E76" s="3">
        <v>230.63820084858213</v>
      </c>
      <c r="F76" s="14">
        <v>1</v>
      </c>
      <c r="G76" s="3">
        <f>'Monthly CFS'!C76 * 86400 * DAY(EOMONTH(D76,0)) / 43560</f>
        <v>3029.8940420080658</v>
      </c>
      <c r="H76" s="3"/>
      <c r="I76" s="2">
        <v>1990</v>
      </c>
      <c r="J76" s="12">
        <f t="shared" si="8"/>
        <v>3531.7799069327471</v>
      </c>
      <c r="K76" s="2">
        <f t="shared" si="9"/>
        <v>97500</v>
      </c>
      <c r="L76" s="2">
        <f t="shared" si="10"/>
        <v>0</v>
      </c>
      <c r="M76" s="13">
        <f t="shared" si="11"/>
        <v>93968.220093067255</v>
      </c>
    </row>
    <row r="77" spans="1:13" x14ac:dyDescent="0.25">
      <c r="A77" s="2">
        <v>70</v>
      </c>
      <c r="B77" s="2">
        <f t="shared" si="6"/>
        <v>1927</v>
      </c>
      <c r="C77" s="2">
        <f t="shared" si="7"/>
        <v>7</v>
      </c>
      <c r="D77" s="4">
        <v>10074</v>
      </c>
      <c r="E77" s="3">
        <v>271.71188667119026</v>
      </c>
      <c r="F77" s="14">
        <v>1</v>
      </c>
      <c r="G77" s="3">
        <f>'Monthly CFS'!C77 * 86400 * DAY(EOMONTH(D77,0)) / 43560</f>
        <v>3887.7224194573919</v>
      </c>
      <c r="H77" s="3"/>
      <c r="I77" s="2">
        <v>1991</v>
      </c>
      <c r="J77" s="12">
        <f t="shared" si="8"/>
        <v>3756.5315241225121</v>
      </c>
      <c r="K77" s="2">
        <f t="shared" si="9"/>
        <v>48749.999999999993</v>
      </c>
      <c r="L77" s="2">
        <f t="shared" si="10"/>
        <v>0</v>
      </c>
      <c r="M77" s="13">
        <f t="shared" si="11"/>
        <v>44993.468475877482</v>
      </c>
    </row>
    <row r="78" spans="1:13" x14ac:dyDescent="0.25">
      <c r="A78" s="2">
        <v>71</v>
      </c>
      <c r="B78" s="2">
        <f t="shared" si="6"/>
        <v>1927</v>
      </c>
      <c r="C78" s="2">
        <f t="shared" si="7"/>
        <v>8</v>
      </c>
      <c r="D78" s="4">
        <v>10105</v>
      </c>
      <c r="E78" s="3">
        <v>282.21761897027193</v>
      </c>
      <c r="F78" s="14">
        <v>1</v>
      </c>
      <c r="G78" s="3">
        <f>'Monthly CFS'!C78 * 86400 * DAY(EOMONTH(D78,0)) / 43560</f>
        <v>4250.6499170690258</v>
      </c>
      <c r="H78" s="3"/>
      <c r="I78" s="2">
        <v>1992</v>
      </c>
      <c r="J78" s="12">
        <f t="shared" si="8"/>
        <v>5760.9175924154679</v>
      </c>
      <c r="K78" s="2">
        <f t="shared" si="9"/>
        <v>97500</v>
      </c>
      <c r="L78" s="2">
        <f t="shared" si="10"/>
        <v>0</v>
      </c>
      <c r="M78" s="13">
        <f t="shared" si="11"/>
        <v>91739.08240758453</v>
      </c>
    </row>
    <row r="79" spans="1:13" x14ac:dyDescent="0.25">
      <c r="A79" s="2">
        <v>72</v>
      </c>
      <c r="B79" s="2">
        <f t="shared" si="6"/>
        <v>1927</v>
      </c>
      <c r="C79" s="2">
        <f t="shared" si="7"/>
        <v>9</v>
      </c>
      <c r="D79" s="4">
        <v>10135</v>
      </c>
      <c r="E79" s="3">
        <v>245.18670139121073</v>
      </c>
      <c r="F79" s="14">
        <v>1</v>
      </c>
      <c r="G79" s="3">
        <f>'Monthly CFS'!C79 * 86400 * DAY(EOMONTH(D79,0)) / 43560</f>
        <v>3585.2828654276946</v>
      </c>
      <c r="H79" s="3"/>
      <c r="I79" s="2">
        <v>1993</v>
      </c>
      <c r="J79" s="12">
        <f t="shared" si="8"/>
        <v>25459.98814293637</v>
      </c>
      <c r="K79" s="2">
        <f t="shared" si="9"/>
        <v>195000</v>
      </c>
      <c r="L79" s="2">
        <f t="shared" si="10"/>
        <v>0</v>
      </c>
      <c r="M79" s="13">
        <f t="shared" si="11"/>
        <v>169540.01185706363</v>
      </c>
    </row>
    <row r="80" spans="1:13" x14ac:dyDescent="0.25">
      <c r="A80" s="2">
        <v>73</v>
      </c>
      <c r="B80" s="2">
        <f t="shared" si="6"/>
        <v>1927</v>
      </c>
      <c r="C80" s="2">
        <f t="shared" si="7"/>
        <v>10</v>
      </c>
      <c r="D80" s="4">
        <v>10166</v>
      </c>
      <c r="E80" s="3">
        <v>208.40764336055324</v>
      </c>
      <c r="F80" s="14">
        <v>1</v>
      </c>
      <c r="G80" s="3">
        <f>'Monthly CFS'!C80 * 86400 * DAY(EOMONTH(D80,0)) / 43560</f>
        <v>2441.5116681819259</v>
      </c>
      <c r="H80" s="3"/>
      <c r="I80" s="2">
        <v>1994</v>
      </c>
      <c r="J80" s="12">
        <f t="shared" si="8"/>
        <v>9961.356401338875</v>
      </c>
      <c r="K80" s="2">
        <f t="shared" si="9"/>
        <v>123500.19878011376</v>
      </c>
      <c r="L80" s="2">
        <f t="shared" si="10"/>
        <v>0</v>
      </c>
      <c r="M80" s="13">
        <f t="shared" si="11"/>
        <v>113538.84237877489</v>
      </c>
    </row>
    <row r="81" spans="1:13" x14ac:dyDescent="0.25">
      <c r="A81" s="2">
        <v>74</v>
      </c>
      <c r="B81" s="2">
        <f t="shared" si="6"/>
        <v>1927</v>
      </c>
      <c r="C81" s="2">
        <f t="shared" si="7"/>
        <v>11</v>
      </c>
      <c r="D81" s="4">
        <v>10196</v>
      </c>
      <c r="E81" s="3">
        <v>139.9081154259168</v>
      </c>
      <c r="F81" s="14">
        <v>1</v>
      </c>
      <c r="G81" s="3">
        <f>'Monthly CFS'!C81 * 86400 * DAY(EOMONTH(D81,0)) / 43560</f>
        <v>1550.6899042060877</v>
      </c>
      <c r="H81" s="3"/>
      <c r="I81" s="2">
        <v>1995</v>
      </c>
      <c r="J81" s="12">
        <f t="shared" si="8"/>
        <v>27155.407515491097</v>
      </c>
      <c r="K81" s="2">
        <f t="shared" si="9"/>
        <v>195000</v>
      </c>
      <c r="L81" s="2">
        <f t="shared" si="10"/>
        <v>0</v>
      </c>
      <c r="M81" s="13">
        <f t="shared" si="11"/>
        <v>167844.5924845089</v>
      </c>
    </row>
    <row r="82" spans="1:13" x14ac:dyDescent="0.25">
      <c r="A82" s="2">
        <v>75</v>
      </c>
      <c r="B82" s="2">
        <f t="shared" si="6"/>
        <v>1927</v>
      </c>
      <c r="C82" s="2">
        <f t="shared" si="7"/>
        <v>12</v>
      </c>
      <c r="D82" s="4">
        <v>10227</v>
      </c>
      <c r="E82" s="3">
        <v>100.09781597435997</v>
      </c>
      <c r="F82" s="14">
        <v>1</v>
      </c>
      <c r="G82" s="3">
        <f>'Monthly CFS'!C82 * 86400 * DAY(EOMONTH(D82,0)) / 43560</f>
        <v>1275.7448662618172</v>
      </c>
      <c r="H82" s="3"/>
      <c r="I82" s="2">
        <v>1996</v>
      </c>
      <c r="J82" s="12">
        <f t="shared" si="8"/>
        <v>27500.000001818193</v>
      </c>
      <c r="K82" s="2">
        <f t="shared" si="9"/>
        <v>195000</v>
      </c>
      <c r="L82" s="2">
        <f t="shared" si="10"/>
        <v>0</v>
      </c>
      <c r="M82" s="13">
        <f t="shared" si="11"/>
        <v>167499.9999981818</v>
      </c>
    </row>
    <row r="83" spans="1:13" x14ac:dyDescent="0.25">
      <c r="A83" s="2">
        <v>76</v>
      </c>
      <c r="B83" s="2">
        <f t="shared" si="6"/>
        <v>1928</v>
      </c>
      <c r="C83" s="2">
        <f t="shared" si="7"/>
        <v>1</v>
      </c>
      <c r="D83" s="4">
        <v>10258</v>
      </c>
      <c r="E83" s="3">
        <v>94.480039683665979</v>
      </c>
      <c r="F83" s="14">
        <v>1</v>
      </c>
      <c r="G83" s="3">
        <f>'Monthly CFS'!C83 * 86400 * DAY(EOMONTH(D83,0)) / 43560</f>
        <v>919.05235885537331</v>
      </c>
      <c r="H83" s="3"/>
      <c r="I83" s="2">
        <v>1997</v>
      </c>
      <c r="J83" s="12">
        <f t="shared" si="8"/>
        <v>26525.824200668776</v>
      </c>
      <c r="K83" s="2">
        <f t="shared" si="9"/>
        <v>195000</v>
      </c>
      <c r="L83" s="2">
        <f t="shared" si="10"/>
        <v>0</v>
      </c>
      <c r="M83" s="13">
        <f t="shared" si="11"/>
        <v>168474.17579933122</v>
      </c>
    </row>
    <row r="84" spans="1:13" x14ac:dyDescent="0.25">
      <c r="A84" s="2">
        <v>77</v>
      </c>
      <c r="B84" s="2">
        <f t="shared" si="6"/>
        <v>1928</v>
      </c>
      <c r="C84" s="2">
        <f t="shared" si="7"/>
        <v>2</v>
      </c>
      <c r="D84" s="4">
        <v>10287</v>
      </c>
      <c r="E84" s="3">
        <v>104.89011216210733</v>
      </c>
      <c r="F84" s="14">
        <v>1</v>
      </c>
      <c r="G84" s="3">
        <f>'Monthly CFS'!C84 * 86400 * DAY(EOMONTH(D84,0)) / 43560</f>
        <v>705.65501888542201</v>
      </c>
      <c r="H84" s="3"/>
      <c r="I84" s="2">
        <v>1998</v>
      </c>
      <c r="J84" s="12">
        <f t="shared" si="8"/>
        <v>27500.000001818174</v>
      </c>
      <c r="K84" s="2">
        <f t="shared" si="9"/>
        <v>195000</v>
      </c>
      <c r="L84" s="2">
        <f t="shared" si="10"/>
        <v>0</v>
      </c>
      <c r="M84" s="13">
        <f t="shared" si="11"/>
        <v>167499.99999818183</v>
      </c>
    </row>
    <row r="85" spans="1:13" x14ac:dyDescent="0.25">
      <c r="A85" s="2">
        <v>78</v>
      </c>
      <c r="B85" s="2">
        <f t="shared" si="6"/>
        <v>1928</v>
      </c>
      <c r="C85" s="2">
        <f t="shared" si="7"/>
        <v>3</v>
      </c>
      <c r="D85" s="4">
        <v>10318</v>
      </c>
      <c r="E85" s="3">
        <v>106.88716825976091</v>
      </c>
      <c r="F85" s="14">
        <v>0.96276221310952481</v>
      </c>
      <c r="G85" s="3">
        <f>'Monthly CFS'!C85 * 86400 * DAY(EOMONTH(D85,0)) / 43560</f>
        <v>883.17181617249025</v>
      </c>
      <c r="H85" s="3"/>
      <c r="I85" s="2">
        <v>1999</v>
      </c>
      <c r="J85" s="12">
        <f t="shared" si="8"/>
        <v>26136.049616070053</v>
      </c>
      <c r="K85" s="2">
        <f t="shared" si="9"/>
        <v>194999.99999999997</v>
      </c>
      <c r="L85" s="2">
        <f t="shared" si="10"/>
        <v>0</v>
      </c>
      <c r="M85" s="13">
        <f t="shared" si="11"/>
        <v>168863.95038392991</v>
      </c>
    </row>
    <row r="86" spans="1:13" x14ac:dyDescent="0.25">
      <c r="A86" s="2">
        <v>79</v>
      </c>
      <c r="B86" s="2">
        <f t="shared" si="6"/>
        <v>1928</v>
      </c>
      <c r="C86" s="2">
        <f t="shared" si="7"/>
        <v>4</v>
      </c>
      <c r="D86" s="4">
        <v>10348</v>
      </c>
      <c r="E86" s="3">
        <v>140.91721845376131</v>
      </c>
      <c r="F86" s="14">
        <v>0.99999999999999989</v>
      </c>
      <c r="G86" s="3">
        <f>'Monthly CFS'!C86 * 86400 * DAY(EOMONTH(D86,0)) / 43560</f>
        <v>1561.6876860582588</v>
      </c>
      <c r="H86" s="3"/>
      <c r="I86" s="2">
        <v>2000</v>
      </c>
      <c r="J86" s="12">
        <f t="shared" si="8"/>
        <v>25454.299135482383</v>
      </c>
      <c r="K86" s="2">
        <f t="shared" si="9"/>
        <v>195000</v>
      </c>
      <c r="L86" s="2">
        <f t="shared" si="10"/>
        <v>0</v>
      </c>
      <c r="M86" s="13">
        <f t="shared" si="11"/>
        <v>169545.70086451762</v>
      </c>
    </row>
    <row r="87" spans="1:13" x14ac:dyDescent="0.25">
      <c r="A87" s="2">
        <v>80</v>
      </c>
      <c r="B87" s="2">
        <f t="shared" si="6"/>
        <v>1928</v>
      </c>
      <c r="C87" s="2">
        <f t="shared" si="7"/>
        <v>5</v>
      </c>
      <c r="D87" s="4">
        <v>10379</v>
      </c>
      <c r="E87" s="3">
        <v>172.19561393611599</v>
      </c>
      <c r="F87" s="14">
        <v>0.99999999999999989</v>
      </c>
      <c r="G87" s="3">
        <f>'Monthly CFS'!C87 * 86400 * DAY(EOMONTH(D87,0)) / 43560</f>
        <v>2304.0392106647905</v>
      </c>
      <c r="H87" s="3"/>
      <c r="I87" s="2">
        <v>2001</v>
      </c>
      <c r="J87" s="12">
        <f t="shared" si="8"/>
        <v>6957.2665452361816</v>
      </c>
      <c r="K87" s="2">
        <f t="shared" si="9"/>
        <v>195000</v>
      </c>
      <c r="L87" s="2">
        <f t="shared" si="10"/>
        <v>0</v>
      </c>
      <c r="M87" s="13">
        <f t="shared" si="11"/>
        <v>188042.73345476383</v>
      </c>
    </row>
    <row r="88" spans="1:13" x14ac:dyDescent="0.25">
      <c r="A88" s="2">
        <v>81</v>
      </c>
      <c r="B88" s="2">
        <f t="shared" si="6"/>
        <v>1928</v>
      </c>
      <c r="C88" s="2">
        <f t="shared" si="7"/>
        <v>6</v>
      </c>
      <c r="D88" s="4">
        <v>10409</v>
      </c>
      <c r="E88" s="3">
        <v>249.30857479426101</v>
      </c>
      <c r="F88" s="14">
        <v>1</v>
      </c>
      <c r="G88" s="3">
        <f>'Monthly CFS'!C88 * 86400 * DAY(EOMONTH(D88,0)) / 43560</f>
        <v>3029.8940420080658</v>
      </c>
      <c r="H88" s="3"/>
      <c r="I88" s="2">
        <v>2002</v>
      </c>
      <c r="J88" s="12">
        <f t="shared" si="8"/>
        <v>19610.41824605086</v>
      </c>
      <c r="K88" s="2">
        <f t="shared" si="9"/>
        <v>195000</v>
      </c>
      <c r="L88" s="2">
        <f t="shared" si="10"/>
        <v>0</v>
      </c>
      <c r="M88" s="13">
        <f t="shared" si="11"/>
        <v>175389.58175394914</v>
      </c>
    </row>
    <row r="89" spans="1:13" x14ac:dyDescent="0.25">
      <c r="A89" s="2">
        <v>82</v>
      </c>
      <c r="B89" s="2">
        <f t="shared" si="6"/>
        <v>1928</v>
      </c>
      <c r="C89" s="2">
        <f t="shared" si="7"/>
        <v>7</v>
      </c>
      <c r="D89" s="4">
        <v>10440</v>
      </c>
      <c r="E89" s="3">
        <v>274.69602802891444</v>
      </c>
      <c r="F89" s="14">
        <v>1</v>
      </c>
      <c r="G89" s="3">
        <f>'Monthly CFS'!C89 * 86400 * DAY(EOMONTH(D89,0)) / 43560</f>
        <v>3887.7224194573914</v>
      </c>
      <c r="H89" s="3"/>
      <c r="I89" s="2">
        <v>2003</v>
      </c>
      <c r="J89" s="12">
        <f t="shared" si="8"/>
        <v>22482.344082514937</v>
      </c>
      <c r="K89" s="2">
        <f t="shared" si="9"/>
        <v>195000</v>
      </c>
      <c r="L89" s="2">
        <f t="shared" si="10"/>
        <v>0</v>
      </c>
      <c r="M89" s="13">
        <f t="shared" si="11"/>
        <v>172517.65591748507</v>
      </c>
    </row>
    <row r="90" spans="1:13" x14ac:dyDescent="0.25">
      <c r="A90" s="2">
        <v>83</v>
      </c>
      <c r="B90" s="2">
        <f t="shared" si="6"/>
        <v>1928</v>
      </c>
      <c r="C90" s="2">
        <f t="shared" si="7"/>
        <v>8</v>
      </c>
      <c r="D90" s="4">
        <v>10471</v>
      </c>
      <c r="E90" s="3">
        <v>284.25012948115898</v>
      </c>
      <c r="F90" s="14">
        <v>0.99999999999999989</v>
      </c>
      <c r="G90" s="3">
        <f>'Monthly CFS'!C90 * 86400 * DAY(EOMONTH(D90,0)) / 43560</f>
        <v>4250.6499170690295</v>
      </c>
      <c r="H90" s="3"/>
      <c r="I90" s="2">
        <v>2004</v>
      </c>
      <c r="J90" s="12">
        <f t="shared" si="8"/>
        <v>26356.322615036013</v>
      </c>
      <c r="K90" s="2">
        <f t="shared" si="9"/>
        <v>195000</v>
      </c>
      <c r="L90" s="2">
        <f t="shared" si="10"/>
        <v>0</v>
      </c>
      <c r="M90" s="13">
        <f t="shared" si="11"/>
        <v>168643.67738496399</v>
      </c>
    </row>
    <row r="91" spans="1:13" x14ac:dyDescent="0.25">
      <c r="A91" s="2">
        <v>84</v>
      </c>
      <c r="B91" s="2">
        <f t="shared" si="6"/>
        <v>1928</v>
      </c>
      <c r="C91" s="2">
        <f t="shared" si="7"/>
        <v>9</v>
      </c>
      <c r="D91" s="4">
        <v>10501</v>
      </c>
      <c r="E91" s="3">
        <v>251.09751946104601</v>
      </c>
      <c r="F91" s="14">
        <v>1</v>
      </c>
      <c r="G91" s="3">
        <f>'Monthly CFS'!C91 * 86400 * DAY(EOMONTH(D91,0)) / 43560</f>
        <v>3585.2828654276959</v>
      </c>
      <c r="H91" s="3"/>
      <c r="I91" s="2">
        <v>2005</v>
      </c>
      <c r="J91" s="12">
        <f t="shared" si="8"/>
        <v>26954.430951741455</v>
      </c>
      <c r="K91" s="2">
        <f t="shared" si="9"/>
        <v>195000</v>
      </c>
      <c r="L91" s="2">
        <f t="shared" si="10"/>
        <v>0</v>
      </c>
      <c r="M91" s="13">
        <f t="shared" si="11"/>
        <v>168045.56904825853</v>
      </c>
    </row>
    <row r="92" spans="1:13" x14ac:dyDescent="0.25">
      <c r="A92" s="2">
        <v>85</v>
      </c>
      <c r="B92" s="2">
        <f t="shared" si="6"/>
        <v>1928</v>
      </c>
      <c r="C92" s="2">
        <f t="shared" si="7"/>
        <v>10</v>
      </c>
      <c r="D92" s="4">
        <v>10532</v>
      </c>
      <c r="E92" s="3">
        <v>215.12985528304065</v>
      </c>
      <c r="F92" s="14">
        <v>1</v>
      </c>
      <c r="G92" s="3">
        <f>'Monthly CFS'!C92 * 86400 * DAY(EOMONTH(D92,0)) / 43560</f>
        <v>2441.5116681819272</v>
      </c>
      <c r="H92" s="3"/>
      <c r="I92" s="2">
        <v>2006</v>
      </c>
      <c r="J92" s="12">
        <f t="shared" si="8"/>
        <v>26885.259382921111</v>
      </c>
      <c r="K92" s="2">
        <f t="shared" si="9"/>
        <v>195000</v>
      </c>
      <c r="L92" s="2">
        <f t="shared" si="10"/>
        <v>0</v>
      </c>
      <c r="M92" s="13">
        <f t="shared" si="11"/>
        <v>168114.7406170789</v>
      </c>
    </row>
    <row r="93" spans="1:13" x14ac:dyDescent="0.25">
      <c r="A93" s="2">
        <v>86</v>
      </c>
      <c r="B93" s="2">
        <f t="shared" si="6"/>
        <v>1928</v>
      </c>
      <c r="C93" s="2">
        <f t="shared" si="7"/>
        <v>11</v>
      </c>
      <c r="D93" s="4">
        <v>10562</v>
      </c>
      <c r="E93" s="3">
        <v>152.24052617673215</v>
      </c>
      <c r="F93" s="14">
        <v>1</v>
      </c>
      <c r="G93" s="3">
        <f>'Monthly CFS'!C93 * 86400 * DAY(EOMONTH(D93,0)) / 43560</f>
        <v>1550.6899042060888</v>
      </c>
      <c r="H93" s="3"/>
      <c r="I93" s="2">
        <v>2007</v>
      </c>
      <c r="J93" s="12">
        <f t="shared" si="8"/>
        <v>21094.721456102427</v>
      </c>
      <c r="K93" s="2">
        <f t="shared" si="9"/>
        <v>176463.13085346762</v>
      </c>
      <c r="L93" s="2">
        <f t="shared" si="10"/>
        <v>0</v>
      </c>
      <c r="M93" s="13">
        <f t="shared" si="11"/>
        <v>155368.40939736521</v>
      </c>
    </row>
    <row r="94" spans="1:13" x14ac:dyDescent="0.25">
      <c r="A94" s="2">
        <v>87</v>
      </c>
      <c r="B94" s="2">
        <f t="shared" si="6"/>
        <v>1928</v>
      </c>
      <c r="C94" s="2">
        <f t="shared" si="7"/>
        <v>12</v>
      </c>
      <c r="D94" s="4">
        <v>10593</v>
      </c>
      <c r="E94" s="3">
        <v>138.92959785864781</v>
      </c>
      <c r="F94" s="14">
        <v>1</v>
      </c>
      <c r="G94" s="3">
        <f>'Monthly CFS'!C94 * 86400 * DAY(EOMONTH(D94,0)) / 43560</f>
        <v>1275.7448662618176</v>
      </c>
      <c r="H94" s="3"/>
      <c r="I94" s="2">
        <v>2008</v>
      </c>
      <c r="J94" s="12">
        <f t="shared" si="8"/>
        <v>4391.0059725556566</v>
      </c>
      <c r="K94" s="2">
        <f t="shared" si="9"/>
        <v>146250</v>
      </c>
      <c r="L94" s="2">
        <f t="shared" si="10"/>
        <v>0</v>
      </c>
      <c r="M94" s="13">
        <f t="shared" si="11"/>
        <v>141858.99402744434</v>
      </c>
    </row>
    <row r="95" spans="1:13" x14ac:dyDescent="0.25">
      <c r="A95" s="2">
        <v>88</v>
      </c>
      <c r="B95" s="2">
        <f t="shared" si="6"/>
        <v>1929</v>
      </c>
      <c r="C95" s="2">
        <f t="shared" si="7"/>
        <v>1</v>
      </c>
      <c r="D95" s="4">
        <v>10624</v>
      </c>
      <c r="E95" s="3">
        <v>110.24576070621373</v>
      </c>
      <c r="F95" s="14">
        <v>1</v>
      </c>
      <c r="G95" s="3">
        <f>'Monthly CFS'!C95 * 86400 * DAY(EOMONTH(D95,0)) / 43560</f>
        <v>133.67826149478657</v>
      </c>
      <c r="H95" s="3"/>
      <c r="I95" s="2">
        <v>2009</v>
      </c>
      <c r="J95" s="12">
        <f t="shared" si="8"/>
        <v>16864.830247370421</v>
      </c>
      <c r="K95" s="2">
        <f t="shared" si="9"/>
        <v>168028.1134147725</v>
      </c>
      <c r="L95" s="2">
        <f t="shared" si="10"/>
        <v>0</v>
      </c>
      <c r="M95" s="13">
        <f t="shared" si="11"/>
        <v>151163.28316740209</v>
      </c>
    </row>
    <row r="96" spans="1:13" x14ac:dyDescent="0.25">
      <c r="A96" s="2">
        <v>89</v>
      </c>
      <c r="B96" s="2">
        <f t="shared" si="6"/>
        <v>1929</v>
      </c>
      <c r="C96" s="2">
        <f t="shared" si="7"/>
        <v>2</v>
      </c>
      <c r="D96" s="4">
        <v>10652</v>
      </c>
      <c r="E96" s="3">
        <v>102.91438209013761</v>
      </c>
      <c r="F96" s="14">
        <v>0.25</v>
      </c>
      <c r="G96" s="3">
        <f>'Monthly CFS'!C96 * 86400 * DAY(EOMONTH(D96,0)) / 43560</f>
        <v>119.16117142312106</v>
      </c>
      <c r="H96" s="3"/>
      <c r="I96" s="2">
        <v>2010</v>
      </c>
      <c r="J96" s="12">
        <f t="shared" si="8"/>
        <v>18748.411225467557</v>
      </c>
      <c r="K96" s="2">
        <f t="shared" si="9"/>
        <v>195000</v>
      </c>
      <c r="L96" s="2">
        <f t="shared" si="10"/>
        <v>0</v>
      </c>
      <c r="M96" s="13">
        <f t="shared" si="11"/>
        <v>176251.58877453243</v>
      </c>
    </row>
    <row r="97" spans="1:13" x14ac:dyDescent="0.25">
      <c r="A97" s="2">
        <v>90</v>
      </c>
      <c r="B97" s="2">
        <f t="shared" si="6"/>
        <v>1929</v>
      </c>
      <c r="C97" s="2">
        <f t="shared" si="7"/>
        <v>3</v>
      </c>
      <c r="D97" s="4">
        <v>10683</v>
      </c>
      <c r="E97" s="3">
        <v>152.55323506385685</v>
      </c>
      <c r="F97" s="14">
        <v>0.5</v>
      </c>
      <c r="G97" s="3">
        <f>'Monthly CFS'!C97 * 86400 * DAY(EOMONTH(D97,0)) / 43560</f>
        <v>158.10729635979004</v>
      </c>
      <c r="H97" s="3"/>
      <c r="I97" s="2">
        <v>2011</v>
      </c>
      <c r="J97" s="12">
        <f t="shared" si="8"/>
        <v>26796.783530849985</v>
      </c>
      <c r="K97" s="2">
        <f t="shared" si="9"/>
        <v>195000</v>
      </c>
      <c r="L97" s="2">
        <f t="shared" si="10"/>
        <v>0</v>
      </c>
      <c r="M97" s="13">
        <f t="shared" si="11"/>
        <v>168203.21646915001</v>
      </c>
    </row>
    <row r="98" spans="1:13" x14ac:dyDescent="0.25">
      <c r="A98" s="2">
        <v>91</v>
      </c>
      <c r="B98" s="2">
        <f t="shared" si="6"/>
        <v>1929</v>
      </c>
      <c r="C98" s="2">
        <f t="shared" si="7"/>
        <v>4</v>
      </c>
      <c r="D98" s="4">
        <v>10713</v>
      </c>
      <c r="E98" s="3">
        <v>196.32088667964658</v>
      </c>
      <c r="F98" s="14">
        <v>0.25</v>
      </c>
      <c r="G98" s="3">
        <f>'Monthly CFS'!C98 * 86400 * DAY(EOMONTH(D98,0)) / 43560</f>
        <v>182.95585565009026</v>
      </c>
      <c r="H98" s="3"/>
      <c r="I98" s="2">
        <v>2012</v>
      </c>
      <c r="J98" s="12">
        <f t="shared" si="8"/>
        <v>26742.686563473821</v>
      </c>
      <c r="K98" s="2">
        <f t="shared" si="9"/>
        <v>195000</v>
      </c>
      <c r="L98" s="2">
        <f t="shared" si="10"/>
        <v>0</v>
      </c>
      <c r="M98" s="13">
        <f t="shared" si="11"/>
        <v>168257.31343652616</v>
      </c>
    </row>
    <row r="99" spans="1:13" x14ac:dyDescent="0.25">
      <c r="A99" s="2">
        <v>92</v>
      </c>
      <c r="B99" s="2">
        <f t="shared" si="6"/>
        <v>1929</v>
      </c>
      <c r="C99" s="2">
        <f t="shared" si="7"/>
        <v>5</v>
      </c>
      <c r="D99" s="4">
        <v>10744</v>
      </c>
      <c r="E99" s="3">
        <v>239.89165958575308</v>
      </c>
      <c r="F99" s="14">
        <v>0.25</v>
      </c>
      <c r="G99" s="3">
        <f>'Monthly CFS'!C99 * 86400 * DAY(EOMONTH(D99,0)) / 43560</f>
        <v>276.19941365326719</v>
      </c>
      <c r="H99" s="3"/>
      <c r="I99" s="2">
        <v>2013</v>
      </c>
      <c r="J99" s="12">
        <f t="shared" si="8"/>
        <v>15541.353666118859</v>
      </c>
      <c r="K99" s="2">
        <f t="shared" si="9"/>
        <v>145117.67895168212</v>
      </c>
      <c r="L99" s="2">
        <f t="shared" si="10"/>
        <v>0</v>
      </c>
      <c r="M99" s="13">
        <f t="shared" si="11"/>
        <v>129576.32528556326</v>
      </c>
    </row>
    <row r="100" spans="1:13" x14ac:dyDescent="0.25">
      <c r="A100" s="2">
        <v>93</v>
      </c>
      <c r="B100" s="2">
        <f t="shared" si="6"/>
        <v>1929</v>
      </c>
      <c r="C100" s="2">
        <f t="shared" si="7"/>
        <v>6</v>
      </c>
      <c r="D100" s="4">
        <v>10774</v>
      </c>
      <c r="E100" s="3">
        <v>275.36306112931697</v>
      </c>
      <c r="F100" s="14">
        <v>0.25</v>
      </c>
      <c r="G100" s="3">
        <f>'Monthly CFS'!C100 * 86400 * DAY(EOMONTH(D100,0)) / 43560</f>
        <v>363.2121163392423</v>
      </c>
      <c r="H100" s="3"/>
      <c r="I100" s="2">
        <v>2014</v>
      </c>
      <c r="J100" s="12">
        <f t="shared" si="8"/>
        <v>3453.3567434867973</v>
      </c>
      <c r="K100" s="2">
        <f t="shared" si="9"/>
        <v>48750</v>
      </c>
      <c r="L100" s="2">
        <f t="shared" si="10"/>
        <v>0</v>
      </c>
      <c r="M100" s="13">
        <f t="shared" si="11"/>
        <v>45296.643256513205</v>
      </c>
    </row>
    <row r="101" spans="1:13" x14ac:dyDescent="0.25">
      <c r="A101" s="2">
        <v>94</v>
      </c>
      <c r="B101" s="2">
        <f t="shared" si="6"/>
        <v>1929</v>
      </c>
      <c r="C101" s="2">
        <f t="shared" si="7"/>
        <v>7</v>
      </c>
      <c r="D101" s="4">
        <v>10805</v>
      </c>
      <c r="E101" s="3">
        <v>287.21574840608628</v>
      </c>
      <c r="F101" s="14">
        <v>0.25</v>
      </c>
      <c r="G101" s="3">
        <f>'Monthly CFS'!C101 * 86400 * DAY(EOMONTH(D101,0)) / 43560</f>
        <v>466.04530327891899</v>
      </c>
      <c r="H101" s="3"/>
      <c r="I101" s="2">
        <v>2015</v>
      </c>
      <c r="J101" s="12">
        <f t="shared" si="8"/>
        <v>4919.7162135359631</v>
      </c>
      <c r="K101" s="2">
        <f t="shared" si="9"/>
        <v>97500</v>
      </c>
      <c r="L101" s="2">
        <f t="shared" si="10"/>
        <v>0</v>
      </c>
      <c r="M101" s="13">
        <f t="shared" si="11"/>
        <v>92580.283786464031</v>
      </c>
    </row>
    <row r="102" spans="1:13" x14ac:dyDescent="0.25">
      <c r="A102" s="2">
        <v>95</v>
      </c>
      <c r="B102" s="2">
        <f t="shared" si="6"/>
        <v>1929</v>
      </c>
      <c r="C102" s="2">
        <f t="shared" si="7"/>
        <v>8</v>
      </c>
      <c r="D102" s="4">
        <v>10836</v>
      </c>
      <c r="E102" s="3">
        <v>278.99732431952634</v>
      </c>
      <c r="F102" s="14">
        <v>0.25</v>
      </c>
      <c r="G102" s="3">
        <f>'Monthly CFS'!C102 * 86400 * DAY(EOMONTH(D102,0)) / 43560</f>
        <v>509.55166444456052</v>
      </c>
      <c r="H102" s="3"/>
    </row>
    <row r="103" spans="1:13" x14ac:dyDescent="0.25">
      <c r="A103" s="2">
        <v>96</v>
      </c>
      <c r="B103" s="2">
        <f t="shared" si="6"/>
        <v>1929</v>
      </c>
      <c r="C103" s="2">
        <f t="shared" si="7"/>
        <v>9</v>
      </c>
      <c r="D103" s="4">
        <v>10866</v>
      </c>
      <c r="E103" s="3">
        <v>254.31992423904148</v>
      </c>
      <c r="F103" s="14">
        <v>0.25</v>
      </c>
      <c r="G103" s="3">
        <f>'Monthly CFS'!C103 * 86400 * DAY(EOMONTH(D103,0)) / 43560</f>
        <v>429.79000558176921</v>
      </c>
      <c r="H103" s="3"/>
    </row>
    <row r="104" spans="1:13" x14ac:dyDescent="0.25">
      <c r="A104" s="2">
        <v>97</v>
      </c>
      <c r="B104" s="2">
        <f t="shared" si="6"/>
        <v>1929</v>
      </c>
      <c r="C104" s="2">
        <f t="shared" si="7"/>
        <v>10</v>
      </c>
      <c r="D104" s="4">
        <v>10897</v>
      </c>
      <c r="E104" s="3">
        <v>214.84262990668233</v>
      </c>
      <c r="F104" s="14">
        <v>0.25</v>
      </c>
      <c r="G104" s="3">
        <f>'Monthly CFS'!C104 * 86400 * DAY(EOMONTH(D104,0)) / 43560</f>
        <v>292.67908638798218</v>
      </c>
      <c r="H104" s="3"/>
    </row>
    <row r="105" spans="1:13" x14ac:dyDescent="0.25">
      <c r="A105" s="2">
        <v>98</v>
      </c>
      <c r="B105" s="2">
        <f t="shared" si="6"/>
        <v>1929</v>
      </c>
      <c r="C105" s="2">
        <f t="shared" si="7"/>
        <v>11</v>
      </c>
      <c r="D105" s="4">
        <v>10927</v>
      </c>
      <c r="E105" s="3">
        <v>177.10611356727063</v>
      </c>
      <c r="F105" s="14">
        <v>0.25</v>
      </c>
      <c r="G105" s="3">
        <f>'Monthly CFS'!C105 * 86400 * DAY(EOMONTH(D105,0)) / 43560</f>
        <v>185.89077838488026</v>
      </c>
      <c r="H105" s="3"/>
    </row>
    <row r="106" spans="1:13" x14ac:dyDescent="0.25">
      <c r="A106" s="2">
        <v>99</v>
      </c>
      <c r="B106" s="2">
        <f t="shared" si="6"/>
        <v>1929</v>
      </c>
      <c r="C106" s="2">
        <f t="shared" si="7"/>
        <v>12</v>
      </c>
      <c r="D106" s="4">
        <v>10958</v>
      </c>
      <c r="E106" s="3">
        <v>161.98826861286767</v>
      </c>
      <c r="F106" s="14">
        <v>0.25</v>
      </c>
      <c r="G106" s="3">
        <f>'Monthly CFS'!C106 * 86400 * DAY(EOMONTH(D106,0)) / 43560</f>
        <v>152.93141818146941</v>
      </c>
      <c r="H106" s="3"/>
    </row>
    <row r="107" spans="1:13" x14ac:dyDescent="0.25">
      <c r="A107" s="2">
        <v>100</v>
      </c>
      <c r="B107" s="2">
        <f t="shared" si="6"/>
        <v>1930</v>
      </c>
      <c r="C107" s="2">
        <f t="shared" si="7"/>
        <v>1</v>
      </c>
      <c r="D107" s="4">
        <v>10989</v>
      </c>
      <c r="E107" s="3">
        <v>157.69227420397434</v>
      </c>
      <c r="F107" s="14">
        <v>0.24999999999999997</v>
      </c>
      <c r="G107" s="3">
        <f>'Monthly CFS'!C107 * 86400 * DAY(EOMONTH(D107,0)) / 43560</f>
        <v>133.6782614947866</v>
      </c>
      <c r="H107" s="3"/>
    </row>
    <row r="108" spans="1:13" x14ac:dyDescent="0.25">
      <c r="A108" s="2">
        <v>101</v>
      </c>
      <c r="B108" s="2">
        <f t="shared" si="6"/>
        <v>1930</v>
      </c>
      <c r="C108" s="2">
        <f t="shared" si="7"/>
        <v>2</v>
      </c>
      <c r="D108" s="4">
        <v>11017</v>
      </c>
      <c r="E108" s="3">
        <v>173.743928821011</v>
      </c>
      <c r="F108" s="14">
        <v>0.5</v>
      </c>
      <c r="G108" s="3">
        <f>'Monthly CFS'!C108 * 86400 * DAY(EOMONTH(D108,0)) / 43560</f>
        <v>204.1973042365565</v>
      </c>
      <c r="H108" s="3"/>
    </row>
    <row r="109" spans="1:13" x14ac:dyDescent="0.25">
      <c r="A109" s="2">
        <v>102</v>
      </c>
      <c r="B109" s="2">
        <f t="shared" si="6"/>
        <v>1930</v>
      </c>
      <c r="C109" s="2">
        <f t="shared" si="7"/>
        <v>3</v>
      </c>
      <c r="D109" s="4">
        <v>11048</v>
      </c>
      <c r="E109" s="3">
        <v>123.59371307269379</v>
      </c>
      <c r="F109" s="14">
        <v>0.5</v>
      </c>
      <c r="G109" s="3">
        <f>'Monthly CFS'!C109 * 86400 * DAY(EOMONTH(D109,0)) / 43560</f>
        <v>276.45858286647228</v>
      </c>
      <c r="H109" s="3"/>
    </row>
    <row r="110" spans="1:13" x14ac:dyDescent="0.25">
      <c r="A110" s="2">
        <v>103</v>
      </c>
      <c r="B110" s="2">
        <f t="shared" si="6"/>
        <v>1930</v>
      </c>
      <c r="C110" s="2">
        <f t="shared" si="7"/>
        <v>4</v>
      </c>
      <c r="D110" s="4">
        <v>11078</v>
      </c>
      <c r="E110" s="3">
        <v>181.23525201198254</v>
      </c>
      <c r="F110" s="14">
        <v>0.59027472197617692</v>
      </c>
      <c r="G110" s="3">
        <f>'Monthly CFS'!C110 * 86400 * DAY(EOMONTH(D110,0)) / 43560</f>
        <v>1084.688198427815</v>
      </c>
      <c r="H110" s="3"/>
    </row>
    <row r="111" spans="1:13" x14ac:dyDescent="0.25">
      <c r="A111" s="2">
        <v>104</v>
      </c>
      <c r="B111" s="2">
        <f t="shared" si="6"/>
        <v>1930</v>
      </c>
      <c r="C111" s="2">
        <f t="shared" si="7"/>
        <v>5</v>
      </c>
      <c r="D111" s="4">
        <v>11109</v>
      </c>
      <c r="E111" s="3">
        <v>220.07156033713079</v>
      </c>
      <c r="F111" s="14">
        <v>0.5771663907080844</v>
      </c>
      <c r="G111" s="3">
        <f>'Monthly CFS'!C111 * 86400 * DAY(EOMONTH(D111,0)) / 43560</f>
        <v>1600.2970138229064</v>
      </c>
      <c r="H111" s="3"/>
    </row>
    <row r="112" spans="1:13" x14ac:dyDescent="0.25">
      <c r="A112" s="2">
        <v>105</v>
      </c>
      <c r="B112" s="2">
        <f t="shared" si="6"/>
        <v>1930</v>
      </c>
      <c r="C112" s="2">
        <f t="shared" si="7"/>
        <v>6</v>
      </c>
      <c r="D112" s="4">
        <v>11139</v>
      </c>
      <c r="E112" s="3">
        <v>257.70906701703865</v>
      </c>
      <c r="F112" s="14">
        <v>0.5771663907080844</v>
      </c>
      <c r="G112" s="3">
        <f>'Monthly CFS'!C112 * 86400 * DAY(EOMONTH(D112,0)) / 43560</f>
        <v>2104.4478606014291</v>
      </c>
      <c r="H112" s="3"/>
    </row>
    <row r="113" spans="1:8" x14ac:dyDescent="0.25">
      <c r="A113" s="2">
        <v>106</v>
      </c>
      <c r="B113" s="2">
        <f t="shared" si="6"/>
        <v>1930</v>
      </c>
      <c r="C113" s="2">
        <f t="shared" si="7"/>
        <v>7</v>
      </c>
      <c r="D113" s="4">
        <v>11170</v>
      </c>
      <c r="E113" s="3">
        <v>288.24290179325095</v>
      </c>
      <c r="F113" s="14">
        <v>0.5771663907080844</v>
      </c>
      <c r="G113" s="3">
        <f>'Monthly CFS'!C113 * 86400 * DAY(EOMONTH(D113,0)) / 43560</f>
        <v>2700.2624563125028</v>
      </c>
      <c r="H113" s="3"/>
    </row>
    <row r="114" spans="1:8" x14ac:dyDescent="0.25">
      <c r="A114" s="2">
        <v>107</v>
      </c>
      <c r="B114" s="2">
        <f t="shared" si="6"/>
        <v>1930</v>
      </c>
      <c r="C114" s="2">
        <f t="shared" si="7"/>
        <v>8</v>
      </c>
      <c r="D114" s="4">
        <v>11201</v>
      </c>
      <c r="E114" s="3">
        <v>279.99483921206041</v>
      </c>
      <c r="F114" s="14">
        <v>0.5771663907080844</v>
      </c>
      <c r="G114" s="3">
        <f>'Monthly CFS'!C114 * 86400 * DAY(EOMONTH(D114,0)) / 43560</f>
        <v>2952.3379366141367</v>
      </c>
      <c r="H114" s="3"/>
    </row>
    <row r="115" spans="1:8" x14ac:dyDescent="0.25">
      <c r="A115" s="2">
        <v>108</v>
      </c>
      <c r="B115" s="2">
        <f t="shared" si="6"/>
        <v>1930</v>
      </c>
      <c r="C115" s="2">
        <f t="shared" si="7"/>
        <v>9</v>
      </c>
      <c r="D115" s="4">
        <v>11231</v>
      </c>
      <c r="E115" s="3">
        <v>253.56663201676474</v>
      </c>
      <c r="F115" s="14">
        <v>0.5771663907080844</v>
      </c>
      <c r="G115" s="3">
        <f>'Monthly CFS'!C115 * 86400 * DAY(EOMONTH(D115,0)) / 43560</f>
        <v>2490.1995750319329</v>
      </c>
      <c r="H115" s="3"/>
    </row>
    <row r="116" spans="1:8" x14ac:dyDescent="0.25">
      <c r="A116" s="2">
        <v>109</v>
      </c>
      <c r="B116" s="2">
        <f t="shared" si="6"/>
        <v>1930</v>
      </c>
      <c r="C116" s="2">
        <f t="shared" si="7"/>
        <v>10</v>
      </c>
      <c r="D116" s="4">
        <v>11262</v>
      </c>
      <c r="E116" s="3">
        <v>216.07475469170529</v>
      </c>
      <c r="F116" s="14">
        <v>0.5771663907080844</v>
      </c>
      <c r="G116" s="3">
        <f>'Monthly CFS'!C116 * 86400 * DAY(EOMONTH(D116,0)) / 43560</f>
        <v>1695.7800951130434</v>
      </c>
      <c r="H116" s="3"/>
    </row>
    <row r="117" spans="1:8" x14ac:dyDescent="0.25">
      <c r="A117" s="2">
        <v>110</v>
      </c>
      <c r="B117" s="2">
        <f t="shared" si="6"/>
        <v>1930</v>
      </c>
      <c r="C117" s="2">
        <f t="shared" si="7"/>
        <v>11</v>
      </c>
      <c r="D117" s="4">
        <v>11292</v>
      </c>
      <c r="E117" s="3">
        <v>174.85540601156069</v>
      </c>
      <c r="F117" s="14">
        <v>0.5771663907080844</v>
      </c>
      <c r="G117" s="3">
        <f>'Monthly CFS'!C117 * 86400 * DAY(EOMONTH(D117,0)) / 43560</f>
        <v>1077.0495621688308</v>
      </c>
      <c r="H117" s="3"/>
    </row>
    <row r="118" spans="1:8" x14ac:dyDescent="0.25">
      <c r="A118" s="2">
        <v>111</v>
      </c>
      <c r="B118" s="2">
        <f t="shared" si="6"/>
        <v>1930</v>
      </c>
      <c r="C118" s="2">
        <f t="shared" si="7"/>
        <v>12</v>
      </c>
      <c r="D118" s="4">
        <v>11323</v>
      </c>
      <c r="E118" s="3">
        <v>153.1868782359345</v>
      </c>
      <c r="F118" s="14">
        <v>0.5771663907080844</v>
      </c>
      <c r="G118" s="3">
        <f>'Monthly CFS'!C118 * 86400 * DAY(EOMONTH(D118,0)) / 43560</f>
        <v>886.08331421999924</v>
      </c>
      <c r="H118" s="3"/>
    </row>
    <row r="119" spans="1:8" x14ac:dyDescent="0.25">
      <c r="A119" s="2">
        <v>112</v>
      </c>
      <c r="B119" s="2">
        <f t="shared" si="6"/>
        <v>1931</v>
      </c>
      <c r="C119" s="2">
        <f t="shared" si="7"/>
        <v>1</v>
      </c>
      <c r="D119" s="4">
        <v>11354</v>
      </c>
      <c r="E119" s="3">
        <v>148.33069936464571</v>
      </c>
      <c r="F119" s="14">
        <v>0.5771663907080844</v>
      </c>
      <c r="G119" s="3">
        <f>'Monthly CFS'!C119 * 86400 * DAY(EOMONTH(D119,0)) / 43560</f>
        <v>133.67826149478657</v>
      </c>
      <c r="H119" s="3"/>
    </row>
    <row r="120" spans="1:8" x14ac:dyDescent="0.25">
      <c r="A120" s="2">
        <v>113</v>
      </c>
      <c r="B120" s="2">
        <f t="shared" si="6"/>
        <v>1931</v>
      </c>
      <c r="C120" s="2">
        <f t="shared" si="7"/>
        <v>2</v>
      </c>
      <c r="D120" s="4">
        <v>11382</v>
      </c>
      <c r="E120" s="3">
        <v>145.70191233106175</v>
      </c>
      <c r="F120" s="14">
        <v>0.25</v>
      </c>
      <c r="G120" s="3">
        <f>'Monthly CFS'!C120 * 86400 * DAY(EOMONTH(D120,0)) / 43560</f>
        <v>119.16117142312102</v>
      </c>
      <c r="H120" s="3"/>
    </row>
    <row r="121" spans="1:8" x14ac:dyDescent="0.25">
      <c r="A121" s="2">
        <v>114</v>
      </c>
      <c r="B121" s="2">
        <f t="shared" si="6"/>
        <v>1931</v>
      </c>
      <c r="C121" s="2">
        <f t="shared" si="7"/>
        <v>3</v>
      </c>
      <c r="D121" s="4">
        <v>11413</v>
      </c>
      <c r="E121" s="3">
        <v>152.5532350638496</v>
      </c>
      <c r="F121" s="14">
        <v>0.24999999999999997</v>
      </c>
      <c r="G121" s="3">
        <f>'Monthly CFS'!C121 * 86400 * DAY(EOMONTH(D121,0)) / 43560</f>
        <v>144.56608355523568</v>
      </c>
      <c r="H121" s="3"/>
    </row>
    <row r="122" spans="1:8" x14ac:dyDescent="0.25">
      <c r="A122" s="2">
        <v>115</v>
      </c>
      <c r="B122" s="2">
        <f t="shared" si="6"/>
        <v>1931</v>
      </c>
      <c r="C122" s="2">
        <f t="shared" si="7"/>
        <v>4</v>
      </c>
      <c r="D122" s="4">
        <v>11443</v>
      </c>
      <c r="E122" s="3">
        <v>196.32088667964661</v>
      </c>
      <c r="F122" s="14">
        <v>0.25</v>
      </c>
      <c r="G122" s="3">
        <f>'Monthly CFS'!C122 * 86400 * DAY(EOMONTH(D122,0)) / 43560</f>
        <v>171.78564546640848</v>
      </c>
      <c r="H122" s="3"/>
    </row>
    <row r="123" spans="1:8" x14ac:dyDescent="0.25">
      <c r="A123" s="2">
        <v>116</v>
      </c>
      <c r="B123" s="2">
        <f t="shared" si="6"/>
        <v>1931</v>
      </c>
      <c r="C123" s="2">
        <f t="shared" si="7"/>
        <v>5</v>
      </c>
      <c r="D123" s="4">
        <v>11474</v>
      </c>
      <c r="E123" s="3">
        <v>239.89165958575308</v>
      </c>
      <c r="F123" s="14">
        <v>0.25</v>
      </c>
      <c r="G123" s="3">
        <f>'Monthly CFS'!C123 * 86400 * DAY(EOMONTH(D123,0)) / 43560</f>
        <v>253.44431317312694</v>
      </c>
      <c r="H123" s="3"/>
    </row>
    <row r="124" spans="1:8" x14ac:dyDescent="0.25">
      <c r="A124" s="2">
        <v>117</v>
      </c>
      <c r="B124" s="2">
        <f t="shared" si="6"/>
        <v>1931</v>
      </c>
      <c r="C124" s="2">
        <f t="shared" si="7"/>
        <v>6</v>
      </c>
      <c r="D124" s="4">
        <v>11504</v>
      </c>
      <c r="E124" s="3">
        <v>275.36306112931697</v>
      </c>
      <c r="F124" s="14">
        <v>0.25</v>
      </c>
      <c r="G124" s="3">
        <f>'Monthly CFS'!C124 * 86400 * DAY(EOMONTH(D124,0)) / 43560</f>
        <v>333.2883446208873</v>
      </c>
      <c r="H124" s="3"/>
    </row>
    <row r="125" spans="1:8" x14ac:dyDescent="0.25">
      <c r="A125" s="2">
        <v>118</v>
      </c>
      <c r="B125" s="2">
        <f t="shared" si="6"/>
        <v>1931</v>
      </c>
      <c r="C125" s="2">
        <f t="shared" si="7"/>
        <v>7</v>
      </c>
      <c r="D125" s="4">
        <v>11535</v>
      </c>
      <c r="E125" s="3">
        <v>287.21574840608628</v>
      </c>
      <c r="F125" s="14">
        <v>0.25</v>
      </c>
      <c r="G125" s="3">
        <f>'Monthly CFS'!C125 * 86400 * DAY(EOMONTH(D125,0)) / 43560</f>
        <v>427.64946614031317</v>
      </c>
      <c r="H125" s="3"/>
    </row>
    <row r="126" spans="1:8" x14ac:dyDescent="0.25">
      <c r="A126" s="2">
        <v>119</v>
      </c>
      <c r="B126" s="2">
        <f t="shared" si="6"/>
        <v>1931</v>
      </c>
      <c r="C126" s="2">
        <f t="shared" si="7"/>
        <v>8</v>
      </c>
      <c r="D126" s="4">
        <v>11566</v>
      </c>
      <c r="E126" s="3">
        <v>278.99732431952134</v>
      </c>
      <c r="F126" s="14">
        <v>0.25</v>
      </c>
      <c r="G126" s="3">
        <f>'Monthly CFS'!C126 * 86400 * DAY(EOMONTH(D126,0)) / 43560</f>
        <v>467.57149087759296</v>
      </c>
      <c r="H126" s="3"/>
    </row>
    <row r="127" spans="1:8" x14ac:dyDescent="0.25">
      <c r="A127" s="2">
        <v>120</v>
      </c>
      <c r="B127" s="2">
        <f t="shared" si="6"/>
        <v>1931</v>
      </c>
      <c r="C127" s="2">
        <f t="shared" si="7"/>
        <v>9</v>
      </c>
      <c r="D127" s="4">
        <v>11596</v>
      </c>
      <c r="E127" s="3">
        <v>254.31992423903679</v>
      </c>
      <c r="F127" s="14">
        <v>0.25</v>
      </c>
      <c r="G127" s="3">
        <f>'Monthly CFS'!C127 * 86400 * DAY(EOMONTH(D127,0)) / 43560</f>
        <v>394.38111519704643</v>
      </c>
      <c r="H127" s="3"/>
    </row>
    <row r="128" spans="1:8" x14ac:dyDescent="0.25">
      <c r="A128" s="2">
        <v>121</v>
      </c>
      <c r="B128" s="2">
        <f t="shared" si="6"/>
        <v>1931</v>
      </c>
      <c r="C128" s="2">
        <f t="shared" si="7"/>
        <v>10</v>
      </c>
      <c r="D128" s="4">
        <v>11627</v>
      </c>
      <c r="E128" s="3">
        <v>214.84262990667756</v>
      </c>
      <c r="F128" s="14">
        <v>0.25</v>
      </c>
      <c r="G128" s="3">
        <f>'Monthly CFS'!C128 * 86400 * DAY(EOMONTH(D128,0)) / 43560</f>
        <v>268.56628350001193</v>
      </c>
      <c r="H128" s="3"/>
    </row>
    <row r="129" spans="1:8" x14ac:dyDescent="0.25">
      <c r="A129" s="2">
        <v>122</v>
      </c>
      <c r="B129" s="2">
        <f t="shared" si="6"/>
        <v>1931</v>
      </c>
      <c r="C129" s="2">
        <f t="shared" si="7"/>
        <v>11</v>
      </c>
      <c r="D129" s="4">
        <v>11657</v>
      </c>
      <c r="E129" s="3">
        <v>177.10611356726508</v>
      </c>
      <c r="F129" s="14">
        <v>0.25</v>
      </c>
      <c r="G129" s="3">
        <f>'Monthly CFS'!C129 * 86400 * DAY(EOMONTH(D129,0)) / 43560</f>
        <v>170.57588946266955</v>
      </c>
      <c r="H129" s="3"/>
    </row>
    <row r="130" spans="1:8" x14ac:dyDescent="0.25">
      <c r="A130" s="2">
        <v>123</v>
      </c>
      <c r="B130" s="2">
        <f t="shared" si="6"/>
        <v>1931</v>
      </c>
      <c r="C130" s="2">
        <f t="shared" si="7"/>
        <v>12</v>
      </c>
      <c r="D130" s="4">
        <v>11688</v>
      </c>
      <c r="E130" s="3">
        <v>161.98826861286048</v>
      </c>
      <c r="F130" s="14">
        <v>0.25</v>
      </c>
      <c r="G130" s="3">
        <f>'Monthly CFS'!C130 * 86400 * DAY(EOMONTH(D130,0)) / 43560</f>
        <v>140.33193528879985</v>
      </c>
      <c r="H130" s="3"/>
    </row>
    <row r="131" spans="1:8" x14ac:dyDescent="0.25">
      <c r="A131" s="2">
        <v>124</v>
      </c>
      <c r="B131" s="2">
        <f t="shared" si="6"/>
        <v>1932</v>
      </c>
      <c r="C131" s="2">
        <f t="shared" si="7"/>
        <v>1</v>
      </c>
      <c r="D131" s="4">
        <v>11719</v>
      </c>
      <c r="E131" s="3">
        <v>157.69227420397434</v>
      </c>
      <c r="F131" s="14">
        <v>0.25</v>
      </c>
      <c r="G131" s="3">
        <f>'Monthly CFS'!C131 * 86400 * DAY(EOMONTH(D131,0)) / 43560</f>
        <v>133.67826149478657</v>
      </c>
      <c r="H131" s="3"/>
    </row>
    <row r="132" spans="1:8" x14ac:dyDescent="0.25">
      <c r="A132" s="2">
        <v>125</v>
      </c>
      <c r="B132" s="2">
        <f t="shared" si="6"/>
        <v>1932</v>
      </c>
      <c r="C132" s="2">
        <f t="shared" si="7"/>
        <v>2</v>
      </c>
      <c r="D132" s="4">
        <v>11748</v>
      </c>
      <c r="E132" s="3">
        <v>167.7527588616658</v>
      </c>
      <c r="F132" s="14">
        <v>0.25</v>
      </c>
      <c r="G132" s="3">
        <f>'Monthly CFS'!C132 * 86400 * DAY(EOMONTH(D132,0)) / 43560</f>
        <v>119.1611714231211</v>
      </c>
      <c r="H132" s="3"/>
    </row>
    <row r="133" spans="1:8" x14ac:dyDescent="0.25">
      <c r="A133" s="2">
        <v>126</v>
      </c>
      <c r="B133" s="2">
        <f t="shared" si="6"/>
        <v>1932</v>
      </c>
      <c r="C133" s="2">
        <f t="shared" si="7"/>
        <v>3</v>
      </c>
      <c r="D133" s="4">
        <v>11779</v>
      </c>
      <c r="E133" s="3">
        <v>152.5532350638496</v>
      </c>
      <c r="F133" s="14">
        <v>0.5</v>
      </c>
      <c r="G133" s="3">
        <f>'Monthly CFS'!C133 * 86400 * DAY(EOMONTH(D133,0)) / 43560</f>
        <v>373.67685402362525</v>
      </c>
      <c r="H133" s="3"/>
    </row>
    <row r="134" spans="1:8" x14ac:dyDescent="0.25">
      <c r="A134" s="2">
        <v>127</v>
      </c>
      <c r="B134" s="2">
        <f t="shared" si="6"/>
        <v>1932</v>
      </c>
      <c r="C134" s="2">
        <f t="shared" si="7"/>
        <v>4</v>
      </c>
      <c r="D134" s="4">
        <v>11809</v>
      </c>
      <c r="E134" s="3">
        <v>196.32088667964661</v>
      </c>
      <c r="F134" s="14">
        <v>0.25</v>
      </c>
      <c r="G134" s="3">
        <f>'Monthly CFS'!C134 * 86400 * DAY(EOMONTH(D134,0)) / 43560</f>
        <v>250.37330849293554</v>
      </c>
      <c r="H134" s="3"/>
    </row>
    <row r="135" spans="1:8" x14ac:dyDescent="0.25">
      <c r="A135" s="2">
        <v>128</v>
      </c>
      <c r="B135" s="2">
        <f t="shared" si="6"/>
        <v>1932</v>
      </c>
      <c r="C135" s="2">
        <f t="shared" si="7"/>
        <v>5</v>
      </c>
      <c r="D135" s="4">
        <v>11840</v>
      </c>
      <c r="E135" s="3">
        <v>239.8916595857531</v>
      </c>
      <c r="F135" s="14">
        <v>0.25</v>
      </c>
      <c r="G135" s="3">
        <f>'Monthly CFS'!C135 * 86400 * DAY(EOMONTH(D135,0)) / 43560</f>
        <v>369.38878702926212</v>
      </c>
      <c r="H135" s="3"/>
    </row>
    <row r="136" spans="1:8" x14ac:dyDescent="0.25">
      <c r="A136" s="2">
        <v>129</v>
      </c>
      <c r="B136" s="2">
        <f t="shared" si="6"/>
        <v>1932</v>
      </c>
      <c r="C136" s="2">
        <f t="shared" si="7"/>
        <v>6</v>
      </c>
      <c r="D136" s="4">
        <v>11870</v>
      </c>
      <c r="E136" s="3">
        <v>275.36306112931692</v>
      </c>
      <c r="F136" s="14">
        <v>0.25</v>
      </c>
      <c r="G136" s="3">
        <f>'Monthly CFS'!C136 * 86400 * DAY(EOMONTH(D136,0)) / 43560</f>
        <v>485.75947832138644</v>
      </c>
      <c r="H136" s="3"/>
    </row>
    <row r="137" spans="1:8" x14ac:dyDescent="0.25">
      <c r="A137" s="2">
        <v>130</v>
      </c>
      <c r="B137" s="2">
        <f t="shared" ref="B137:B200" si="12">YEAR(D137)</f>
        <v>1932</v>
      </c>
      <c r="C137" s="2">
        <f t="shared" ref="C137:C200" si="13">MONTH(D137)</f>
        <v>7</v>
      </c>
      <c r="D137" s="4">
        <v>11901</v>
      </c>
      <c r="E137" s="3">
        <v>287.21574840608628</v>
      </c>
      <c r="F137" s="14">
        <v>0.25</v>
      </c>
      <c r="G137" s="3">
        <f>'Monthly CFS'!C137 * 86400 * DAY(EOMONTH(D137,0)) / 43560</f>
        <v>623.28846756712869</v>
      </c>
      <c r="H137" s="3"/>
    </row>
    <row r="138" spans="1:8" x14ac:dyDescent="0.25">
      <c r="A138" s="2">
        <v>131</v>
      </c>
      <c r="B138" s="2">
        <f t="shared" si="12"/>
        <v>1932</v>
      </c>
      <c r="C138" s="2">
        <f t="shared" si="13"/>
        <v>8</v>
      </c>
      <c r="D138" s="4">
        <v>11932</v>
      </c>
      <c r="E138" s="3">
        <v>278.99732431952134</v>
      </c>
      <c r="F138" s="14">
        <v>0.25</v>
      </c>
      <c r="G138" s="3">
        <f>'Monthly CFS'!C138 * 86400 * DAY(EOMONTH(D138,0)) / 43560</f>
        <v>681.47382634999747</v>
      </c>
      <c r="H138" s="3"/>
    </row>
    <row r="139" spans="1:8" x14ac:dyDescent="0.25">
      <c r="A139" s="2">
        <v>132</v>
      </c>
      <c r="B139" s="2">
        <f t="shared" si="12"/>
        <v>1932</v>
      </c>
      <c r="C139" s="2">
        <f t="shared" si="13"/>
        <v>9</v>
      </c>
      <c r="D139" s="4">
        <v>11962</v>
      </c>
      <c r="E139" s="3">
        <v>254.31992423903677</v>
      </c>
      <c r="F139" s="14">
        <v>0.25</v>
      </c>
      <c r="G139" s="3">
        <f>'Monthly CFS'!C139 * 86400 * DAY(EOMONTH(D139,0)) / 43560</f>
        <v>574.80067296034053</v>
      </c>
      <c r="H139" s="3"/>
    </row>
    <row r="140" spans="1:8" x14ac:dyDescent="0.25">
      <c r="A140" s="2">
        <v>133</v>
      </c>
      <c r="B140" s="2">
        <f t="shared" si="12"/>
        <v>1932</v>
      </c>
      <c r="C140" s="2">
        <f t="shared" si="13"/>
        <v>10</v>
      </c>
      <c r="D140" s="4">
        <v>11993</v>
      </c>
      <c r="E140" s="3">
        <v>214.84262990667759</v>
      </c>
      <c r="F140" s="14">
        <v>0.25</v>
      </c>
      <c r="G140" s="3">
        <f>'Monthly CFS'!C140 * 86400 * DAY(EOMONTH(D140,0)) / 43560</f>
        <v>391.42868292041516</v>
      </c>
      <c r="H140" s="3"/>
    </row>
    <row r="141" spans="1:8" x14ac:dyDescent="0.25">
      <c r="A141" s="2">
        <v>134</v>
      </c>
      <c r="B141" s="2">
        <f t="shared" si="12"/>
        <v>1932</v>
      </c>
      <c r="C141" s="2">
        <f t="shared" si="13"/>
        <v>11</v>
      </c>
      <c r="D141" s="4">
        <v>12023</v>
      </c>
      <c r="E141" s="3">
        <v>177.10611356726508</v>
      </c>
      <c r="F141" s="14">
        <v>0.25</v>
      </c>
      <c r="G141" s="3">
        <f>'Monthly CFS'!C141 * 86400 * DAY(EOMONTH(D141,0)) / 43560</f>
        <v>248.61011918626838</v>
      </c>
      <c r="H141" s="3"/>
    </row>
    <row r="142" spans="1:8" x14ac:dyDescent="0.25">
      <c r="A142" s="2">
        <v>135</v>
      </c>
      <c r="B142" s="2">
        <f t="shared" si="12"/>
        <v>1932</v>
      </c>
      <c r="C142" s="2">
        <f t="shared" si="13"/>
        <v>12</v>
      </c>
      <c r="D142" s="4">
        <v>12054</v>
      </c>
      <c r="E142" s="3">
        <v>161.98826861286051</v>
      </c>
      <c r="F142" s="14">
        <v>0.25</v>
      </c>
      <c r="G142" s="3">
        <f>'Monthly CFS'!C142 * 86400 * DAY(EOMONTH(D142,0)) / 43560</f>
        <v>204.53030769875278</v>
      </c>
      <c r="H142" s="3"/>
    </row>
    <row r="143" spans="1:8" x14ac:dyDescent="0.25">
      <c r="A143" s="2">
        <v>136</v>
      </c>
      <c r="B143" s="2">
        <f t="shared" si="12"/>
        <v>1933</v>
      </c>
      <c r="C143" s="2">
        <f t="shared" si="13"/>
        <v>1</v>
      </c>
      <c r="D143" s="4">
        <v>12085</v>
      </c>
      <c r="E143" s="3">
        <v>157.69227420397431</v>
      </c>
      <c r="F143" s="14">
        <v>0.25</v>
      </c>
      <c r="G143" s="3">
        <f>'Monthly CFS'!C143 * 86400 * DAY(EOMONTH(D143,0)) / 43560</f>
        <v>133.6782614947866</v>
      </c>
      <c r="H143" s="3"/>
    </row>
    <row r="144" spans="1:8" x14ac:dyDescent="0.25">
      <c r="A144" s="2">
        <v>137</v>
      </c>
      <c r="B144" s="2">
        <f t="shared" si="12"/>
        <v>1933</v>
      </c>
      <c r="C144" s="2">
        <f t="shared" si="13"/>
        <v>2</v>
      </c>
      <c r="D144" s="4">
        <v>12113</v>
      </c>
      <c r="E144" s="3">
        <v>173.743928821011</v>
      </c>
      <c r="F144" s="14">
        <v>0.25</v>
      </c>
      <c r="G144" s="3">
        <f>'Monthly CFS'!C144 * 86400 * DAY(EOMONTH(D144,0)) / 43560</f>
        <v>119.16117142312108</v>
      </c>
      <c r="H144" s="3"/>
    </row>
    <row r="145" spans="1:8" x14ac:dyDescent="0.25">
      <c r="A145" s="2">
        <v>138</v>
      </c>
      <c r="B145" s="2">
        <f t="shared" si="12"/>
        <v>1933</v>
      </c>
      <c r="C145" s="2">
        <f t="shared" si="13"/>
        <v>3</v>
      </c>
      <c r="D145" s="4">
        <v>12144</v>
      </c>
      <c r="E145" s="3">
        <v>152.5532350638496</v>
      </c>
      <c r="F145" s="14">
        <v>0.25</v>
      </c>
      <c r="G145" s="3">
        <f>'Monthly CFS'!C145 * 86400 * DAY(EOMONTH(D145,0)) / 43560</f>
        <v>764.24523079722178</v>
      </c>
      <c r="H145" s="3"/>
    </row>
    <row r="146" spans="1:8" x14ac:dyDescent="0.25">
      <c r="A146" s="2">
        <v>139</v>
      </c>
      <c r="B146" s="2">
        <f t="shared" si="12"/>
        <v>1933</v>
      </c>
      <c r="C146" s="2">
        <f t="shared" si="13"/>
        <v>4</v>
      </c>
      <c r="D146" s="4">
        <v>12174</v>
      </c>
      <c r="E146" s="3">
        <v>196.32088667964661</v>
      </c>
      <c r="F146" s="14">
        <v>0.25</v>
      </c>
      <c r="G146" s="3">
        <f>'Monthly CFS'!C146 * 86400 * DAY(EOMONTH(D146,0)) / 43560</f>
        <v>331.32986933984603</v>
      </c>
      <c r="H146" s="3"/>
    </row>
    <row r="147" spans="1:8" x14ac:dyDescent="0.25">
      <c r="A147" s="2">
        <v>140</v>
      </c>
      <c r="B147" s="2">
        <f t="shared" si="12"/>
        <v>1933</v>
      </c>
      <c r="C147" s="2">
        <f t="shared" si="13"/>
        <v>5</v>
      </c>
      <c r="D147" s="4">
        <v>12205</v>
      </c>
      <c r="E147" s="3">
        <v>239.89165958575305</v>
      </c>
      <c r="F147" s="14">
        <v>0.25</v>
      </c>
      <c r="G147" s="3">
        <f>'Monthly CFS'!C147 * 86400 * DAY(EOMONTH(D147,0)) / 43560</f>
        <v>488.82821926468557</v>
      </c>
      <c r="H147" s="3"/>
    </row>
    <row r="148" spans="1:8" x14ac:dyDescent="0.25">
      <c r="A148" s="2">
        <v>141</v>
      </c>
      <c r="B148" s="2">
        <f t="shared" si="12"/>
        <v>1933</v>
      </c>
      <c r="C148" s="2">
        <f t="shared" si="13"/>
        <v>6</v>
      </c>
      <c r="D148" s="4">
        <v>12235</v>
      </c>
      <c r="E148" s="3">
        <v>275.36306112931697</v>
      </c>
      <c r="F148" s="14">
        <v>0.25</v>
      </c>
      <c r="G148" s="3">
        <f>'Monthly CFS'!C148 * 86400 * DAY(EOMONTH(D148,0)) / 43560</f>
        <v>642.82660740315225</v>
      </c>
      <c r="H148" s="3"/>
    </row>
    <row r="149" spans="1:8" x14ac:dyDescent="0.25">
      <c r="A149" s="2">
        <v>142</v>
      </c>
      <c r="B149" s="2">
        <f t="shared" si="12"/>
        <v>1933</v>
      </c>
      <c r="C149" s="2">
        <f t="shared" si="13"/>
        <v>7</v>
      </c>
      <c r="D149" s="4">
        <v>12266</v>
      </c>
      <c r="E149" s="3">
        <v>287.21574840608628</v>
      </c>
      <c r="F149" s="14">
        <v>0.25</v>
      </c>
      <c r="G149" s="3">
        <f>'Monthly CFS'!C149 * 86400 * DAY(EOMONTH(D149,0)) / 43560</f>
        <v>824.82468983260856</v>
      </c>
      <c r="H149" s="3"/>
    </row>
    <row r="150" spans="1:8" x14ac:dyDescent="0.25">
      <c r="A150" s="2">
        <v>143</v>
      </c>
      <c r="B150" s="2">
        <f t="shared" si="12"/>
        <v>1933</v>
      </c>
      <c r="C150" s="2">
        <f t="shared" si="13"/>
        <v>8</v>
      </c>
      <c r="D150" s="4">
        <v>12297</v>
      </c>
      <c r="E150" s="3">
        <v>278.99732431952134</v>
      </c>
      <c r="F150" s="14">
        <v>0.24999999999999997</v>
      </c>
      <c r="G150" s="3">
        <f>'Monthly CFS'!C150 * 86400 * DAY(EOMONTH(D150,0)) / 43560</f>
        <v>901.82390128634768</v>
      </c>
      <c r="H150" s="3"/>
    </row>
    <row r="151" spans="1:8" x14ac:dyDescent="0.25">
      <c r="A151" s="2">
        <v>144</v>
      </c>
      <c r="B151" s="2">
        <f t="shared" si="12"/>
        <v>1933</v>
      </c>
      <c r="C151" s="2">
        <f t="shared" si="13"/>
        <v>9</v>
      </c>
      <c r="D151" s="4">
        <v>12327</v>
      </c>
      <c r="E151" s="3">
        <v>254.31992423903674</v>
      </c>
      <c r="F151" s="14">
        <v>0.24999999999999997</v>
      </c>
      <c r="G151" s="3">
        <f>'Monthly CFS'!C151 * 86400 * DAY(EOMONTH(D151,0)) / 43560</f>
        <v>760.65868608266101</v>
      </c>
      <c r="H151" s="3"/>
    </row>
    <row r="152" spans="1:8" x14ac:dyDescent="0.25">
      <c r="A152" s="2">
        <v>145</v>
      </c>
      <c r="B152" s="2">
        <f t="shared" si="12"/>
        <v>1933</v>
      </c>
      <c r="C152" s="2">
        <f t="shared" si="13"/>
        <v>10</v>
      </c>
      <c r="D152" s="4">
        <v>12358</v>
      </c>
      <c r="E152" s="3">
        <v>214.84262990667753</v>
      </c>
      <c r="F152" s="14">
        <v>0.24999999999999997</v>
      </c>
      <c r="G152" s="3">
        <f>'Monthly CFS'!C152 * 86400 * DAY(EOMONTH(D152,0)) / 43560</f>
        <v>517.99457038188427</v>
      </c>
      <c r="H152" s="3"/>
    </row>
    <row r="153" spans="1:8" x14ac:dyDescent="0.25">
      <c r="A153" s="2">
        <v>146</v>
      </c>
      <c r="B153" s="2">
        <f t="shared" si="12"/>
        <v>1933</v>
      </c>
      <c r="C153" s="2">
        <f t="shared" si="13"/>
        <v>11</v>
      </c>
      <c r="D153" s="4">
        <v>12388</v>
      </c>
      <c r="E153" s="3">
        <v>177.10611356726506</v>
      </c>
      <c r="F153" s="14">
        <v>0.24999999999999997</v>
      </c>
      <c r="G153" s="3">
        <f>'Monthly CFS'!C153 * 86400 * DAY(EOMONTH(D153,0)) / 43560</f>
        <v>328.99656437968122</v>
      </c>
      <c r="H153" s="3"/>
    </row>
    <row r="154" spans="1:8" x14ac:dyDescent="0.25">
      <c r="A154" s="2">
        <v>147</v>
      </c>
      <c r="B154" s="2">
        <f t="shared" si="12"/>
        <v>1933</v>
      </c>
      <c r="C154" s="2">
        <f t="shared" si="13"/>
        <v>12</v>
      </c>
      <c r="D154" s="4">
        <v>12419</v>
      </c>
      <c r="E154" s="3">
        <v>161.98826861286051</v>
      </c>
      <c r="F154" s="14">
        <v>0.25</v>
      </c>
      <c r="G154" s="3">
        <f>'Monthly CFS'!C154 * 86400 * DAY(EOMONTH(D154,0)) / 43560</f>
        <v>270.66383606852526</v>
      </c>
      <c r="H154" s="3"/>
    </row>
    <row r="155" spans="1:8" x14ac:dyDescent="0.25">
      <c r="A155" s="2">
        <v>148</v>
      </c>
      <c r="B155" s="2">
        <f t="shared" si="12"/>
        <v>1934</v>
      </c>
      <c r="C155" s="2">
        <f t="shared" si="13"/>
        <v>1</v>
      </c>
      <c r="D155" s="4">
        <v>12450</v>
      </c>
      <c r="E155" s="3">
        <v>157.69227420397434</v>
      </c>
      <c r="F155" s="14">
        <v>0.25</v>
      </c>
      <c r="G155" s="3">
        <f>'Monthly CFS'!C155 * 86400 * DAY(EOMONTH(D155,0)) / 43560</f>
        <v>133.67826149478654</v>
      </c>
      <c r="H155" s="3"/>
    </row>
    <row r="156" spans="1:8" x14ac:dyDescent="0.25">
      <c r="A156" s="2">
        <v>149</v>
      </c>
      <c r="B156" s="2">
        <f t="shared" si="12"/>
        <v>1934</v>
      </c>
      <c r="C156" s="2">
        <f t="shared" si="13"/>
        <v>2</v>
      </c>
      <c r="D156" s="4">
        <v>12478</v>
      </c>
      <c r="E156" s="3">
        <v>173.743928821011</v>
      </c>
      <c r="F156" s="14">
        <v>0.25</v>
      </c>
      <c r="G156" s="3">
        <f>'Monthly CFS'!C156 * 86400 * DAY(EOMONTH(D156,0)) / 43560</f>
        <v>119.16117142312098</v>
      </c>
      <c r="H156" s="3"/>
    </row>
    <row r="157" spans="1:8" x14ac:dyDescent="0.25">
      <c r="A157" s="2">
        <v>150</v>
      </c>
      <c r="B157" s="2">
        <f t="shared" si="12"/>
        <v>1934</v>
      </c>
      <c r="C157" s="2">
        <f t="shared" si="13"/>
        <v>3</v>
      </c>
      <c r="D157" s="4">
        <v>12509</v>
      </c>
      <c r="E157" s="3">
        <v>152.5532350638496</v>
      </c>
      <c r="F157" s="14">
        <v>0.49999999999999994</v>
      </c>
      <c r="G157" s="3">
        <f>'Monthly CFS'!C157 * 86400 * DAY(EOMONTH(D157,0)) / 43560</f>
        <v>814.17533358551998</v>
      </c>
      <c r="H157" s="3"/>
    </row>
    <row r="158" spans="1:8" x14ac:dyDescent="0.25">
      <c r="A158" s="2">
        <v>151</v>
      </c>
      <c r="B158" s="2">
        <f t="shared" si="12"/>
        <v>1934</v>
      </c>
      <c r="C158" s="2">
        <f t="shared" si="13"/>
        <v>4</v>
      </c>
      <c r="D158" s="4">
        <v>12539</v>
      </c>
      <c r="E158" s="3">
        <v>196.32088667964661</v>
      </c>
      <c r="F158" s="14">
        <v>0.25</v>
      </c>
      <c r="G158" s="3">
        <f>'Monthly CFS'!C158 * 86400 * DAY(EOMONTH(D158,0)) / 43560</f>
        <v>281.21985846717956</v>
      </c>
      <c r="H158" s="3"/>
    </row>
    <row r="159" spans="1:8" x14ac:dyDescent="0.25">
      <c r="A159" s="2">
        <v>152</v>
      </c>
      <c r="B159" s="2">
        <f t="shared" si="12"/>
        <v>1934</v>
      </c>
      <c r="C159" s="2">
        <f t="shared" si="13"/>
        <v>5</v>
      </c>
      <c r="D159" s="4">
        <v>12570</v>
      </c>
      <c r="E159" s="3">
        <v>239.89165958575308</v>
      </c>
      <c r="F159" s="14">
        <v>0.25</v>
      </c>
      <c r="G159" s="3">
        <f>'Monthly CFS'!C159 * 86400 * DAY(EOMONTH(D159,0)) / 43560</f>
        <v>414.89830938054331</v>
      </c>
      <c r="H159" s="3"/>
    </row>
    <row r="160" spans="1:8" x14ac:dyDescent="0.25">
      <c r="A160" s="2">
        <v>153</v>
      </c>
      <c r="B160" s="2">
        <f t="shared" si="12"/>
        <v>1934</v>
      </c>
      <c r="C160" s="2">
        <f t="shared" si="13"/>
        <v>6</v>
      </c>
      <c r="D160" s="4">
        <v>12600</v>
      </c>
      <c r="E160" s="3">
        <v>275.36306112931692</v>
      </c>
      <c r="F160" s="14">
        <v>0.25</v>
      </c>
      <c r="G160" s="3">
        <f>'Monthly CFS'!C160 * 86400 * DAY(EOMONTH(D160,0)) / 43560</f>
        <v>545.60612936296934</v>
      </c>
      <c r="H160" s="3"/>
    </row>
    <row r="161" spans="1:8" x14ac:dyDescent="0.25">
      <c r="A161" s="2">
        <v>154</v>
      </c>
      <c r="B161" s="2">
        <f t="shared" si="12"/>
        <v>1934</v>
      </c>
      <c r="C161" s="2">
        <f t="shared" si="13"/>
        <v>7</v>
      </c>
      <c r="D161" s="4">
        <v>12631</v>
      </c>
      <c r="E161" s="3">
        <v>287.21574840608628</v>
      </c>
      <c r="F161" s="14">
        <v>0.25</v>
      </c>
      <c r="G161" s="3">
        <f>'Monthly CFS'!C161 * 86400 * DAY(EOMONTH(D161,0)) / 43560</f>
        <v>700.07899679289847</v>
      </c>
      <c r="H161" s="3"/>
    </row>
    <row r="162" spans="1:8" x14ac:dyDescent="0.25">
      <c r="A162" s="2">
        <v>155</v>
      </c>
      <c r="B162" s="2">
        <f t="shared" si="12"/>
        <v>1934</v>
      </c>
      <c r="C162" s="2">
        <f t="shared" si="13"/>
        <v>8</v>
      </c>
      <c r="D162" s="4">
        <v>12662</v>
      </c>
      <c r="E162" s="3">
        <v>278.99732431952134</v>
      </c>
      <c r="F162" s="14">
        <v>0.25</v>
      </c>
      <c r="G162" s="3">
        <f>'Monthly CFS'!C162 * 86400 * DAY(EOMONTH(D162,0)) / 43560</f>
        <v>765.43292153940183</v>
      </c>
      <c r="H162" s="3"/>
    </row>
    <row r="163" spans="1:8" x14ac:dyDescent="0.25">
      <c r="A163" s="2">
        <v>156</v>
      </c>
      <c r="B163" s="2">
        <f t="shared" si="12"/>
        <v>1934</v>
      </c>
      <c r="C163" s="2">
        <f t="shared" si="13"/>
        <v>9</v>
      </c>
      <c r="D163" s="4">
        <v>12692</v>
      </c>
      <c r="E163" s="3">
        <v>254.31992423903677</v>
      </c>
      <c r="F163" s="14">
        <v>0.25</v>
      </c>
      <c r="G163" s="3">
        <f>'Monthly CFS'!C163 * 86400 * DAY(EOMONTH(D163,0)) / 43560</f>
        <v>645.61739775590877</v>
      </c>
      <c r="H163" s="3"/>
    </row>
    <row r="164" spans="1:8" x14ac:dyDescent="0.25">
      <c r="A164" s="2">
        <v>157</v>
      </c>
      <c r="B164" s="2">
        <f t="shared" si="12"/>
        <v>1934</v>
      </c>
      <c r="C164" s="2">
        <f t="shared" si="13"/>
        <v>10</v>
      </c>
      <c r="D164" s="4">
        <v>12723</v>
      </c>
      <c r="E164" s="3">
        <v>214.84262990667759</v>
      </c>
      <c r="F164" s="14">
        <v>0.25</v>
      </c>
      <c r="G164" s="3">
        <f>'Monthly CFS'!C164 * 86400 * DAY(EOMONTH(D164,0)) / 43560</f>
        <v>439.65356959757361</v>
      </c>
      <c r="H164" s="3"/>
    </row>
    <row r="165" spans="1:8" x14ac:dyDescent="0.25">
      <c r="A165" s="2">
        <v>158</v>
      </c>
      <c r="B165" s="2">
        <f t="shared" si="12"/>
        <v>1934</v>
      </c>
      <c r="C165" s="2">
        <f t="shared" si="13"/>
        <v>11</v>
      </c>
      <c r="D165" s="4">
        <v>12753</v>
      </c>
      <c r="E165" s="3">
        <v>177.10611356726508</v>
      </c>
      <c r="F165" s="14">
        <v>0.25</v>
      </c>
      <c r="G165" s="3">
        <f>'Monthly CFS'!C165 * 86400 * DAY(EOMONTH(D165,0)) / 43560</f>
        <v>279.23944030576928</v>
      </c>
      <c r="H165" s="3"/>
    </row>
    <row r="166" spans="1:8" x14ac:dyDescent="0.25">
      <c r="A166" s="2">
        <v>159</v>
      </c>
      <c r="B166" s="2">
        <f t="shared" si="12"/>
        <v>1934</v>
      </c>
      <c r="C166" s="2">
        <f t="shared" si="13"/>
        <v>12</v>
      </c>
      <c r="D166" s="4">
        <v>12784</v>
      </c>
      <c r="E166" s="3">
        <v>161.98826861286054</v>
      </c>
      <c r="F166" s="14">
        <v>0.25</v>
      </c>
      <c r="G166" s="3">
        <f>'Monthly CFS'!C166 * 86400 * DAY(EOMONTH(D166,0)) / 43560</f>
        <v>229.72889773877316</v>
      </c>
      <c r="H166" s="3"/>
    </row>
    <row r="167" spans="1:8" x14ac:dyDescent="0.25">
      <c r="A167" s="2">
        <v>160</v>
      </c>
      <c r="B167" s="2">
        <f t="shared" si="12"/>
        <v>1935</v>
      </c>
      <c r="C167" s="2">
        <f t="shared" si="13"/>
        <v>1</v>
      </c>
      <c r="D167" s="4">
        <v>12815</v>
      </c>
      <c r="E167" s="3">
        <v>157.69227420397436</v>
      </c>
      <c r="F167" s="14">
        <v>0.25</v>
      </c>
      <c r="G167" s="3">
        <f>'Monthly CFS'!C167 * 86400 * DAY(EOMONTH(D167,0)) / 43560</f>
        <v>133.67826149478657</v>
      </c>
      <c r="H167" s="3"/>
    </row>
    <row r="168" spans="1:8" x14ac:dyDescent="0.25">
      <c r="A168" s="2">
        <v>161</v>
      </c>
      <c r="B168" s="2">
        <f t="shared" si="12"/>
        <v>1935</v>
      </c>
      <c r="C168" s="2">
        <f t="shared" si="13"/>
        <v>2</v>
      </c>
      <c r="D168" s="4">
        <v>12843</v>
      </c>
      <c r="E168" s="3">
        <v>173.743928821011</v>
      </c>
      <c r="F168" s="14">
        <v>0.5</v>
      </c>
      <c r="G168" s="3">
        <f>'Monthly CFS'!C168 * 86400 * DAY(EOMONTH(D168,0)) / 43560</f>
        <v>201.92120242250235</v>
      </c>
      <c r="H168" s="3"/>
    </row>
    <row r="169" spans="1:8" x14ac:dyDescent="0.25">
      <c r="A169" s="2">
        <v>162</v>
      </c>
      <c r="B169" s="2">
        <f t="shared" si="12"/>
        <v>1935</v>
      </c>
      <c r="C169" s="2">
        <f t="shared" si="13"/>
        <v>3</v>
      </c>
      <c r="D169" s="4">
        <v>12874</v>
      </c>
      <c r="E169" s="3">
        <v>123.59371307268762</v>
      </c>
      <c r="F169" s="14">
        <v>0.5</v>
      </c>
      <c r="G169" s="3">
        <f>'Monthly CFS'!C169 * 86400 * DAY(EOMONTH(D169,0)) / 43560</f>
        <v>808.63775021135552</v>
      </c>
      <c r="H169" s="3"/>
    </row>
    <row r="170" spans="1:8" x14ac:dyDescent="0.25">
      <c r="A170" s="2">
        <v>163</v>
      </c>
      <c r="B170" s="2">
        <f t="shared" si="12"/>
        <v>1935</v>
      </c>
      <c r="C170" s="2">
        <f t="shared" si="13"/>
        <v>4</v>
      </c>
      <c r="D170" s="4">
        <v>12904</v>
      </c>
      <c r="E170" s="3">
        <v>181.23525201198254</v>
      </c>
      <c r="F170" s="14">
        <v>0.5</v>
      </c>
      <c r="G170" s="3">
        <f>'Monthly CFS'!C170 * 86400 * DAY(EOMONTH(D170,0)) / 43560</f>
        <v>1561.6876860582588</v>
      </c>
      <c r="H170" s="3"/>
    </row>
    <row r="171" spans="1:8" x14ac:dyDescent="0.25">
      <c r="A171" s="2">
        <v>164</v>
      </c>
      <c r="B171" s="2">
        <f t="shared" si="12"/>
        <v>1935</v>
      </c>
      <c r="C171" s="2">
        <f t="shared" si="13"/>
        <v>5</v>
      </c>
      <c r="D171" s="4">
        <v>12935</v>
      </c>
      <c r="E171" s="3">
        <v>189.91672423298658</v>
      </c>
      <c r="F171" s="14">
        <v>0.5</v>
      </c>
      <c r="G171" s="3">
        <f>'Monthly CFS'!C171 * 86400 * DAY(EOMONTH(D171,0)) / 43560</f>
        <v>2304.0392106647901</v>
      </c>
      <c r="H171" s="3"/>
    </row>
    <row r="172" spans="1:8" x14ac:dyDescent="0.25">
      <c r="A172" s="2">
        <v>165</v>
      </c>
      <c r="B172" s="2">
        <f t="shared" si="12"/>
        <v>1935</v>
      </c>
      <c r="C172" s="2">
        <f t="shared" si="13"/>
        <v>6</v>
      </c>
      <c r="D172" s="4">
        <v>12965</v>
      </c>
      <c r="E172" s="3">
        <v>249.94227532208063</v>
      </c>
      <c r="F172" s="14">
        <v>0.5</v>
      </c>
      <c r="G172" s="3">
        <f>'Monthly CFS'!C172 * 86400 * DAY(EOMONTH(D172,0)) / 43560</f>
        <v>3029.8940420080662</v>
      </c>
      <c r="H172" s="3"/>
    </row>
    <row r="173" spans="1:8" x14ac:dyDescent="0.25">
      <c r="A173" s="2">
        <v>166</v>
      </c>
      <c r="B173" s="2">
        <f t="shared" si="12"/>
        <v>1935</v>
      </c>
      <c r="C173" s="2">
        <f t="shared" si="13"/>
        <v>7</v>
      </c>
      <c r="D173" s="4">
        <v>12996</v>
      </c>
      <c r="E173" s="3">
        <v>278.83348316359661</v>
      </c>
      <c r="F173" s="14">
        <v>0.5</v>
      </c>
      <c r="G173" s="3">
        <f>'Monthly CFS'!C173 * 86400 * DAY(EOMONTH(D173,0)) / 43560</f>
        <v>3887.7224194573914</v>
      </c>
      <c r="H173" s="3"/>
    </row>
    <row r="174" spans="1:8" x14ac:dyDescent="0.25">
      <c r="A174" s="2">
        <v>167</v>
      </c>
      <c r="B174" s="2">
        <f t="shared" si="12"/>
        <v>1935</v>
      </c>
      <c r="C174" s="2">
        <f t="shared" si="13"/>
        <v>8</v>
      </c>
      <c r="D174" s="4">
        <v>13027</v>
      </c>
      <c r="E174" s="3">
        <v>281.64601106700837</v>
      </c>
      <c r="F174" s="14">
        <v>0.5</v>
      </c>
      <c r="G174" s="3">
        <f>'Monthly CFS'!C174 * 86400 * DAY(EOMONTH(D174,0)) / 43560</f>
        <v>4250.6499170690286</v>
      </c>
      <c r="H174" s="3"/>
    </row>
    <row r="175" spans="1:8" x14ac:dyDescent="0.25">
      <c r="A175" s="2">
        <v>168</v>
      </c>
      <c r="B175" s="2">
        <f t="shared" si="12"/>
        <v>1935</v>
      </c>
      <c r="C175" s="2">
        <f t="shared" si="13"/>
        <v>9</v>
      </c>
      <c r="D175" s="4">
        <v>13057</v>
      </c>
      <c r="E175" s="3">
        <v>247.80503551638381</v>
      </c>
      <c r="F175" s="14">
        <v>0.5</v>
      </c>
      <c r="G175" s="3">
        <f>'Monthly CFS'!C175 * 86400 * DAY(EOMONTH(D175,0)) / 43560</f>
        <v>3585.2828654276946</v>
      </c>
      <c r="H175" s="3"/>
    </row>
    <row r="176" spans="1:8" x14ac:dyDescent="0.25">
      <c r="A176" s="2">
        <v>169</v>
      </c>
      <c r="B176" s="2">
        <f t="shared" si="12"/>
        <v>1935</v>
      </c>
      <c r="C176" s="2">
        <f t="shared" si="13"/>
        <v>10</v>
      </c>
      <c r="D176" s="4">
        <v>13088</v>
      </c>
      <c r="E176" s="3">
        <v>213.68325149262245</v>
      </c>
      <c r="F176" s="14">
        <v>0.5</v>
      </c>
      <c r="G176" s="3">
        <f>'Monthly CFS'!C176 * 86400 * DAY(EOMONTH(D176,0)) / 43560</f>
        <v>2441.5116681819259</v>
      </c>
      <c r="H176" s="3"/>
    </row>
    <row r="177" spans="1:8" x14ac:dyDescent="0.25">
      <c r="A177" s="2">
        <v>170</v>
      </c>
      <c r="B177" s="2">
        <f t="shared" si="12"/>
        <v>1935</v>
      </c>
      <c r="C177" s="2">
        <f t="shared" si="13"/>
        <v>11</v>
      </c>
      <c r="D177" s="4">
        <v>13118</v>
      </c>
      <c r="E177" s="3">
        <v>158.89264570494973</v>
      </c>
      <c r="F177" s="14">
        <v>0.5</v>
      </c>
      <c r="G177" s="3">
        <f>'Monthly CFS'!C177 * 86400 * DAY(EOMONTH(D177,0)) / 43560</f>
        <v>1550.6899042060882</v>
      </c>
      <c r="H177" s="3"/>
    </row>
    <row r="178" spans="1:8" x14ac:dyDescent="0.25">
      <c r="A178" s="2">
        <v>171</v>
      </c>
      <c r="B178" s="2">
        <f t="shared" si="12"/>
        <v>1935</v>
      </c>
      <c r="C178" s="2">
        <f t="shared" si="13"/>
        <v>12</v>
      </c>
      <c r="D178" s="4">
        <v>13149</v>
      </c>
      <c r="E178" s="3">
        <v>140.7197017834973</v>
      </c>
      <c r="F178" s="14">
        <v>0.5</v>
      </c>
      <c r="G178" s="3">
        <f>'Monthly CFS'!C178 * 86400 * DAY(EOMONTH(D178,0)) / 43560</f>
        <v>1275.7448662618165</v>
      </c>
      <c r="H178" s="3"/>
    </row>
    <row r="179" spans="1:8" x14ac:dyDescent="0.25">
      <c r="A179" s="2">
        <v>172</v>
      </c>
      <c r="B179" s="2">
        <f t="shared" si="12"/>
        <v>1936</v>
      </c>
      <c r="C179" s="2">
        <f t="shared" si="13"/>
        <v>1</v>
      </c>
      <c r="D179" s="4">
        <v>13180</v>
      </c>
      <c r="E179" s="3">
        <v>120.71654124454039</v>
      </c>
      <c r="F179" s="14">
        <v>0.5</v>
      </c>
      <c r="G179" s="3">
        <f>'Monthly CFS'!C179 * 86400 * DAY(EOMONTH(D179,0)) / 43560</f>
        <v>133.6782614947866</v>
      </c>
      <c r="H179" s="3"/>
    </row>
    <row r="180" spans="1:8" x14ac:dyDescent="0.25">
      <c r="A180" s="2">
        <v>173</v>
      </c>
      <c r="B180" s="2">
        <f t="shared" si="12"/>
        <v>1936</v>
      </c>
      <c r="C180" s="2">
        <f t="shared" si="13"/>
        <v>2</v>
      </c>
      <c r="D180" s="4">
        <v>13209</v>
      </c>
      <c r="E180" s="3">
        <v>110.50888971995006</v>
      </c>
      <c r="F180" s="14">
        <v>0.53607770273822997</v>
      </c>
      <c r="G180" s="3">
        <f>'Monthly CFS'!C180 * 86400 * DAY(EOMONTH(D180,0)) / 43560</f>
        <v>180.67723289261698</v>
      </c>
      <c r="H180" s="3"/>
    </row>
    <row r="181" spans="1:8" x14ac:dyDescent="0.25">
      <c r="A181" s="2">
        <v>174</v>
      </c>
      <c r="B181" s="2">
        <f t="shared" si="12"/>
        <v>1936</v>
      </c>
      <c r="C181" s="2">
        <f t="shared" si="13"/>
        <v>3</v>
      </c>
      <c r="D181" s="4">
        <v>13240</v>
      </c>
      <c r="E181" s="3">
        <v>96.914806888128041</v>
      </c>
      <c r="F181" s="14">
        <v>1</v>
      </c>
      <c r="G181" s="3">
        <f>'Monthly CFS'!C181 * 86400 * DAY(EOMONTH(D181,0)) / 43560</f>
        <v>1314.2371232294154</v>
      </c>
      <c r="H181" s="3"/>
    </row>
    <row r="182" spans="1:8" x14ac:dyDescent="0.25">
      <c r="A182" s="2">
        <v>175</v>
      </c>
      <c r="B182" s="2">
        <f t="shared" si="12"/>
        <v>1936</v>
      </c>
      <c r="C182" s="2">
        <f t="shared" si="13"/>
        <v>4</v>
      </c>
      <c r="D182" s="4">
        <v>13270</v>
      </c>
      <c r="E182" s="3">
        <v>155.35965745471614</v>
      </c>
      <c r="F182" s="14">
        <v>0.74999999999999989</v>
      </c>
      <c r="G182" s="3">
        <f>'Monthly CFS'!C182 * 86400 * DAY(EOMONTH(D182,0)) / 43560</f>
        <v>1325.0700000261088</v>
      </c>
      <c r="H182" s="3"/>
    </row>
    <row r="183" spans="1:8" x14ac:dyDescent="0.25">
      <c r="A183" s="2">
        <v>176</v>
      </c>
      <c r="B183" s="2">
        <f t="shared" si="12"/>
        <v>1936</v>
      </c>
      <c r="C183" s="2">
        <f t="shared" si="13"/>
        <v>5</v>
      </c>
      <c r="D183" s="4">
        <v>13301</v>
      </c>
      <c r="E183" s="3">
        <v>189.91672423298658</v>
      </c>
      <c r="F183" s="14">
        <v>0.74999999999999989</v>
      </c>
      <c r="G183" s="3">
        <f>'Monthly CFS'!C183 * 86400 * DAY(EOMONTH(D183,0)) / 43560</f>
        <v>2304.039210664791</v>
      </c>
      <c r="H183" s="3"/>
    </row>
    <row r="184" spans="1:8" x14ac:dyDescent="0.25">
      <c r="A184" s="2">
        <v>177</v>
      </c>
      <c r="B184" s="2">
        <f t="shared" si="12"/>
        <v>1936</v>
      </c>
      <c r="C184" s="2">
        <f t="shared" si="13"/>
        <v>6</v>
      </c>
      <c r="D184" s="4">
        <v>13331</v>
      </c>
      <c r="E184" s="3">
        <v>249.94227532208066</v>
      </c>
      <c r="F184" s="14">
        <v>0.75</v>
      </c>
      <c r="G184" s="3">
        <f>'Monthly CFS'!C184 * 86400 * DAY(EOMONTH(D184,0)) / 43560</f>
        <v>3029.8940420080662</v>
      </c>
      <c r="H184" s="3"/>
    </row>
    <row r="185" spans="1:8" x14ac:dyDescent="0.25">
      <c r="A185" s="2">
        <v>178</v>
      </c>
      <c r="B185" s="2">
        <f t="shared" si="12"/>
        <v>1936</v>
      </c>
      <c r="C185" s="2">
        <f t="shared" si="13"/>
        <v>7</v>
      </c>
      <c r="D185" s="4">
        <v>13362</v>
      </c>
      <c r="E185" s="3">
        <v>278.83348316359661</v>
      </c>
      <c r="F185" s="14">
        <v>0.75</v>
      </c>
      <c r="G185" s="3">
        <f>'Monthly CFS'!C185 * 86400 * DAY(EOMONTH(D185,0)) / 43560</f>
        <v>3887.7224194573919</v>
      </c>
      <c r="H185" s="3"/>
    </row>
    <row r="186" spans="1:8" x14ac:dyDescent="0.25">
      <c r="A186" s="2">
        <v>179</v>
      </c>
      <c r="B186" s="2">
        <f t="shared" si="12"/>
        <v>1936</v>
      </c>
      <c r="C186" s="2">
        <f t="shared" si="13"/>
        <v>8</v>
      </c>
      <c r="D186" s="4">
        <v>13393</v>
      </c>
      <c r="E186" s="3">
        <v>281.64601106700843</v>
      </c>
      <c r="F186" s="14">
        <v>0.75</v>
      </c>
      <c r="G186" s="3">
        <f>'Monthly CFS'!C186 * 86400 * DAY(EOMONTH(D186,0)) / 43560</f>
        <v>4250.6499170690295</v>
      </c>
      <c r="H186" s="3"/>
    </row>
    <row r="187" spans="1:8" x14ac:dyDescent="0.25">
      <c r="A187" s="2">
        <v>180</v>
      </c>
      <c r="B187" s="2">
        <f t="shared" si="12"/>
        <v>1936</v>
      </c>
      <c r="C187" s="2">
        <f t="shared" si="13"/>
        <v>9</v>
      </c>
      <c r="D187" s="4">
        <v>13423</v>
      </c>
      <c r="E187" s="3">
        <v>247.80503551638381</v>
      </c>
      <c r="F187" s="14">
        <v>0.75</v>
      </c>
      <c r="G187" s="3">
        <f>'Monthly CFS'!C187 * 86400 * DAY(EOMONTH(D187,0)) / 43560</f>
        <v>3585.2828654276937</v>
      </c>
      <c r="H187" s="3"/>
    </row>
    <row r="188" spans="1:8" x14ac:dyDescent="0.25">
      <c r="A188" s="2">
        <v>181</v>
      </c>
      <c r="B188" s="2">
        <f t="shared" si="12"/>
        <v>1936</v>
      </c>
      <c r="C188" s="2">
        <f t="shared" si="13"/>
        <v>10</v>
      </c>
      <c r="D188" s="4">
        <v>13454</v>
      </c>
      <c r="E188" s="3">
        <v>213.68325149262242</v>
      </c>
      <c r="F188" s="14">
        <v>0.75</v>
      </c>
      <c r="G188" s="3">
        <f>'Monthly CFS'!C188 * 86400 * DAY(EOMONTH(D188,0)) / 43560</f>
        <v>2441.5116681819272</v>
      </c>
      <c r="H188" s="3"/>
    </row>
    <row r="189" spans="1:8" x14ac:dyDescent="0.25">
      <c r="A189" s="2">
        <v>182</v>
      </c>
      <c r="B189" s="2">
        <f t="shared" si="12"/>
        <v>1936</v>
      </c>
      <c r="C189" s="2">
        <f t="shared" si="13"/>
        <v>11</v>
      </c>
      <c r="D189" s="4">
        <v>13484</v>
      </c>
      <c r="E189" s="3">
        <v>158.89264570494973</v>
      </c>
      <c r="F189" s="14">
        <v>0.75</v>
      </c>
      <c r="G189" s="3">
        <f>'Monthly CFS'!C189 * 86400 * DAY(EOMONTH(D189,0)) / 43560</f>
        <v>1550.6899042060888</v>
      </c>
      <c r="H189" s="3"/>
    </row>
    <row r="190" spans="1:8" x14ac:dyDescent="0.25">
      <c r="A190" s="2">
        <v>183</v>
      </c>
      <c r="B190" s="2">
        <f t="shared" si="12"/>
        <v>1936</v>
      </c>
      <c r="C190" s="2">
        <f t="shared" si="13"/>
        <v>12</v>
      </c>
      <c r="D190" s="4">
        <v>13515</v>
      </c>
      <c r="E190" s="3">
        <v>140.7197017834973</v>
      </c>
      <c r="F190" s="14">
        <v>0.75</v>
      </c>
      <c r="G190" s="3">
        <f>'Monthly CFS'!C190 * 86400 * DAY(EOMONTH(D190,0)) / 43560</f>
        <v>1275.7448662618183</v>
      </c>
      <c r="H190" s="3"/>
    </row>
    <row r="191" spans="1:8" x14ac:dyDescent="0.25">
      <c r="A191" s="2">
        <v>184</v>
      </c>
      <c r="B191" s="2">
        <f t="shared" si="12"/>
        <v>1937</v>
      </c>
      <c r="C191" s="2">
        <f t="shared" si="13"/>
        <v>1</v>
      </c>
      <c r="D191" s="4">
        <v>13546</v>
      </c>
      <c r="E191" s="3">
        <v>120.71654124454039</v>
      </c>
      <c r="F191" s="14">
        <v>0.75</v>
      </c>
      <c r="G191" s="3">
        <f>'Monthly CFS'!C191 * 86400 * DAY(EOMONTH(D191,0)) / 43560</f>
        <v>133.67826149478657</v>
      </c>
      <c r="H191" s="3"/>
    </row>
    <row r="192" spans="1:8" x14ac:dyDescent="0.25">
      <c r="A192" s="2">
        <v>185</v>
      </c>
      <c r="B192" s="2">
        <f t="shared" si="12"/>
        <v>1937</v>
      </c>
      <c r="C192" s="2">
        <f t="shared" si="13"/>
        <v>2</v>
      </c>
      <c r="D192" s="4">
        <v>13574</v>
      </c>
      <c r="E192" s="3">
        <v>114.45563578137684</v>
      </c>
      <c r="F192" s="14">
        <v>0.25</v>
      </c>
      <c r="G192" s="3">
        <f>'Monthly CFS'!C192 * 86400 * DAY(EOMONTH(D192,0)) / 43560</f>
        <v>119.16117142312102</v>
      </c>
      <c r="H192" s="3"/>
    </row>
    <row r="193" spans="1:8" x14ac:dyDescent="0.25">
      <c r="A193" s="2">
        <v>186</v>
      </c>
      <c r="B193" s="2">
        <f t="shared" si="12"/>
        <v>1937</v>
      </c>
      <c r="C193" s="2">
        <f t="shared" si="13"/>
        <v>3</v>
      </c>
      <c r="D193" s="4">
        <v>13605</v>
      </c>
      <c r="E193" s="3">
        <v>123.59371307269393</v>
      </c>
      <c r="F193" s="14">
        <v>0.5</v>
      </c>
      <c r="G193" s="3">
        <f>'Monthly CFS'!C193 * 86400 * DAY(EOMONTH(D193,0)) / 43560</f>
        <v>643.01277764911788</v>
      </c>
      <c r="H193" s="3"/>
    </row>
    <row r="194" spans="1:8" x14ac:dyDescent="0.25">
      <c r="A194" s="2">
        <v>187</v>
      </c>
      <c r="B194" s="2">
        <f t="shared" si="12"/>
        <v>1937</v>
      </c>
      <c r="C194" s="2">
        <f t="shared" si="13"/>
        <v>4</v>
      </c>
      <c r="D194" s="4">
        <v>13635</v>
      </c>
      <c r="E194" s="3">
        <v>155.35965745471614</v>
      </c>
      <c r="F194" s="14">
        <v>0.66349131057776056</v>
      </c>
      <c r="G194" s="3">
        <f>'Monthly CFS'!C194 * 86400 * DAY(EOMONTH(D194,0)) / 43560</f>
        <v>1561.687686058259</v>
      </c>
      <c r="H194" s="3"/>
    </row>
    <row r="195" spans="1:8" x14ac:dyDescent="0.25">
      <c r="A195" s="2">
        <v>188</v>
      </c>
      <c r="B195" s="2">
        <f t="shared" si="12"/>
        <v>1937</v>
      </c>
      <c r="C195" s="2">
        <f t="shared" si="13"/>
        <v>5</v>
      </c>
      <c r="D195" s="4">
        <v>13666</v>
      </c>
      <c r="E195" s="3">
        <v>189.91672423298658</v>
      </c>
      <c r="F195" s="14">
        <v>0.93547549271747832</v>
      </c>
      <c r="G195" s="3">
        <f>'Monthly CFS'!C195 * 86400 * DAY(EOMONTH(D195,0)) / 43560</f>
        <v>2304.0392106647905</v>
      </c>
      <c r="H195" s="3"/>
    </row>
    <row r="196" spans="1:8" x14ac:dyDescent="0.25">
      <c r="A196" s="2">
        <v>189</v>
      </c>
      <c r="B196" s="2">
        <f t="shared" si="12"/>
        <v>1937</v>
      </c>
      <c r="C196" s="2">
        <f t="shared" si="13"/>
        <v>6</v>
      </c>
      <c r="D196" s="4">
        <v>13696</v>
      </c>
      <c r="E196" s="3">
        <v>249.94227532208063</v>
      </c>
      <c r="F196" s="14">
        <v>0.9354754927174781</v>
      </c>
      <c r="G196" s="3">
        <f>'Monthly CFS'!C196 * 86400 * DAY(EOMONTH(D196,0)) / 43560</f>
        <v>3029.8940420080662</v>
      </c>
      <c r="H196" s="3"/>
    </row>
    <row r="197" spans="1:8" x14ac:dyDescent="0.25">
      <c r="A197" s="2">
        <v>190</v>
      </c>
      <c r="B197" s="2">
        <f t="shared" si="12"/>
        <v>1937</v>
      </c>
      <c r="C197" s="2">
        <f t="shared" si="13"/>
        <v>7</v>
      </c>
      <c r="D197" s="4">
        <v>13727</v>
      </c>
      <c r="E197" s="3">
        <v>278.83348316359661</v>
      </c>
      <c r="F197" s="14">
        <v>0.93547549271747799</v>
      </c>
      <c r="G197" s="3">
        <f>'Monthly CFS'!C197 * 86400 * DAY(EOMONTH(D197,0)) / 43560</f>
        <v>3887.7224194573914</v>
      </c>
      <c r="H197" s="3"/>
    </row>
    <row r="198" spans="1:8" x14ac:dyDescent="0.25">
      <c r="A198" s="2">
        <v>191</v>
      </c>
      <c r="B198" s="2">
        <f t="shared" si="12"/>
        <v>1937</v>
      </c>
      <c r="C198" s="2">
        <f t="shared" si="13"/>
        <v>8</v>
      </c>
      <c r="D198" s="4">
        <v>13758</v>
      </c>
      <c r="E198" s="3">
        <v>281.64601106700837</v>
      </c>
      <c r="F198" s="14">
        <v>0.93547549271747799</v>
      </c>
      <c r="G198" s="3">
        <f>'Monthly CFS'!C198 * 86400 * DAY(EOMONTH(D198,0)) / 43560</f>
        <v>4250.6499170690295</v>
      </c>
      <c r="H198" s="3"/>
    </row>
    <row r="199" spans="1:8" x14ac:dyDescent="0.25">
      <c r="A199" s="2">
        <v>192</v>
      </c>
      <c r="B199" s="2">
        <f t="shared" si="12"/>
        <v>1937</v>
      </c>
      <c r="C199" s="2">
        <f t="shared" si="13"/>
        <v>9</v>
      </c>
      <c r="D199" s="4">
        <v>13788</v>
      </c>
      <c r="E199" s="3">
        <v>247.80503551638381</v>
      </c>
      <c r="F199" s="14">
        <v>0.93547549271747787</v>
      </c>
      <c r="G199" s="3">
        <f>'Monthly CFS'!C199 * 86400 * DAY(EOMONTH(D199,0)) / 43560</f>
        <v>3585.2828654276959</v>
      </c>
      <c r="H199" s="3"/>
    </row>
    <row r="200" spans="1:8" x14ac:dyDescent="0.25">
      <c r="A200" s="2">
        <v>193</v>
      </c>
      <c r="B200" s="2">
        <f t="shared" si="12"/>
        <v>1937</v>
      </c>
      <c r="C200" s="2">
        <f t="shared" si="13"/>
        <v>10</v>
      </c>
      <c r="D200" s="4">
        <v>13819</v>
      </c>
      <c r="E200" s="3">
        <v>213.68325149262245</v>
      </c>
      <c r="F200" s="14">
        <v>0.93547549271747799</v>
      </c>
      <c r="G200" s="3">
        <f>'Monthly CFS'!C200 * 86400 * DAY(EOMONTH(D200,0)) / 43560</f>
        <v>2441.5116681819263</v>
      </c>
      <c r="H200" s="3"/>
    </row>
    <row r="201" spans="1:8" x14ac:dyDescent="0.25">
      <c r="A201" s="2">
        <v>194</v>
      </c>
      <c r="B201" s="2">
        <f t="shared" ref="B201:B264" si="14">YEAR(D201)</f>
        <v>1937</v>
      </c>
      <c r="C201" s="2">
        <f t="shared" ref="C201:C264" si="15">MONTH(D201)</f>
        <v>11</v>
      </c>
      <c r="D201" s="4">
        <v>13849</v>
      </c>
      <c r="E201" s="3">
        <v>158.89264570494973</v>
      </c>
      <c r="F201" s="14">
        <v>0.93547549271747799</v>
      </c>
      <c r="G201" s="3">
        <f>'Monthly CFS'!C201 * 86400 * DAY(EOMONTH(D201,0)) / 43560</f>
        <v>1550.6899042060888</v>
      </c>
      <c r="H201" s="3"/>
    </row>
    <row r="202" spans="1:8" x14ac:dyDescent="0.25">
      <c r="A202" s="2">
        <v>195</v>
      </c>
      <c r="B202" s="2">
        <f t="shared" si="14"/>
        <v>1937</v>
      </c>
      <c r="C202" s="2">
        <f t="shared" si="15"/>
        <v>12</v>
      </c>
      <c r="D202" s="4">
        <v>13880</v>
      </c>
      <c r="E202" s="3">
        <v>140.7197017834973</v>
      </c>
      <c r="F202" s="14">
        <v>0.93547549271747787</v>
      </c>
      <c r="G202" s="3">
        <f>'Monthly CFS'!C202 * 86400 * DAY(EOMONTH(D202,0)) / 43560</f>
        <v>1275.7448662618174</v>
      </c>
      <c r="H202" s="3"/>
    </row>
    <row r="203" spans="1:8" x14ac:dyDescent="0.25">
      <c r="A203" s="2">
        <v>196</v>
      </c>
      <c r="B203" s="2">
        <f t="shared" si="14"/>
        <v>1938</v>
      </c>
      <c r="C203" s="2">
        <f t="shared" si="15"/>
        <v>1</v>
      </c>
      <c r="D203" s="4">
        <v>13911</v>
      </c>
      <c r="E203" s="3">
        <v>120.71654124454041</v>
      </c>
      <c r="F203" s="14">
        <v>0.93547549271747799</v>
      </c>
      <c r="G203" s="3">
        <f>'Monthly CFS'!C203 * 86400 * DAY(EOMONTH(D203,0)) / 43560</f>
        <v>1215.2569226798771</v>
      </c>
      <c r="H203" s="3"/>
    </row>
    <row r="204" spans="1:8" x14ac:dyDescent="0.25">
      <c r="A204" s="2">
        <v>197</v>
      </c>
      <c r="B204" s="2">
        <f t="shared" si="14"/>
        <v>1938</v>
      </c>
      <c r="C204" s="2">
        <f t="shared" si="15"/>
        <v>2</v>
      </c>
      <c r="D204" s="4">
        <v>13939</v>
      </c>
      <c r="E204" s="3">
        <v>114.45563578137684</v>
      </c>
      <c r="F204" s="14">
        <v>0.93547549271747799</v>
      </c>
      <c r="G204" s="3">
        <f>'Monthly CFS'!C204 * 86400 * DAY(EOMONTH(D204,0)) / 43560</f>
        <v>1083.2833765738274</v>
      </c>
      <c r="H204" s="3"/>
    </row>
    <row r="205" spans="1:8" x14ac:dyDescent="0.25">
      <c r="A205" s="2">
        <v>198</v>
      </c>
      <c r="B205" s="2">
        <f t="shared" si="14"/>
        <v>1938</v>
      </c>
      <c r="C205" s="2">
        <f t="shared" si="15"/>
        <v>3</v>
      </c>
      <c r="D205" s="4">
        <v>13970</v>
      </c>
      <c r="E205" s="3">
        <v>95.988743796675152</v>
      </c>
      <c r="F205" s="14">
        <v>1</v>
      </c>
      <c r="G205" s="3">
        <f>'Monthly CFS'!C205 * 86400 * DAY(EOMONTH(D205,0)) / 43560</f>
        <v>1314.2371232294154</v>
      </c>
      <c r="H205" s="3"/>
    </row>
    <row r="206" spans="1:8" x14ac:dyDescent="0.25">
      <c r="A206" s="2">
        <v>199</v>
      </c>
      <c r="B206" s="2">
        <f t="shared" si="14"/>
        <v>1938</v>
      </c>
      <c r="C206" s="2">
        <f t="shared" si="15"/>
        <v>4</v>
      </c>
      <c r="D206" s="4">
        <v>14000</v>
      </c>
      <c r="E206" s="3">
        <v>127.84175342511904</v>
      </c>
      <c r="F206" s="14">
        <v>1</v>
      </c>
      <c r="G206" s="3">
        <f>'Monthly CFS'!C206 * 86400 * DAY(EOMONTH(D206,0)) / 43560</f>
        <v>1561.6876860582584</v>
      </c>
      <c r="H206" s="3"/>
    </row>
    <row r="207" spans="1:8" x14ac:dyDescent="0.25">
      <c r="A207" s="2">
        <v>200</v>
      </c>
      <c r="B207" s="2">
        <f t="shared" si="14"/>
        <v>1938</v>
      </c>
      <c r="C207" s="2">
        <f t="shared" si="15"/>
        <v>5</v>
      </c>
      <c r="D207" s="4">
        <v>14031</v>
      </c>
      <c r="E207" s="3">
        <v>173.69722718890344</v>
      </c>
      <c r="F207" s="14">
        <v>1</v>
      </c>
      <c r="G207" s="3">
        <f>'Monthly CFS'!C207 * 86400 * DAY(EOMONTH(D207,0)) / 43560</f>
        <v>2304.039210664791</v>
      </c>
      <c r="H207" s="3"/>
    </row>
    <row r="208" spans="1:8" x14ac:dyDescent="0.25">
      <c r="A208" s="2">
        <v>201</v>
      </c>
      <c r="B208" s="2">
        <f t="shared" si="14"/>
        <v>1938</v>
      </c>
      <c r="C208" s="2">
        <f t="shared" si="15"/>
        <v>6</v>
      </c>
      <c r="D208" s="4">
        <v>14061</v>
      </c>
      <c r="E208" s="3">
        <v>230.63820084858216</v>
      </c>
      <c r="F208" s="14">
        <v>1</v>
      </c>
      <c r="G208" s="3">
        <f>'Monthly CFS'!C208 * 86400 * DAY(EOMONTH(D208,0)) / 43560</f>
        <v>3029.8940420080662</v>
      </c>
      <c r="H208" s="3"/>
    </row>
    <row r="209" spans="1:8" x14ac:dyDescent="0.25">
      <c r="A209" s="2">
        <v>202</v>
      </c>
      <c r="B209" s="2">
        <f t="shared" si="14"/>
        <v>1938</v>
      </c>
      <c r="C209" s="2">
        <f t="shared" si="15"/>
        <v>7</v>
      </c>
      <c r="D209" s="4">
        <v>14092</v>
      </c>
      <c r="E209" s="3">
        <v>271.71188667119026</v>
      </c>
      <c r="F209" s="14">
        <v>1</v>
      </c>
      <c r="G209" s="3">
        <f>'Monthly CFS'!C209 * 86400 * DAY(EOMONTH(D209,0)) / 43560</f>
        <v>3887.7224194573914</v>
      </c>
      <c r="H209" s="3"/>
    </row>
    <row r="210" spans="1:8" x14ac:dyDescent="0.25">
      <c r="A210" s="2">
        <v>203</v>
      </c>
      <c r="B210" s="2">
        <f t="shared" si="14"/>
        <v>1938</v>
      </c>
      <c r="C210" s="2">
        <f t="shared" si="15"/>
        <v>8</v>
      </c>
      <c r="D210" s="4">
        <v>14123</v>
      </c>
      <c r="E210" s="3">
        <v>282.21761897027193</v>
      </c>
      <c r="F210" s="14">
        <v>1</v>
      </c>
      <c r="G210" s="3">
        <f>'Monthly CFS'!C210 * 86400 * DAY(EOMONTH(D210,0)) / 43560</f>
        <v>4250.6499170690286</v>
      </c>
      <c r="H210" s="3"/>
    </row>
    <row r="211" spans="1:8" x14ac:dyDescent="0.25">
      <c r="A211" s="2">
        <v>204</v>
      </c>
      <c r="B211" s="2">
        <f t="shared" si="14"/>
        <v>1938</v>
      </c>
      <c r="C211" s="2">
        <f t="shared" si="15"/>
        <v>9</v>
      </c>
      <c r="D211" s="4">
        <v>14153</v>
      </c>
      <c r="E211" s="3">
        <v>245.18670139121068</v>
      </c>
      <c r="F211" s="14">
        <v>0.99999999999999989</v>
      </c>
      <c r="G211" s="3">
        <f>'Monthly CFS'!C211 * 86400 * DAY(EOMONTH(D211,0)) / 43560</f>
        <v>3585.2828654276937</v>
      </c>
      <c r="H211" s="3"/>
    </row>
    <row r="212" spans="1:8" x14ac:dyDescent="0.25">
      <c r="A212" s="2">
        <v>205</v>
      </c>
      <c r="B212" s="2">
        <f t="shared" si="14"/>
        <v>1938</v>
      </c>
      <c r="C212" s="2">
        <f t="shared" si="15"/>
        <v>10</v>
      </c>
      <c r="D212" s="4">
        <v>14184</v>
      </c>
      <c r="E212" s="3">
        <v>208.40764336055318</v>
      </c>
      <c r="F212" s="14">
        <v>1</v>
      </c>
      <c r="G212" s="3">
        <f>'Monthly CFS'!C212 * 86400 * DAY(EOMONTH(D212,0)) / 43560</f>
        <v>2441.5116681819272</v>
      </c>
      <c r="H212" s="3"/>
    </row>
    <row r="213" spans="1:8" x14ac:dyDescent="0.25">
      <c r="A213" s="2">
        <v>206</v>
      </c>
      <c r="B213" s="2">
        <f t="shared" si="14"/>
        <v>1938</v>
      </c>
      <c r="C213" s="2">
        <f t="shared" si="15"/>
        <v>11</v>
      </c>
      <c r="D213" s="4">
        <v>14214</v>
      </c>
      <c r="E213" s="3">
        <v>139.9081154259168</v>
      </c>
      <c r="F213" s="14">
        <v>0.99999999999999989</v>
      </c>
      <c r="G213" s="3">
        <f>'Monthly CFS'!C213 * 86400 * DAY(EOMONTH(D213,0)) / 43560</f>
        <v>1550.6899042060875</v>
      </c>
      <c r="H213" s="3"/>
    </row>
    <row r="214" spans="1:8" x14ac:dyDescent="0.25">
      <c r="A214" s="2">
        <v>207</v>
      </c>
      <c r="B214" s="2">
        <f t="shared" si="14"/>
        <v>1938</v>
      </c>
      <c r="C214" s="2">
        <f t="shared" si="15"/>
        <v>12</v>
      </c>
      <c r="D214" s="4">
        <v>14245</v>
      </c>
      <c r="E214" s="3">
        <v>100.09781597435999</v>
      </c>
      <c r="F214" s="14">
        <v>1</v>
      </c>
      <c r="G214" s="3">
        <f>'Monthly CFS'!C214 * 86400 * DAY(EOMONTH(D214,0)) / 43560</f>
        <v>1275.7448662618176</v>
      </c>
      <c r="H214" s="3"/>
    </row>
    <row r="215" spans="1:8" x14ac:dyDescent="0.25">
      <c r="A215" s="2">
        <v>208</v>
      </c>
      <c r="B215" s="2">
        <f t="shared" si="14"/>
        <v>1939</v>
      </c>
      <c r="C215" s="2">
        <f t="shared" si="15"/>
        <v>1</v>
      </c>
      <c r="D215" s="4">
        <v>14276</v>
      </c>
      <c r="E215" s="3">
        <v>94.480039683665979</v>
      </c>
      <c r="F215" s="14">
        <v>1</v>
      </c>
      <c r="G215" s="3">
        <f>'Monthly CFS'!C215 * 86400 * DAY(EOMONTH(D215,0)) / 43560</f>
        <v>681.94731463800952</v>
      </c>
      <c r="H215" s="3"/>
    </row>
    <row r="216" spans="1:8" x14ac:dyDescent="0.25">
      <c r="A216" s="2">
        <v>209</v>
      </c>
      <c r="B216" s="2">
        <f t="shared" si="14"/>
        <v>1939</v>
      </c>
      <c r="C216" s="2">
        <f t="shared" si="15"/>
        <v>2</v>
      </c>
      <c r="D216" s="4">
        <v>14304</v>
      </c>
      <c r="E216" s="3">
        <v>108.63618759646828</v>
      </c>
      <c r="F216" s="14">
        <v>1</v>
      </c>
      <c r="G216" s="3">
        <f>'Monthly CFS'!C216 * 86400 * DAY(EOMONTH(D216,0)) / 43560</f>
        <v>462.46135735896428</v>
      </c>
      <c r="H216" s="3"/>
    </row>
    <row r="217" spans="1:8" x14ac:dyDescent="0.25">
      <c r="A217" s="2">
        <v>210</v>
      </c>
      <c r="B217" s="2">
        <f t="shared" si="14"/>
        <v>1939</v>
      </c>
      <c r="C217" s="2">
        <f t="shared" si="15"/>
        <v>3</v>
      </c>
      <c r="D217" s="4">
        <v>14335</v>
      </c>
      <c r="E217" s="3">
        <v>123.59371307269464</v>
      </c>
      <c r="F217" s="14">
        <v>0.5</v>
      </c>
      <c r="G217" s="3">
        <f>'Monthly CFS'!C217 * 86400 * DAY(EOMONTH(D217,0)) / 43560</f>
        <v>740.88863226670526</v>
      </c>
      <c r="H217" s="3"/>
    </row>
    <row r="218" spans="1:8" x14ac:dyDescent="0.25">
      <c r="A218" s="2">
        <v>211</v>
      </c>
      <c r="B218" s="2">
        <f t="shared" si="14"/>
        <v>1939</v>
      </c>
      <c r="C218" s="2">
        <f t="shared" si="15"/>
        <v>4</v>
      </c>
      <c r="D218" s="4">
        <v>14365</v>
      </c>
      <c r="E218" s="3">
        <v>181.23525201198254</v>
      </c>
      <c r="F218" s="14">
        <v>0.75</v>
      </c>
      <c r="G218" s="3">
        <f>'Monthly CFS'!C218 * 86400 * DAY(EOMONTH(D218,0)) / 43560</f>
        <v>1215.1346529287155</v>
      </c>
      <c r="H218" s="3"/>
    </row>
    <row r="219" spans="1:8" x14ac:dyDescent="0.25">
      <c r="A219" s="2">
        <v>212</v>
      </c>
      <c r="B219" s="2">
        <f t="shared" si="14"/>
        <v>1939</v>
      </c>
      <c r="C219" s="2">
        <f t="shared" si="15"/>
        <v>5</v>
      </c>
      <c r="D219" s="4">
        <v>14396</v>
      </c>
      <c r="E219" s="3">
        <v>220.07156033713082</v>
      </c>
      <c r="F219" s="14">
        <v>0.70141018786700693</v>
      </c>
      <c r="G219" s="3">
        <f>'Monthly CFS'!C219 * 86400 * DAY(EOMONTH(D219,0)) / 43560</f>
        <v>1792.7514647002647</v>
      </c>
      <c r="H219" s="3"/>
    </row>
    <row r="220" spans="1:8" x14ac:dyDescent="0.25">
      <c r="A220" s="2">
        <v>213</v>
      </c>
      <c r="B220" s="2">
        <f t="shared" si="14"/>
        <v>1939</v>
      </c>
      <c r="C220" s="2">
        <f t="shared" si="15"/>
        <v>6</v>
      </c>
      <c r="D220" s="4">
        <v>14426</v>
      </c>
      <c r="E220" s="3">
        <v>257.70906701703871</v>
      </c>
      <c r="F220" s="14">
        <v>0.70141018786700693</v>
      </c>
      <c r="G220" s="3">
        <f>'Monthly CFS'!C220 * 86400 * DAY(EOMONTH(D220,0)) / 43560</f>
        <v>2357.5323529886032</v>
      </c>
      <c r="H220" s="3"/>
    </row>
    <row r="221" spans="1:8" x14ac:dyDescent="0.25">
      <c r="A221" s="2">
        <v>214</v>
      </c>
      <c r="B221" s="2">
        <f t="shared" si="14"/>
        <v>1939</v>
      </c>
      <c r="C221" s="2">
        <f t="shared" si="15"/>
        <v>7</v>
      </c>
      <c r="D221" s="4">
        <v>14457</v>
      </c>
      <c r="E221" s="3">
        <v>288.24290179325095</v>
      </c>
      <c r="F221" s="14">
        <v>0.70141018786700682</v>
      </c>
      <c r="G221" s="3">
        <f>'Monthly CFS'!C221 * 86400 * DAY(EOMONTH(D221,0)) / 43560</f>
        <v>3025.0006291426389</v>
      </c>
      <c r="H221" s="3"/>
    </row>
    <row r="222" spans="1:8" x14ac:dyDescent="0.25">
      <c r="A222" s="2">
        <v>215</v>
      </c>
      <c r="B222" s="2">
        <f t="shared" si="14"/>
        <v>1939</v>
      </c>
      <c r="C222" s="2">
        <f t="shared" si="15"/>
        <v>8</v>
      </c>
      <c r="D222" s="4">
        <v>14488</v>
      </c>
      <c r="E222" s="3">
        <v>279.99483921206041</v>
      </c>
      <c r="F222" s="14">
        <v>0.70141018786700693</v>
      </c>
      <c r="G222" s="3">
        <f>'Monthly CFS'!C222 * 86400 * DAY(EOMONTH(D222,0)) / 43560</f>
        <v>3307.3911370435576</v>
      </c>
      <c r="H222" s="3"/>
    </row>
    <row r="223" spans="1:8" x14ac:dyDescent="0.25">
      <c r="A223" s="2">
        <v>216</v>
      </c>
      <c r="B223" s="2">
        <f t="shared" si="14"/>
        <v>1939</v>
      </c>
      <c r="C223" s="2">
        <f t="shared" si="15"/>
        <v>9</v>
      </c>
      <c r="D223" s="4">
        <v>14518</v>
      </c>
      <c r="E223" s="3">
        <v>253.56663201676474</v>
      </c>
      <c r="F223" s="14">
        <v>0.70141018786700693</v>
      </c>
      <c r="G223" s="3">
        <f>'Monthly CFS'!C223 * 86400 * DAY(EOMONTH(D223,0)) / 43560</f>
        <v>2789.6752271441228</v>
      </c>
      <c r="H223" s="3"/>
    </row>
    <row r="224" spans="1:8" x14ac:dyDescent="0.25">
      <c r="A224" s="2">
        <v>217</v>
      </c>
      <c r="B224" s="2">
        <f t="shared" si="14"/>
        <v>1939</v>
      </c>
      <c r="C224" s="2">
        <f t="shared" si="15"/>
        <v>10</v>
      </c>
      <c r="D224" s="4">
        <v>14549</v>
      </c>
      <c r="E224" s="3">
        <v>216.07475469170527</v>
      </c>
      <c r="F224" s="14">
        <v>0.70141018786700693</v>
      </c>
      <c r="G224" s="3">
        <f>'Monthly CFS'!C224 * 86400 * DAY(EOMONTH(D224,0)) / 43560</f>
        <v>1899.717504353159</v>
      </c>
      <c r="H224" s="3"/>
    </row>
    <row r="225" spans="1:8" x14ac:dyDescent="0.25">
      <c r="A225" s="2">
        <v>218</v>
      </c>
      <c r="B225" s="2">
        <f t="shared" si="14"/>
        <v>1939</v>
      </c>
      <c r="C225" s="2">
        <f t="shared" si="15"/>
        <v>11</v>
      </c>
      <c r="D225" s="4">
        <v>14579</v>
      </c>
      <c r="E225" s="3">
        <v>174.85540601156072</v>
      </c>
      <c r="F225" s="14">
        <v>0.70141018786700693</v>
      </c>
      <c r="G225" s="3">
        <f>'Monthly CFS'!C225 * 86400 * DAY(EOMONTH(D225,0)) / 43560</f>
        <v>1206.5773812327</v>
      </c>
      <c r="H225" s="3"/>
    </row>
    <row r="226" spans="1:8" x14ac:dyDescent="0.25">
      <c r="A226" s="2">
        <v>219</v>
      </c>
      <c r="B226" s="2">
        <f t="shared" si="14"/>
        <v>1939</v>
      </c>
      <c r="C226" s="2">
        <f t="shared" si="15"/>
        <v>12</v>
      </c>
      <c r="D226" s="4">
        <v>14610</v>
      </c>
      <c r="E226" s="3">
        <v>153.18687823593447</v>
      </c>
      <c r="F226" s="14">
        <v>0.70141018786700693</v>
      </c>
      <c r="G226" s="3">
        <f>'Monthly CFS'!C226 * 86400 * DAY(EOMONTH(D226,0)) / 43560</f>
        <v>992.6452062917873</v>
      </c>
      <c r="H226" s="3"/>
    </row>
    <row r="227" spans="1:8" x14ac:dyDescent="0.25">
      <c r="A227" s="2">
        <v>220</v>
      </c>
      <c r="B227" s="2">
        <f t="shared" si="14"/>
        <v>1940</v>
      </c>
      <c r="C227" s="2">
        <f t="shared" si="15"/>
        <v>1</v>
      </c>
      <c r="D227" s="4">
        <v>14641</v>
      </c>
      <c r="E227" s="3">
        <v>148.33069936464571</v>
      </c>
      <c r="F227" s="14">
        <v>0.70141018786700693</v>
      </c>
      <c r="G227" s="3">
        <f>'Monthly CFS'!C227 * 86400 * DAY(EOMONTH(D227,0)) / 43560</f>
        <v>133.67826149478657</v>
      </c>
      <c r="H227" s="3"/>
    </row>
    <row r="228" spans="1:8" x14ac:dyDescent="0.25">
      <c r="A228" s="2">
        <v>221</v>
      </c>
      <c r="B228" s="2">
        <f t="shared" si="14"/>
        <v>1940</v>
      </c>
      <c r="C228" s="2">
        <f t="shared" si="15"/>
        <v>2</v>
      </c>
      <c r="D228" s="4">
        <v>14670</v>
      </c>
      <c r="E228" s="3">
        <v>140.6777084575769</v>
      </c>
      <c r="F228" s="14">
        <v>0.63578584301234409</v>
      </c>
      <c r="G228" s="3">
        <f>'Monthly CFS'!C228 * 86400 * DAY(EOMONTH(D228,0)) / 43560</f>
        <v>136.88032949191097</v>
      </c>
      <c r="H228" s="3"/>
    </row>
    <row r="229" spans="1:8" x14ac:dyDescent="0.25">
      <c r="A229" s="2">
        <v>222</v>
      </c>
      <c r="B229" s="2">
        <f t="shared" si="14"/>
        <v>1940</v>
      </c>
      <c r="C229" s="2">
        <f t="shared" si="15"/>
        <v>3</v>
      </c>
      <c r="D229" s="4">
        <v>14701</v>
      </c>
      <c r="E229" s="3">
        <v>96.914806888141143</v>
      </c>
      <c r="F229" s="14">
        <v>0.84045997073110235</v>
      </c>
      <c r="G229" s="3">
        <f>'Monthly CFS'!C229 * 86400 * DAY(EOMONTH(D229,0)) / 43560</f>
        <v>1062.9503184666141</v>
      </c>
      <c r="H229" s="3"/>
    </row>
    <row r="230" spans="1:8" x14ac:dyDescent="0.25">
      <c r="A230" s="2">
        <v>223</v>
      </c>
      <c r="B230" s="2">
        <f t="shared" si="14"/>
        <v>1940</v>
      </c>
      <c r="C230" s="2">
        <f t="shared" si="15"/>
        <v>4</v>
      </c>
      <c r="D230" s="4">
        <v>14731</v>
      </c>
      <c r="E230" s="3">
        <v>127.84175342511904</v>
      </c>
      <c r="F230" s="14">
        <v>1</v>
      </c>
      <c r="G230" s="3">
        <f>'Monthly CFS'!C230 * 86400 * DAY(EOMONTH(D230,0)) / 43560</f>
        <v>1213.8966124096064</v>
      </c>
      <c r="H230" s="3"/>
    </row>
    <row r="231" spans="1:8" x14ac:dyDescent="0.25">
      <c r="A231" s="2">
        <v>224</v>
      </c>
      <c r="B231" s="2">
        <f t="shared" si="14"/>
        <v>1940</v>
      </c>
      <c r="C231" s="2">
        <f t="shared" si="15"/>
        <v>5</v>
      </c>
      <c r="D231" s="4">
        <v>14762</v>
      </c>
      <c r="E231" s="3">
        <v>173.69722718890344</v>
      </c>
      <c r="F231" s="14">
        <v>1</v>
      </c>
      <c r="G231" s="3">
        <f>'Monthly CFS'!C231 * 86400 * DAY(EOMONTH(D231,0)) / 43560</f>
        <v>1888.613406373921</v>
      </c>
      <c r="H231" s="3"/>
    </row>
    <row r="232" spans="1:8" x14ac:dyDescent="0.25">
      <c r="A232" s="2">
        <v>225</v>
      </c>
      <c r="B232" s="2">
        <f t="shared" si="14"/>
        <v>1940</v>
      </c>
      <c r="C232" s="2">
        <f t="shared" si="15"/>
        <v>6</v>
      </c>
      <c r="D232" s="4">
        <v>14792</v>
      </c>
      <c r="E232" s="3">
        <v>230.63820084858219</v>
      </c>
      <c r="F232" s="14">
        <v>1</v>
      </c>
      <c r="G232" s="3">
        <f>'Monthly CFS'!C232 * 86400 * DAY(EOMONTH(D232,0)) / 43560</f>
        <v>2483.5942379547582</v>
      </c>
      <c r="H232" s="3"/>
    </row>
    <row r="233" spans="1:8" x14ac:dyDescent="0.25">
      <c r="A233" s="2">
        <v>226</v>
      </c>
      <c r="B233" s="2">
        <f t="shared" si="14"/>
        <v>1940</v>
      </c>
      <c r="C233" s="2">
        <f t="shared" si="15"/>
        <v>7</v>
      </c>
      <c r="D233" s="4">
        <v>14823</v>
      </c>
      <c r="E233" s="3">
        <v>271.71188667119026</v>
      </c>
      <c r="F233" s="14">
        <v>1</v>
      </c>
      <c r="G233" s="3">
        <f>'Monthly CFS'!C233 * 86400 * DAY(EOMONTH(D233,0)) / 43560</f>
        <v>3186.7533537023282</v>
      </c>
      <c r="H233" s="3"/>
    </row>
    <row r="234" spans="1:8" x14ac:dyDescent="0.25">
      <c r="A234" s="2">
        <v>227</v>
      </c>
      <c r="B234" s="2">
        <f t="shared" si="14"/>
        <v>1940</v>
      </c>
      <c r="C234" s="2">
        <f t="shared" si="15"/>
        <v>8</v>
      </c>
      <c r="D234" s="4">
        <v>14854</v>
      </c>
      <c r="E234" s="3">
        <v>282.21761897027193</v>
      </c>
      <c r="F234" s="14">
        <v>1</v>
      </c>
      <c r="G234" s="3">
        <f>'Monthly CFS'!C234 * 86400 * DAY(EOMONTH(D234,0)) / 43560</f>
        <v>3484.2438366586948</v>
      </c>
      <c r="H234" s="3"/>
    </row>
    <row r="235" spans="1:8" x14ac:dyDescent="0.25">
      <c r="A235" s="2">
        <v>228</v>
      </c>
      <c r="B235" s="2">
        <f t="shared" si="14"/>
        <v>1940</v>
      </c>
      <c r="C235" s="2">
        <f t="shared" si="15"/>
        <v>9</v>
      </c>
      <c r="D235" s="4">
        <v>14884</v>
      </c>
      <c r="E235" s="3">
        <v>245.18670139121076</v>
      </c>
      <c r="F235" s="14">
        <v>1</v>
      </c>
      <c r="G235" s="3">
        <f>'Monthly CFS'!C235 * 86400 * DAY(EOMONTH(D235,0)) / 43560</f>
        <v>2938.8446402940071</v>
      </c>
      <c r="H235" s="3"/>
    </row>
    <row r="236" spans="1:8" x14ac:dyDescent="0.25">
      <c r="A236" s="2">
        <v>229</v>
      </c>
      <c r="B236" s="2">
        <f t="shared" si="14"/>
        <v>1940</v>
      </c>
      <c r="C236" s="2">
        <f t="shared" si="15"/>
        <v>10</v>
      </c>
      <c r="D236" s="4">
        <v>14915</v>
      </c>
      <c r="E236" s="3">
        <v>208.40764336055321</v>
      </c>
      <c r="F236" s="14">
        <v>0.99999999999999989</v>
      </c>
      <c r="G236" s="3">
        <f>'Monthly CFS'!C236 * 86400 * DAY(EOMONTH(D236,0)) / 43560</f>
        <v>2001.2991302419273</v>
      </c>
      <c r="H236" s="3"/>
    </row>
    <row r="237" spans="1:8" x14ac:dyDescent="0.25">
      <c r="A237" s="2">
        <v>230</v>
      </c>
      <c r="B237" s="2">
        <f t="shared" si="14"/>
        <v>1940</v>
      </c>
      <c r="C237" s="2">
        <f t="shared" si="15"/>
        <v>11</v>
      </c>
      <c r="D237" s="4">
        <v>14945</v>
      </c>
      <c r="E237" s="3">
        <v>139.9081154259168</v>
      </c>
      <c r="F237" s="14">
        <v>1</v>
      </c>
      <c r="G237" s="3">
        <f>'Monthly CFS'!C237 * 86400 * DAY(EOMONTH(D237,0)) / 43560</f>
        <v>1271.0954434526734</v>
      </c>
      <c r="H237" s="3"/>
    </row>
    <row r="238" spans="1:8" x14ac:dyDescent="0.25">
      <c r="A238" s="2">
        <v>231</v>
      </c>
      <c r="B238" s="2">
        <f t="shared" si="14"/>
        <v>1940</v>
      </c>
      <c r="C238" s="2">
        <f t="shared" si="15"/>
        <v>12</v>
      </c>
      <c r="D238" s="4">
        <v>14976</v>
      </c>
      <c r="E238" s="3">
        <v>100.09781597435999</v>
      </c>
      <c r="F238" s="14">
        <v>1</v>
      </c>
      <c r="G238" s="3">
        <f>'Monthly CFS'!C238 * 86400 * DAY(EOMONTH(D238,0)) / 43560</f>
        <v>1045.723894967736</v>
      </c>
      <c r="H238" s="3"/>
    </row>
    <row r="239" spans="1:8" x14ac:dyDescent="0.25">
      <c r="A239" s="2">
        <v>232</v>
      </c>
      <c r="B239" s="2">
        <f t="shared" si="14"/>
        <v>1941</v>
      </c>
      <c r="C239" s="2">
        <f t="shared" si="15"/>
        <v>1</v>
      </c>
      <c r="D239" s="4">
        <v>15007</v>
      </c>
      <c r="E239" s="3">
        <v>94.480039683665979</v>
      </c>
      <c r="F239" s="14">
        <v>1</v>
      </c>
      <c r="G239" s="3">
        <f>'Monthly CFS'!C239 * 86400 * DAY(EOMONTH(D239,0)) / 43560</f>
        <v>1215.256922679878</v>
      </c>
      <c r="H239" s="3"/>
    </row>
    <row r="240" spans="1:8" x14ac:dyDescent="0.25">
      <c r="A240" s="2">
        <v>233</v>
      </c>
      <c r="B240" s="2">
        <f t="shared" si="14"/>
        <v>1941</v>
      </c>
      <c r="C240" s="2">
        <f t="shared" si="15"/>
        <v>2</v>
      </c>
      <c r="D240" s="4">
        <v>15035</v>
      </c>
      <c r="E240" s="3">
        <v>108.63618759646828</v>
      </c>
      <c r="F240" s="14">
        <v>1</v>
      </c>
      <c r="G240" s="3">
        <f>'Monthly CFS'!C240 * 86400 * DAY(EOMONTH(D240,0)) / 43560</f>
        <v>0</v>
      </c>
      <c r="H240" s="3"/>
    </row>
    <row r="241" spans="1:8" x14ac:dyDescent="0.25">
      <c r="A241" s="2">
        <v>234</v>
      </c>
      <c r="B241" s="2">
        <f t="shared" si="14"/>
        <v>1941</v>
      </c>
      <c r="C241" s="2">
        <f t="shared" si="15"/>
        <v>3</v>
      </c>
      <c r="D241" s="4">
        <v>15066</v>
      </c>
      <c r="E241" s="3">
        <v>95.988743796674981</v>
      </c>
      <c r="F241" s="14">
        <v>1</v>
      </c>
      <c r="G241" s="3">
        <f>'Monthly CFS'!C241 * 86400 * DAY(EOMONTH(D241,0)) / 43560</f>
        <v>1314.2371232294151</v>
      </c>
      <c r="H241" s="3"/>
    </row>
    <row r="242" spans="1:8" x14ac:dyDescent="0.25">
      <c r="A242" s="2">
        <v>235</v>
      </c>
      <c r="B242" s="2">
        <f t="shared" si="14"/>
        <v>1941</v>
      </c>
      <c r="C242" s="2">
        <f t="shared" si="15"/>
        <v>4</v>
      </c>
      <c r="D242" s="4">
        <v>15096</v>
      </c>
      <c r="E242" s="3">
        <v>127.84175342511905</v>
      </c>
      <c r="F242" s="14">
        <v>1</v>
      </c>
      <c r="G242" s="3">
        <f>'Monthly CFS'!C242 * 86400 * DAY(EOMONTH(D242,0)) / 43560</f>
        <v>1561.687686058259</v>
      </c>
      <c r="H242" s="3"/>
    </row>
    <row r="243" spans="1:8" x14ac:dyDescent="0.25">
      <c r="A243" s="2">
        <v>236</v>
      </c>
      <c r="B243" s="2">
        <f t="shared" si="14"/>
        <v>1941</v>
      </c>
      <c r="C243" s="2">
        <f t="shared" si="15"/>
        <v>5</v>
      </c>
      <c r="D243" s="4">
        <v>15127</v>
      </c>
      <c r="E243" s="3">
        <v>173.69722718890344</v>
      </c>
      <c r="F243" s="14">
        <v>1</v>
      </c>
      <c r="G243" s="3">
        <f>'Monthly CFS'!C243 * 86400 * DAY(EOMONTH(D243,0)) / 43560</f>
        <v>2304.0392106647905</v>
      </c>
      <c r="H243" s="3"/>
    </row>
    <row r="244" spans="1:8" x14ac:dyDescent="0.25">
      <c r="A244" s="2">
        <v>237</v>
      </c>
      <c r="B244" s="2">
        <f t="shared" si="14"/>
        <v>1941</v>
      </c>
      <c r="C244" s="2">
        <f t="shared" si="15"/>
        <v>6</v>
      </c>
      <c r="D244" s="4">
        <v>15157</v>
      </c>
      <c r="E244" s="3">
        <v>230.63820084858216</v>
      </c>
      <c r="F244" s="14">
        <v>1</v>
      </c>
      <c r="G244" s="3">
        <f>'Monthly CFS'!C244 * 86400 * DAY(EOMONTH(D244,0)) / 43560</f>
        <v>3029.8940420080662</v>
      </c>
      <c r="H244" s="3"/>
    </row>
    <row r="245" spans="1:8" x14ac:dyDescent="0.25">
      <c r="A245" s="2">
        <v>238</v>
      </c>
      <c r="B245" s="2">
        <f t="shared" si="14"/>
        <v>1941</v>
      </c>
      <c r="C245" s="2">
        <f t="shared" si="15"/>
        <v>7</v>
      </c>
      <c r="D245" s="4">
        <v>15188</v>
      </c>
      <c r="E245" s="3">
        <v>271.71188667119026</v>
      </c>
      <c r="F245" s="14">
        <v>1</v>
      </c>
      <c r="G245" s="3">
        <f>'Monthly CFS'!C245 * 86400 * DAY(EOMONTH(D245,0)) / 43560</f>
        <v>3887.7224194573905</v>
      </c>
      <c r="H245" s="3"/>
    </row>
    <row r="246" spans="1:8" x14ac:dyDescent="0.25">
      <c r="A246" s="2">
        <v>239</v>
      </c>
      <c r="B246" s="2">
        <f t="shared" si="14"/>
        <v>1941</v>
      </c>
      <c r="C246" s="2">
        <f t="shared" si="15"/>
        <v>8</v>
      </c>
      <c r="D246" s="4">
        <v>15219</v>
      </c>
      <c r="E246" s="3">
        <v>282.21761897027193</v>
      </c>
      <c r="F246" s="14">
        <v>1</v>
      </c>
      <c r="G246" s="3">
        <f>'Monthly CFS'!C246 * 86400 * DAY(EOMONTH(D246,0)) / 43560</f>
        <v>4250.6499170690295</v>
      </c>
      <c r="H246" s="3"/>
    </row>
    <row r="247" spans="1:8" x14ac:dyDescent="0.25">
      <c r="A247" s="2">
        <v>240</v>
      </c>
      <c r="B247" s="2">
        <f t="shared" si="14"/>
        <v>1941</v>
      </c>
      <c r="C247" s="2">
        <f t="shared" si="15"/>
        <v>9</v>
      </c>
      <c r="D247" s="4">
        <v>15249</v>
      </c>
      <c r="E247" s="3">
        <v>245.18670139121073</v>
      </c>
      <c r="F247" s="14">
        <v>1</v>
      </c>
      <c r="G247" s="3">
        <f>'Monthly CFS'!C247 * 86400 * DAY(EOMONTH(D247,0)) / 43560</f>
        <v>3585.2828654276946</v>
      </c>
      <c r="H247" s="3"/>
    </row>
    <row r="248" spans="1:8" x14ac:dyDescent="0.25">
      <c r="A248" s="2">
        <v>241</v>
      </c>
      <c r="B248" s="2">
        <f t="shared" si="14"/>
        <v>1941</v>
      </c>
      <c r="C248" s="2">
        <f t="shared" si="15"/>
        <v>10</v>
      </c>
      <c r="D248" s="4">
        <v>15280</v>
      </c>
      <c r="E248" s="3">
        <v>208.40764336055324</v>
      </c>
      <c r="F248" s="14">
        <v>1</v>
      </c>
      <c r="G248" s="3">
        <f>'Monthly CFS'!C248 * 86400 * DAY(EOMONTH(D248,0)) / 43560</f>
        <v>2441.5116681819263</v>
      </c>
      <c r="H248" s="3"/>
    </row>
    <row r="249" spans="1:8" x14ac:dyDescent="0.25">
      <c r="A249" s="2">
        <v>242</v>
      </c>
      <c r="B249" s="2">
        <f t="shared" si="14"/>
        <v>1941</v>
      </c>
      <c r="C249" s="2">
        <f t="shared" si="15"/>
        <v>11</v>
      </c>
      <c r="D249" s="4">
        <v>15310</v>
      </c>
      <c r="E249" s="3">
        <v>139.9081154259168</v>
      </c>
      <c r="F249" s="14">
        <v>0.99999999999999989</v>
      </c>
      <c r="G249" s="3">
        <f>'Monthly CFS'!C249 * 86400 * DAY(EOMONTH(D249,0)) / 43560</f>
        <v>1550.6899042060877</v>
      </c>
      <c r="H249" s="3"/>
    </row>
    <row r="250" spans="1:8" x14ac:dyDescent="0.25">
      <c r="A250" s="2">
        <v>243</v>
      </c>
      <c r="B250" s="2">
        <f t="shared" si="14"/>
        <v>1941</v>
      </c>
      <c r="C250" s="2">
        <f t="shared" si="15"/>
        <v>12</v>
      </c>
      <c r="D250" s="4">
        <v>15341</v>
      </c>
      <c r="E250" s="3">
        <v>100.09781597435999</v>
      </c>
      <c r="F250" s="14">
        <v>1</v>
      </c>
      <c r="G250" s="3">
        <f>'Monthly CFS'!C250 * 86400 * DAY(EOMONTH(D250,0)) / 43560</f>
        <v>1275.7448662618181</v>
      </c>
      <c r="H250" s="3"/>
    </row>
    <row r="251" spans="1:8" x14ac:dyDescent="0.25">
      <c r="A251" s="2">
        <v>244</v>
      </c>
      <c r="B251" s="2">
        <f t="shared" si="14"/>
        <v>1942</v>
      </c>
      <c r="C251" s="2">
        <f t="shared" si="15"/>
        <v>1</v>
      </c>
      <c r="D251" s="4">
        <v>15372</v>
      </c>
      <c r="E251" s="3">
        <v>94.480039683665979</v>
      </c>
      <c r="F251" s="14">
        <v>1</v>
      </c>
      <c r="G251" s="3">
        <f>'Monthly CFS'!C251 * 86400 * DAY(EOMONTH(D251,0)) / 43560</f>
        <v>1215.2569226798778</v>
      </c>
      <c r="H251" s="3"/>
    </row>
    <row r="252" spans="1:8" x14ac:dyDescent="0.25">
      <c r="A252" s="2">
        <v>245</v>
      </c>
      <c r="B252" s="2">
        <f t="shared" si="14"/>
        <v>1942</v>
      </c>
      <c r="C252" s="2">
        <f t="shared" si="15"/>
        <v>2</v>
      </c>
      <c r="D252" s="4">
        <v>15400</v>
      </c>
      <c r="E252" s="3">
        <v>108.63618759646828</v>
      </c>
      <c r="F252" s="14">
        <v>1</v>
      </c>
      <c r="G252" s="3">
        <f>'Monthly CFS'!C252 * 86400 * DAY(EOMONTH(D252,0)) / 43560</f>
        <v>1083.2833765738274</v>
      </c>
      <c r="H252" s="3"/>
    </row>
    <row r="253" spans="1:8" x14ac:dyDescent="0.25">
      <c r="A253" s="2">
        <v>246</v>
      </c>
      <c r="B253" s="2">
        <f t="shared" si="14"/>
        <v>1942</v>
      </c>
      <c r="C253" s="2">
        <f t="shared" si="15"/>
        <v>3</v>
      </c>
      <c r="D253" s="4">
        <v>15431</v>
      </c>
      <c r="E253" s="3">
        <v>95.988743796674271</v>
      </c>
      <c r="F253" s="14">
        <v>1</v>
      </c>
      <c r="G253" s="3">
        <f>'Monthly CFS'!C253 * 86400 * DAY(EOMONTH(D253,0)) / 43560</f>
        <v>1314.2371232294156</v>
      </c>
      <c r="H253" s="3"/>
    </row>
    <row r="254" spans="1:8" x14ac:dyDescent="0.25">
      <c r="A254" s="2">
        <v>247</v>
      </c>
      <c r="B254" s="2">
        <f t="shared" si="14"/>
        <v>1942</v>
      </c>
      <c r="C254" s="2">
        <f t="shared" si="15"/>
        <v>4</v>
      </c>
      <c r="D254" s="4">
        <v>15461</v>
      </c>
      <c r="E254" s="3">
        <v>127.84175342511902</v>
      </c>
      <c r="F254" s="14">
        <v>1</v>
      </c>
      <c r="G254" s="3">
        <f>'Monthly CFS'!C254 * 86400 * DAY(EOMONTH(D254,0)) / 43560</f>
        <v>1358.0283933563528</v>
      </c>
      <c r="H254" s="3"/>
    </row>
    <row r="255" spans="1:8" x14ac:dyDescent="0.25">
      <c r="A255" s="2">
        <v>248</v>
      </c>
      <c r="B255" s="2">
        <f t="shared" si="14"/>
        <v>1942</v>
      </c>
      <c r="C255" s="2">
        <f t="shared" si="15"/>
        <v>5</v>
      </c>
      <c r="D255" s="4">
        <v>15492</v>
      </c>
      <c r="E255" s="3">
        <v>173.69722718890344</v>
      </c>
      <c r="F255" s="14">
        <v>1</v>
      </c>
      <c r="G255" s="3">
        <f>'Monthly CFS'!C255 * 86400 * DAY(EOMONTH(D255,0)) / 43560</f>
        <v>2304.0392106647896</v>
      </c>
      <c r="H255" s="3"/>
    </row>
    <row r="256" spans="1:8" x14ac:dyDescent="0.25">
      <c r="A256" s="2">
        <v>249</v>
      </c>
      <c r="B256" s="2">
        <f t="shared" si="14"/>
        <v>1942</v>
      </c>
      <c r="C256" s="2">
        <f t="shared" si="15"/>
        <v>6</v>
      </c>
      <c r="D256" s="4">
        <v>15522</v>
      </c>
      <c r="E256" s="3">
        <v>230.63820084858213</v>
      </c>
      <c r="F256" s="14">
        <v>1</v>
      </c>
      <c r="G256" s="3">
        <f>'Monthly CFS'!C256 * 86400 * DAY(EOMONTH(D256,0)) / 43560</f>
        <v>3029.8940420080658</v>
      </c>
      <c r="H256" s="3"/>
    </row>
    <row r="257" spans="1:8" x14ac:dyDescent="0.25">
      <c r="A257" s="2">
        <v>250</v>
      </c>
      <c r="B257" s="2">
        <f t="shared" si="14"/>
        <v>1942</v>
      </c>
      <c r="C257" s="2">
        <f t="shared" si="15"/>
        <v>7</v>
      </c>
      <c r="D257" s="4">
        <v>15553</v>
      </c>
      <c r="E257" s="3">
        <v>271.71188667119026</v>
      </c>
      <c r="F257" s="14">
        <v>1</v>
      </c>
      <c r="G257" s="3">
        <f>'Monthly CFS'!C257 * 86400 * DAY(EOMONTH(D257,0)) / 43560</f>
        <v>3887.7224194573919</v>
      </c>
      <c r="H257" s="3"/>
    </row>
    <row r="258" spans="1:8" x14ac:dyDescent="0.25">
      <c r="A258" s="2">
        <v>251</v>
      </c>
      <c r="B258" s="2">
        <f t="shared" si="14"/>
        <v>1942</v>
      </c>
      <c r="C258" s="2">
        <f t="shared" si="15"/>
        <v>8</v>
      </c>
      <c r="D258" s="4">
        <v>15584</v>
      </c>
      <c r="E258" s="3">
        <v>282.21761897027199</v>
      </c>
      <c r="F258" s="14">
        <v>1</v>
      </c>
      <c r="G258" s="3">
        <f>'Monthly CFS'!C258 * 86400 * DAY(EOMONTH(D258,0)) / 43560</f>
        <v>4250.6499170690286</v>
      </c>
      <c r="H258" s="3"/>
    </row>
    <row r="259" spans="1:8" x14ac:dyDescent="0.25">
      <c r="A259" s="2">
        <v>252</v>
      </c>
      <c r="B259" s="2">
        <f t="shared" si="14"/>
        <v>1942</v>
      </c>
      <c r="C259" s="2">
        <f t="shared" si="15"/>
        <v>9</v>
      </c>
      <c r="D259" s="4">
        <v>15614</v>
      </c>
      <c r="E259" s="3">
        <v>245.18670139121073</v>
      </c>
      <c r="F259" s="14">
        <v>0.99999999999999989</v>
      </c>
      <c r="G259" s="3">
        <f>'Monthly CFS'!C259 * 86400 * DAY(EOMONTH(D259,0)) / 43560</f>
        <v>3585.2828654276946</v>
      </c>
      <c r="H259" s="3"/>
    </row>
    <row r="260" spans="1:8" x14ac:dyDescent="0.25">
      <c r="A260" s="2">
        <v>253</v>
      </c>
      <c r="B260" s="2">
        <f t="shared" si="14"/>
        <v>1942</v>
      </c>
      <c r="C260" s="2">
        <f t="shared" si="15"/>
        <v>10</v>
      </c>
      <c r="D260" s="4">
        <v>15645</v>
      </c>
      <c r="E260" s="3">
        <v>208.40764336055324</v>
      </c>
      <c r="F260" s="14">
        <v>1</v>
      </c>
      <c r="G260" s="3">
        <f>'Monthly CFS'!C260 * 86400 * DAY(EOMONTH(D260,0)) / 43560</f>
        <v>2441.5116681819272</v>
      </c>
      <c r="H260" s="3"/>
    </row>
    <row r="261" spans="1:8" x14ac:dyDescent="0.25">
      <c r="A261" s="2">
        <v>254</v>
      </c>
      <c r="B261" s="2">
        <f t="shared" si="14"/>
        <v>1942</v>
      </c>
      <c r="C261" s="2">
        <f t="shared" si="15"/>
        <v>11</v>
      </c>
      <c r="D261" s="4">
        <v>15675</v>
      </c>
      <c r="E261" s="3">
        <v>139.9081154259168</v>
      </c>
      <c r="F261" s="14">
        <v>1</v>
      </c>
      <c r="G261" s="3">
        <f>'Monthly CFS'!C261 * 86400 * DAY(EOMONTH(D261,0)) / 43560</f>
        <v>1550.6899042060888</v>
      </c>
      <c r="H261" s="3"/>
    </row>
    <row r="262" spans="1:8" x14ac:dyDescent="0.25">
      <c r="A262" s="2">
        <v>255</v>
      </c>
      <c r="B262" s="2">
        <f t="shared" si="14"/>
        <v>1942</v>
      </c>
      <c r="C262" s="2">
        <f t="shared" si="15"/>
        <v>12</v>
      </c>
      <c r="D262" s="4">
        <v>15706</v>
      </c>
      <c r="E262" s="3">
        <v>100.09781597435999</v>
      </c>
      <c r="F262" s="14">
        <v>1</v>
      </c>
      <c r="G262" s="3">
        <f>'Monthly CFS'!C262 * 86400 * DAY(EOMONTH(D262,0)) / 43560</f>
        <v>1275.7448662618176</v>
      </c>
      <c r="H262" s="3"/>
    </row>
    <row r="263" spans="1:8" x14ac:dyDescent="0.25">
      <c r="A263" s="2">
        <v>256</v>
      </c>
      <c r="B263" s="2">
        <f t="shared" si="14"/>
        <v>1943</v>
      </c>
      <c r="C263" s="2">
        <f t="shared" si="15"/>
        <v>1</v>
      </c>
      <c r="D263" s="4">
        <v>15737</v>
      </c>
      <c r="E263" s="3">
        <v>94.480039683665979</v>
      </c>
      <c r="F263" s="14">
        <v>1</v>
      </c>
      <c r="G263" s="3">
        <f>'Monthly CFS'!C263 * 86400 * DAY(EOMONTH(D263,0)) / 43560</f>
        <v>1076.9517985641032</v>
      </c>
      <c r="H263" s="3"/>
    </row>
    <row r="264" spans="1:8" x14ac:dyDescent="0.25">
      <c r="A264" s="2">
        <v>257</v>
      </c>
      <c r="B264" s="2">
        <f t="shared" si="14"/>
        <v>1943</v>
      </c>
      <c r="C264" s="2">
        <f t="shared" si="15"/>
        <v>2</v>
      </c>
      <c r="D264" s="4">
        <v>15765</v>
      </c>
      <c r="E264" s="3">
        <v>108.63618759646828</v>
      </c>
      <c r="F264" s="14">
        <v>1</v>
      </c>
      <c r="G264" s="3">
        <f>'Monthly CFS'!C264 * 86400 * DAY(EOMONTH(D264,0)) / 43560</f>
        <v>1083.2833765738276</v>
      </c>
      <c r="H264" s="3"/>
    </row>
    <row r="265" spans="1:8" x14ac:dyDescent="0.25">
      <c r="A265" s="2">
        <v>258</v>
      </c>
      <c r="B265" s="2">
        <f t="shared" ref="B265:B328" si="16">YEAR(D265)</f>
        <v>1943</v>
      </c>
      <c r="C265" s="2">
        <f t="shared" ref="C265:C328" si="17">MONTH(D265)</f>
        <v>3</v>
      </c>
      <c r="D265" s="4">
        <v>15796</v>
      </c>
      <c r="E265" s="3">
        <v>95.988743796678264</v>
      </c>
      <c r="F265" s="14">
        <v>1</v>
      </c>
      <c r="G265" s="3">
        <f>'Monthly CFS'!C265 * 86400 * DAY(EOMONTH(D265,0)) / 43560</f>
        <v>1314.2371232294147</v>
      </c>
      <c r="H265" s="3"/>
    </row>
    <row r="266" spans="1:8" x14ac:dyDescent="0.25">
      <c r="A266" s="2">
        <v>259</v>
      </c>
      <c r="B266" s="2">
        <f t="shared" si="16"/>
        <v>1943</v>
      </c>
      <c r="C266" s="2">
        <f t="shared" si="17"/>
        <v>4</v>
      </c>
      <c r="D266" s="4">
        <v>15826</v>
      </c>
      <c r="E266" s="3">
        <v>127.84175342511904</v>
      </c>
      <c r="F266" s="14">
        <v>0.99999999999999989</v>
      </c>
      <c r="G266" s="3">
        <f>'Monthly CFS'!C266 * 86400 * DAY(EOMONTH(D266,0)) / 43560</f>
        <v>1561.6876860582584</v>
      </c>
      <c r="H266" s="3"/>
    </row>
    <row r="267" spans="1:8" x14ac:dyDescent="0.25">
      <c r="A267" s="2">
        <v>260</v>
      </c>
      <c r="B267" s="2">
        <f t="shared" si="16"/>
        <v>1943</v>
      </c>
      <c r="C267" s="2">
        <f t="shared" si="17"/>
        <v>5</v>
      </c>
      <c r="D267" s="4">
        <v>15857</v>
      </c>
      <c r="E267" s="3">
        <v>173.69722718890347</v>
      </c>
      <c r="F267" s="14">
        <v>1</v>
      </c>
      <c r="G267" s="3">
        <f>'Monthly CFS'!C267 * 86400 * DAY(EOMONTH(D267,0)) / 43560</f>
        <v>2304.0392106647896</v>
      </c>
      <c r="H267" s="3"/>
    </row>
    <row r="268" spans="1:8" x14ac:dyDescent="0.25">
      <c r="A268" s="2">
        <v>261</v>
      </c>
      <c r="B268" s="2">
        <f t="shared" si="16"/>
        <v>1943</v>
      </c>
      <c r="C268" s="2">
        <f t="shared" si="17"/>
        <v>6</v>
      </c>
      <c r="D268" s="4">
        <v>15887</v>
      </c>
      <c r="E268" s="3">
        <v>230.63820084858216</v>
      </c>
      <c r="F268" s="14">
        <v>1</v>
      </c>
      <c r="G268" s="3">
        <f>'Monthly CFS'!C268 * 86400 * DAY(EOMONTH(D268,0)) / 43560</f>
        <v>3029.8940420080648</v>
      </c>
      <c r="H268" s="3"/>
    </row>
    <row r="269" spans="1:8" x14ac:dyDescent="0.25">
      <c r="A269" s="2">
        <v>262</v>
      </c>
      <c r="B269" s="2">
        <f t="shared" si="16"/>
        <v>1943</v>
      </c>
      <c r="C269" s="2">
        <f t="shared" si="17"/>
        <v>7</v>
      </c>
      <c r="D269" s="4">
        <v>15918</v>
      </c>
      <c r="E269" s="3">
        <v>271.7118866711902</v>
      </c>
      <c r="F269" s="14">
        <v>1</v>
      </c>
      <c r="G269" s="3">
        <f>'Monthly CFS'!C269 * 86400 * DAY(EOMONTH(D269,0)) / 43560</f>
        <v>3887.7224194573905</v>
      </c>
      <c r="H269" s="3"/>
    </row>
    <row r="270" spans="1:8" x14ac:dyDescent="0.25">
      <c r="A270" s="2">
        <v>263</v>
      </c>
      <c r="B270" s="2">
        <f t="shared" si="16"/>
        <v>1943</v>
      </c>
      <c r="C270" s="2">
        <f t="shared" si="17"/>
        <v>8</v>
      </c>
      <c r="D270" s="4">
        <v>15949</v>
      </c>
      <c r="E270" s="3">
        <v>282.21761897027193</v>
      </c>
      <c r="F270" s="14">
        <v>1</v>
      </c>
      <c r="G270" s="3">
        <f>'Monthly CFS'!C270 * 86400 * DAY(EOMONTH(D270,0)) / 43560</f>
        <v>4250.6499170690286</v>
      </c>
      <c r="H270" s="3"/>
    </row>
    <row r="271" spans="1:8" x14ac:dyDescent="0.25">
      <c r="A271" s="2">
        <v>264</v>
      </c>
      <c r="B271" s="2">
        <f t="shared" si="16"/>
        <v>1943</v>
      </c>
      <c r="C271" s="2">
        <f t="shared" si="17"/>
        <v>9</v>
      </c>
      <c r="D271" s="4">
        <v>15979</v>
      </c>
      <c r="E271" s="3">
        <v>245.1867013912107</v>
      </c>
      <c r="F271" s="14">
        <v>0.99999999999999989</v>
      </c>
      <c r="G271" s="3">
        <f>'Monthly CFS'!C271 * 86400 * DAY(EOMONTH(D271,0)) / 43560</f>
        <v>3585.2828654276932</v>
      </c>
      <c r="H271" s="3"/>
    </row>
    <row r="272" spans="1:8" x14ac:dyDescent="0.25">
      <c r="A272" s="2">
        <v>265</v>
      </c>
      <c r="B272" s="2">
        <f t="shared" si="16"/>
        <v>1943</v>
      </c>
      <c r="C272" s="2">
        <f t="shared" si="17"/>
        <v>10</v>
      </c>
      <c r="D272" s="4">
        <v>16010</v>
      </c>
      <c r="E272" s="3">
        <v>208.40764336055318</v>
      </c>
      <c r="F272" s="14">
        <v>1</v>
      </c>
      <c r="G272" s="3">
        <f>'Monthly CFS'!C272 * 86400 * DAY(EOMONTH(D272,0)) / 43560</f>
        <v>2441.511668181925</v>
      </c>
      <c r="H272" s="3"/>
    </row>
    <row r="273" spans="1:8" x14ac:dyDescent="0.25">
      <c r="A273" s="2">
        <v>266</v>
      </c>
      <c r="B273" s="2">
        <f t="shared" si="16"/>
        <v>1943</v>
      </c>
      <c r="C273" s="2">
        <f t="shared" si="17"/>
        <v>11</v>
      </c>
      <c r="D273" s="4">
        <v>16040</v>
      </c>
      <c r="E273" s="3">
        <v>139.9081154259168</v>
      </c>
      <c r="F273" s="14">
        <v>1</v>
      </c>
      <c r="G273" s="3">
        <f>'Monthly CFS'!C273 * 86400 * DAY(EOMONTH(D273,0)) / 43560</f>
        <v>1550.6899042060877</v>
      </c>
      <c r="H273" s="3"/>
    </row>
    <row r="274" spans="1:8" x14ac:dyDescent="0.25">
      <c r="A274" s="2">
        <v>267</v>
      </c>
      <c r="B274" s="2">
        <f t="shared" si="16"/>
        <v>1943</v>
      </c>
      <c r="C274" s="2">
        <f t="shared" si="17"/>
        <v>12</v>
      </c>
      <c r="D274" s="4">
        <v>16071</v>
      </c>
      <c r="E274" s="3">
        <v>100.09781597435999</v>
      </c>
      <c r="F274" s="14">
        <v>1</v>
      </c>
      <c r="G274" s="3">
        <f>'Monthly CFS'!C274 * 86400 * DAY(EOMONTH(D274,0)) / 43560</f>
        <v>1275.7448662618165</v>
      </c>
      <c r="H274" s="3"/>
    </row>
    <row r="275" spans="1:8" x14ac:dyDescent="0.25">
      <c r="A275" s="2">
        <v>268</v>
      </c>
      <c r="B275" s="2">
        <f t="shared" si="16"/>
        <v>1944</v>
      </c>
      <c r="C275" s="2">
        <f t="shared" si="17"/>
        <v>1</v>
      </c>
      <c r="D275" s="4">
        <v>16102</v>
      </c>
      <c r="E275" s="3">
        <v>94.480039683665979</v>
      </c>
      <c r="F275" s="14">
        <v>1</v>
      </c>
      <c r="G275" s="3">
        <f>'Monthly CFS'!C275 * 86400 * DAY(EOMONTH(D275,0)) / 43560</f>
        <v>133.67826149478654</v>
      </c>
      <c r="H275" s="3"/>
    </row>
    <row r="276" spans="1:8" x14ac:dyDescent="0.25">
      <c r="A276" s="2">
        <v>269</v>
      </c>
      <c r="B276" s="2">
        <f t="shared" si="16"/>
        <v>1944</v>
      </c>
      <c r="C276" s="2">
        <f t="shared" si="17"/>
        <v>2</v>
      </c>
      <c r="D276" s="4">
        <v>16131</v>
      </c>
      <c r="E276" s="3">
        <v>104.89011216210731</v>
      </c>
      <c r="F276" s="14">
        <v>0.88037543937420681</v>
      </c>
      <c r="G276" s="3">
        <f>'Monthly CFS'!C276 * 86400 * DAY(EOMONTH(D276,0)) / 43560</f>
        <v>119.1611714231211</v>
      </c>
      <c r="H276" s="3"/>
    </row>
    <row r="277" spans="1:8" x14ac:dyDescent="0.25">
      <c r="A277" s="2">
        <v>270</v>
      </c>
      <c r="B277" s="2">
        <f t="shared" si="16"/>
        <v>1944</v>
      </c>
      <c r="C277" s="2">
        <f t="shared" si="17"/>
        <v>3</v>
      </c>
      <c r="D277" s="4">
        <v>16162</v>
      </c>
      <c r="E277" s="3">
        <v>123.59371307269558</v>
      </c>
      <c r="F277" s="14">
        <v>0.50599272734573142</v>
      </c>
      <c r="G277" s="3">
        <f>'Monthly CFS'!C277 * 86400 * DAY(EOMONTH(D277,0)) / 43560</f>
        <v>222.92405650590749</v>
      </c>
      <c r="H277" s="3"/>
    </row>
    <row r="278" spans="1:8" x14ac:dyDescent="0.25">
      <c r="A278" s="2">
        <v>271</v>
      </c>
      <c r="B278" s="2">
        <f t="shared" si="16"/>
        <v>1944</v>
      </c>
      <c r="C278" s="2">
        <f t="shared" si="17"/>
        <v>4</v>
      </c>
      <c r="D278" s="4">
        <v>16192</v>
      </c>
      <c r="E278" s="3">
        <v>181.23525201198248</v>
      </c>
      <c r="F278" s="14">
        <v>0.67001090511315198</v>
      </c>
      <c r="G278" s="3">
        <f>'Monthly CFS'!C278 * 86400 * DAY(EOMONTH(D278,0)) / 43560</f>
        <v>821.60199328797171</v>
      </c>
      <c r="H278" s="3"/>
    </row>
    <row r="279" spans="1:8" x14ac:dyDescent="0.25">
      <c r="A279" s="2">
        <v>272</v>
      </c>
      <c r="B279" s="2">
        <f t="shared" si="16"/>
        <v>1944</v>
      </c>
      <c r="C279" s="2">
        <f t="shared" si="17"/>
        <v>5</v>
      </c>
      <c r="D279" s="4">
        <v>16223</v>
      </c>
      <c r="E279" s="3">
        <v>220.07156033713082</v>
      </c>
      <c r="F279" s="14">
        <v>0.75</v>
      </c>
      <c r="G279" s="3">
        <f>'Monthly CFS'!C279 * 86400 * DAY(EOMONTH(D279,0)) / 43560</f>
        <v>1212.1522280000986</v>
      </c>
      <c r="H279" s="3"/>
    </row>
    <row r="280" spans="1:8" x14ac:dyDescent="0.25">
      <c r="A280" s="2">
        <v>273</v>
      </c>
      <c r="B280" s="2">
        <f t="shared" si="16"/>
        <v>1944</v>
      </c>
      <c r="C280" s="2">
        <f t="shared" si="17"/>
        <v>6</v>
      </c>
      <c r="D280" s="4">
        <v>16253</v>
      </c>
      <c r="E280" s="3">
        <v>257.70906701703865</v>
      </c>
      <c r="F280" s="14">
        <v>0.74999999999999989</v>
      </c>
      <c r="G280" s="3">
        <f>'Monthly CFS'!C280 * 86400 * DAY(EOMONTH(D280,0)) / 43560</f>
        <v>1594.0235724393813</v>
      </c>
      <c r="H280" s="3"/>
    </row>
    <row r="281" spans="1:8" x14ac:dyDescent="0.25">
      <c r="A281" s="2">
        <v>274</v>
      </c>
      <c r="B281" s="2">
        <f t="shared" si="16"/>
        <v>1944</v>
      </c>
      <c r="C281" s="2">
        <f t="shared" si="17"/>
        <v>7</v>
      </c>
      <c r="D281" s="4">
        <v>16284</v>
      </c>
      <c r="E281" s="3">
        <v>288.24290179325095</v>
      </c>
      <c r="F281" s="14">
        <v>0.74999999999999989</v>
      </c>
      <c r="G281" s="3">
        <f>'Monthly CFS'!C281 * 86400 * DAY(EOMONTH(D281,0)) / 43560</f>
        <v>2045.3260390614169</v>
      </c>
      <c r="H281" s="3"/>
    </row>
    <row r="282" spans="1:8" x14ac:dyDescent="0.25">
      <c r="A282" s="2">
        <v>275</v>
      </c>
      <c r="B282" s="2">
        <f t="shared" si="16"/>
        <v>1944</v>
      </c>
      <c r="C282" s="2">
        <f t="shared" si="17"/>
        <v>8</v>
      </c>
      <c r="D282" s="4">
        <v>16315</v>
      </c>
      <c r="E282" s="3">
        <v>279.99483921206041</v>
      </c>
      <c r="F282" s="14">
        <v>0.75</v>
      </c>
      <c r="G282" s="3">
        <f>'Monthly CFS'!C282 * 86400 * DAY(EOMONTH(D282,0)) / 43560</f>
        <v>2236.2617543895922</v>
      </c>
      <c r="H282" s="3"/>
    </row>
    <row r="283" spans="1:8" x14ac:dyDescent="0.25">
      <c r="A283" s="2">
        <v>276</v>
      </c>
      <c r="B283" s="2">
        <f t="shared" si="16"/>
        <v>1944</v>
      </c>
      <c r="C283" s="2">
        <f t="shared" si="17"/>
        <v>9</v>
      </c>
      <c r="D283" s="4">
        <v>16345</v>
      </c>
      <c r="E283" s="3">
        <v>253.56663201676477</v>
      </c>
      <c r="F283" s="14">
        <v>0.75</v>
      </c>
      <c r="G283" s="3">
        <f>'Monthly CFS'!C283 * 86400 * DAY(EOMONTH(D283,0)) / 43560</f>
        <v>1886.2129573241157</v>
      </c>
      <c r="H283" s="3"/>
    </row>
    <row r="284" spans="1:8" x14ac:dyDescent="0.25">
      <c r="A284" s="2">
        <v>277</v>
      </c>
      <c r="B284" s="2">
        <f t="shared" si="16"/>
        <v>1944</v>
      </c>
      <c r="C284" s="2">
        <f t="shared" si="17"/>
        <v>10</v>
      </c>
      <c r="D284" s="4">
        <v>16376</v>
      </c>
      <c r="E284" s="3">
        <v>216.07475469170527</v>
      </c>
      <c r="F284" s="14">
        <v>0.74999999999999989</v>
      </c>
      <c r="G284" s="3">
        <f>'Monthly CFS'!C284 * 86400 * DAY(EOMONTH(D284,0)) / 43560</f>
        <v>1284.4763207918891</v>
      </c>
      <c r="H284" s="3"/>
    </row>
    <row r="285" spans="1:8" x14ac:dyDescent="0.25">
      <c r="A285" s="2">
        <v>278</v>
      </c>
      <c r="B285" s="2">
        <f t="shared" si="16"/>
        <v>1944</v>
      </c>
      <c r="C285" s="2">
        <f t="shared" si="17"/>
        <v>11</v>
      </c>
      <c r="D285" s="4">
        <v>16406</v>
      </c>
      <c r="E285" s="3">
        <v>174.85540601156069</v>
      </c>
      <c r="F285" s="14">
        <v>0.75</v>
      </c>
      <c r="G285" s="3">
        <f>'Monthly CFS'!C285 * 86400 * DAY(EOMONTH(D285,0)) / 43560</f>
        <v>815.81607362416435</v>
      </c>
      <c r="H285" s="3"/>
    </row>
    <row r="286" spans="1:8" x14ac:dyDescent="0.25">
      <c r="A286" s="2">
        <v>279</v>
      </c>
      <c r="B286" s="2">
        <f t="shared" si="16"/>
        <v>1944</v>
      </c>
      <c r="C286" s="2">
        <f t="shared" si="17"/>
        <v>12</v>
      </c>
      <c r="D286" s="4">
        <v>16437</v>
      </c>
      <c r="E286" s="3">
        <v>153.1868782359345</v>
      </c>
      <c r="F286" s="14">
        <v>0.75</v>
      </c>
      <c r="G286" s="3">
        <f>'Monthly CFS'!C286 * 86400 * DAY(EOMONTH(D286,0)) / 43560</f>
        <v>671.16782337778147</v>
      </c>
      <c r="H286" s="3"/>
    </row>
    <row r="287" spans="1:8" x14ac:dyDescent="0.25">
      <c r="A287" s="2">
        <v>280</v>
      </c>
      <c r="B287" s="2">
        <f t="shared" si="16"/>
        <v>1945</v>
      </c>
      <c r="C287" s="2">
        <f t="shared" si="17"/>
        <v>1</v>
      </c>
      <c r="D287" s="4">
        <v>16468</v>
      </c>
      <c r="E287" s="3">
        <v>148.33069936464571</v>
      </c>
      <c r="F287" s="14">
        <v>0.75</v>
      </c>
      <c r="G287" s="3">
        <f>'Monthly CFS'!C287 * 86400 * DAY(EOMONTH(D287,0)) / 43560</f>
        <v>565.43097336543224</v>
      </c>
      <c r="H287" s="3"/>
    </row>
    <row r="288" spans="1:8" x14ac:dyDescent="0.25">
      <c r="A288" s="2">
        <v>281</v>
      </c>
      <c r="B288" s="2">
        <f t="shared" si="16"/>
        <v>1945</v>
      </c>
      <c r="C288" s="2">
        <f t="shared" si="17"/>
        <v>2</v>
      </c>
      <c r="D288" s="4">
        <v>16496</v>
      </c>
      <c r="E288" s="3">
        <v>145.70191233106178</v>
      </c>
      <c r="F288" s="14">
        <v>0.56961866223628477</v>
      </c>
      <c r="G288" s="3">
        <f>'Monthly CFS'!C288 * 86400 * DAY(EOMONTH(D288,0)) / 43560</f>
        <v>172.25701732950793</v>
      </c>
      <c r="H288" s="3"/>
    </row>
    <row r="289" spans="1:8" x14ac:dyDescent="0.25">
      <c r="A289" s="2">
        <v>282</v>
      </c>
      <c r="B289" s="2">
        <f t="shared" si="16"/>
        <v>1945</v>
      </c>
      <c r="C289" s="2">
        <f t="shared" si="17"/>
        <v>3</v>
      </c>
      <c r="D289" s="4">
        <v>16527</v>
      </c>
      <c r="E289" s="3">
        <v>106.88716825976135</v>
      </c>
      <c r="F289" s="14">
        <v>0.5</v>
      </c>
      <c r="G289" s="3">
        <f>'Monthly CFS'!C289 * 86400 * DAY(EOMONTH(D289,0)) / 43560</f>
        <v>902.59888131717446</v>
      </c>
      <c r="H289" s="3"/>
    </row>
    <row r="290" spans="1:8" x14ac:dyDescent="0.25">
      <c r="A290" s="2">
        <v>283</v>
      </c>
      <c r="B290" s="2">
        <f t="shared" si="16"/>
        <v>1945</v>
      </c>
      <c r="C290" s="2">
        <f t="shared" si="17"/>
        <v>4</v>
      </c>
      <c r="D290" s="4">
        <v>16557</v>
      </c>
      <c r="E290" s="3">
        <v>155.35965745471617</v>
      </c>
      <c r="F290" s="14">
        <v>0.85350059587543436</v>
      </c>
      <c r="G290" s="3">
        <f>'Monthly CFS'!C290 * 86400 * DAY(EOMONTH(D290,0)) / 43560</f>
        <v>1561.6876860582588</v>
      </c>
      <c r="H290" s="3"/>
    </row>
    <row r="291" spans="1:8" x14ac:dyDescent="0.25">
      <c r="A291" s="2">
        <v>284</v>
      </c>
      <c r="B291" s="2">
        <f t="shared" si="16"/>
        <v>1945</v>
      </c>
      <c r="C291" s="2">
        <f t="shared" si="17"/>
        <v>5</v>
      </c>
      <c r="D291" s="4">
        <v>16588</v>
      </c>
      <c r="E291" s="3">
        <v>189.91672423298658</v>
      </c>
      <c r="F291" s="14">
        <v>0.85350059587543425</v>
      </c>
      <c r="G291" s="3">
        <f>'Monthly CFS'!C291 * 86400 * DAY(EOMONTH(D291,0)) / 43560</f>
        <v>2304.0392106647892</v>
      </c>
      <c r="H291" s="3"/>
    </row>
    <row r="292" spans="1:8" x14ac:dyDescent="0.25">
      <c r="A292" s="2">
        <v>285</v>
      </c>
      <c r="B292" s="2">
        <f t="shared" si="16"/>
        <v>1945</v>
      </c>
      <c r="C292" s="2">
        <f t="shared" si="17"/>
        <v>6</v>
      </c>
      <c r="D292" s="4">
        <v>16618</v>
      </c>
      <c r="E292" s="3">
        <v>249.94227532208066</v>
      </c>
      <c r="F292" s="14">
        <v>0.85350059587543425</v>
      </c>
      <c r="G292" s="3">
        <f>'Monthly CFS'!C292 * 86400 * DAY(EOMONTH(D292,0)) / 43560</f>
        <v>3029.8940420080648</v>
      </c>
      <c r="H292" s="3"/>
    </row>
    <row r="293" spans="1:8" x14ac:dyDescent="0.25">
      <c r="A293" s="2">
        <v>286</v>
      </c>
      <c r="B293" s="2">
        <f t="shared" si="16"/>
        <v>1945</v>
      </c>
      <c r="C293" s="2">
        <f t="shared" si="17"/>
        <v>7</v>
      </c>
      <c r="D293" s="4">
        <v>16649</v>
      </c>
      <c r="E293" s="3">
        <v>278.83348316359661</v>
      </c>
      <c r="F293" s="14">
        <v>0.85350059587543425</v>
      </c>
      <c r="G293" s="3">
        <f>'Monthly CFS'!C293 * 86400 * DAY(EOMONTH(D293,0)) / 43560</f>
        <v>3887.7224194573901</v>
      </c>
      <c r="H293" s="3"/>
    </row>
    <row r="294" spans="1:8" x14ac:dyDescent="0.25">
      <c r="A294" s="2">
        <v>287</v>
      </c>
      <c r="B294" s="2">
        <f t="shared" si="16"/>
        <v>1945</v>
      </c>
      <c r="C294" s="2">
        <f t="shared" si="17"/>
        <v>8</v>
      </c>
      <c r="D294" s="4">
        <v>16680</v>
      </c>
      <c r="E294" s="3">
        <v>281.64601106700837</v>
      </c>
      <c r="F294" s="14">
        <v>0.85350059587543425</v>
      </c>
      <c r="G294" s="3">
        <f>'Monthly CFS'!C294 * 86400 * DAY(EOMONTH(D294,0)) / 43560</f>
        <v>4250.6499170690267</v>
      </c>
      <c r="H294" s="3"/>
    </row>
    <row r="295" spans="1:8" x14ac:dyDescent="0.25">
      <c r="A295" s="2">
        <v>288</v>
      </c>
      <c r="B295" s="2">
        <f t="shared" si="16"/>
        <v>1945</v>
      </c>
      <c r="C295" s="2">
        <f t="shared" si="17"/>
        <v>9</v>
      </c>
      <c r="D295" s="4">
        <v>16710</v>
      </c>
      <c r="E295" s="3">
        <v>247.80503551638375</v>
      </c>
      <c r="F295" s="14">
        <v>0.85350059587543414</v>
      </c>
      <c r="G295" s="3">
        <f>'Monthly CFS'!C295 * 86400 * DAY(EOMONTH(D295,0)) / 43560</f>
        <v>3585.2828654276937</v>
      </c>
      <c r="H295" s="3"/>
    </row>
    <row r="296" spans="1:8" x14ac:dyDescent="0.25">
      <c r="A296" s="2">
        <v>289</v>
      </c>
      <c r="B296" s="2">
        <f t="shared" si="16"/>
        <v>1945</v>
      </c>
      <c r="C296" s="2">
        <f t="shared" si="17"/>
        <v>10</v>
      </c>
      <c r="D296" s="4">
        <v>16741</v>
      </c>
      <c r="E296" s="3">
        <v>213.68325149262242</v>
      </c>
      <c r="F296" s="14">
        <v>0.85350059587543425</v>
      </c>
      <c r="G296" s="3">
        <f>'Monthly CFS'!C296 * 86400 * DAY(EOMONTH(D296,0)) / 43560</f>
        <v>2441.511668181925</v>
      </c>
      <c r="H296" s="3"/>
    </row>
    <row r="297" spans="1:8" x14ac:dyDescent="0.25">
      <c r="A297" s="2">
        <v>290</v>
      </c>
      <c r="B297" s="2">
        <f t="shared" si="16"/>
        <v>1945</v>
      </c>
      <c r="C297" s="2">
        <f t="shared" si="17"/>
        <v>11</v>
      </c>
      <c r="D297" s="4">
        <v>16771</v>
      </c>
      <c r="E297" s="3">
        <v>158.89264570494973</v>
      </c>
      <c r="F297" s="14">
        <v>0.85350059587543414</v>
      </c>
      <c r="G297" s="3">
        <f>'Monthly CFS'!C297 * 86400 * DAY(EOMONTH(D297,0)) / 43560</f>
        <v>1550.6899042060882</v>
      </c>
      <c r="H297" s="3"/>
    </row>
    <row r="298" spans="1:8" x14ac:dyDescent="0.25">
      <c r="A298" s="2">
        <v>291</v>
      </c>
      <c r="B298" s="2">
        <f t="shared" si="16"/>
        <v>1945</v>
      </c>
      <c r="C298" s="2">
        <f t="shared" si="17"/>
        <v>12</v>
      </c>
      <c r="D298" s="4">
        <v>16802</v>
      </c>
      <c r="E298" s="3">
        <v>140.71970178349733</v>
      </c>
      <c r="F298" s="14">
        <v>0.85350059587543425</v>
      </c>
      <c r="G298" s="3">
        <f>'Monthly CFS'!C298 * 86400 * DAY(EOMONTH(D298,0)) / 43560</f>
        <v>1275.7448662618172</v>
      </c>
      <c r="H298" s="3"/>
    </row>
    <row r="299" spans="1:8" x14ac:dyDescent="0.25">
      <c r="A299" s="2">
        <v>292</v>
      </c>
      <c r="B299" s="2">
        <f t="shared" si="16"/>
        <v>1946</v>
      </c>
      <c r="C299" s="2">
        <f t="shared" si="17"/>
        <v>1</v>
      </c>
      <c r="D299" s="4">
        <v>16833</v>
      </c>
      <c r="E299" s="3">
        <v>120.71654124454039</v>
      </c>
      <c r="F299" s="14">
        <v>0.85350059587543425</v>
      </c>
      <c r="G299" s="3">
        <f>'Monthly CFS'!C299 * 86400 * DAY(EOMONTH(D299,0)) / 43560</f>
        <v>1215.2569226798776</v>
      </c>
      <c r="H299" s="3"/>
    </row>
    <row r="300" spans="1:8" x14ac:dyDescent="0.25">
      <c r="A300" s="2">
        <v>293</v>
      </c>
      <c r="B300" s="2">
        <f t="shared" si="16"/>
        <v>1946</v>
      </c>
      <c r="C300" s="2">
        <f t="shared" si="17"/>
        <v>2</v>
      </c>
      <c r="D300" s="4">
        <v>16861</v>
      </c>
      <c r="E300" s="3">
        <v>114.45563578137684</v>
      </c>
      <c r="F300" s="14">
        <v>0.85350059587543425</v>
      </c>
      <c r="G300" s="3">
        <f>'Monthly CFS'!C300 * 86400 * DAY(EOMONTH(D300,0)) / 43560</f>
        <v>1083.2833765738276</v>
      </c>
      <c r="H300" s="3"/>
    </row>
    <row r="301" spans="1:8" x14ac:dyDescent="0.25">
      <c r="A301" s="2">
        <v>294</v>
      </c>
      <c r="B301" s="2">
        <f t="shared" si="16"/>
        <v>1946</v>
      </c>
      <c r="C301" s="2">
        <f t="shared" si="17"/>
        <v>3</v>
      </c>
      <c r="D301" s="4">
        <v>16892</v>
      </c>
      <c r="E301" s="3">
        <v>96.914806888139083</v>
      </c>
      <c r="F301" s="14">
        <v>0.88176505098838065</v>
      </c>
      <c r="G301" s="3">
        <f>'Monthly CFS'!C301 * 86400 * DAY(EOMONTH(D301,0)) / 43560</f>
        <v>1235.833012938009</v>
      </c>
      <c r="H301" s="3"/>
    </row>
    <row r="302" spans="1:8" x14ac:dyDescent="0.25">
      <c r="A302" s="2">
        <v>295</v>
      </c>
      <c r="B302" s="2">
        <f t="shared" si="16"/>
        <v>1946</v>
      </c>
      <c r="C302" s="2">
        <f t="shared" si="17"/>
        <v>4</v>
      </c>
      <c r="D302" s="4">
        <v>16922</v>
      </c>
      <c r="E302" s="3">
        <v>140.91721845376131</v>
      </c>
      <c r="F302" s="14">
        <v>1</v>
      </c>
      <c r="G302" s="3">
        <f>'Monthly CFS'!C302 * 86400 * DAY(EOMONTH(D302,0)) / 43560</f>
        <v>1302.0611004446541</v>
      </c>
      <c r="H302" s="3"/>
    </row>
    <row r="303" spans="1:8" x14ac:dyDescent="0.25">
      <c r="A303" s="2">
        <v>296</v>
      </c>
      <c r="B303" s="2">
        <f t="shared" si="16"/>
        <v>1946</v>
      </c>
      <c r="C303" s="2">
        <f t="shared" si="17"/>
        <v>5</v>
      </c>
      <c r="D303" s="4">
        <v>16953</v>
      </c>
      <c r="E303" s="3">
        <v>189.91672423298658</v>
      </c>
      <c r="F303" s="14">
        <v>0.99999999999999989</v>
      </c>
      <c r="G303" s="3">
        <f>'Monthly CFS'!C303 * 86400 * DAY(EOMONTH(D303,0)) / 43560</f>
        <v>2209.162677315333</v>
      </c>
      <c r="H303" s="3"/>
    </row>
    <row r="304" spans="1:8" x14ac:dyDescent="0.25">
      <c r="A304" s="2">
        <v>297</v>
      </c>
      <c r="B304" s="2">
        <f t="shared" si="16"/>
        <v>1946</v>
      </c>
      <c r="C304" s="2">
        <f t="shared" si="17"/>
        <v>6</v>
      </c>
      <c r="D304" s="4">
        <v>16983</v>
      </c>
      <c r="E304" s="3">
        <v>249.94227532208066</v>
      </c>
      <c r="F304" s="14">
        <v>1</v>
      </c>
      <c r="G304" s="3">
        <f>'Monthly CFS'!C304 * 86400 * DAY(EOMONTH(D304,0)) / 43560</f>
        <v>2905.1280042638737</v>
      </c>
      <c r="H304" s="3"/>
    </row>
    <row r="305" spans="1:8" x14ac:dyDescent="0.25">
      <c r="A305" s="2">
        <v>298</v>
      </c>
      <c r="B305" s="2">
        <f t="shared" si="16"/>
        <v>1946</v>
      </c>
      <c r="C305" s="2">
        <f t="shared" si="17"/>
        <v>7</v>
      </c>
      <c r="D305" s="4">
        <v>17014</v>
      </c>
      <c r="E305" s="3">
        <v>278.83348316359655</v>
      </c>
      <c r="F305" s="14">
        <v>0.99999999999999989</v>
      </c>
      <c r="G305" s="3">
        <f>'Monthly CFS'!C305 * 86400 * DAY(EOMONTH(D305,0)) / 43560</f>
        <v>3727.6324244278985</v>
      </c>
      <c r="H305" s="3"/>
    </row>
    <row r="306" spans="1:8" x14ac:dyDescent="0.25">
      <c r="A306" s="2">
        <v>299</v>
      </c>
      <c r="B306" s="2">
        <f t="shared" si="16"/>
        <v>1946</v>
      </c>
      <c r="C306" s="2">
        <f t="shared" si="17"/>
        <v>8</v>
      </c>
      <c r="D306" s="4">
        <v>17045</v>
      </c>
      <c r="E306" s="3">
        <v>281.64601106700837</v>
      </c>
      <c r="F306" s="14">
        <v>1</v>
      </c>
      <c r="G306" s="3">
        <f>'Monthly CFS'!C306 * 86400 * DAY(EOMONTH(D306,0)) / 43560</f>
        <v>4075.6151664680133</v>
      </c>
      <c r="H306" s="3"/>
    </row>
    <row r="307" spans="1:8" x14ac:dyDescent="0.25">
      <c r="A307" s="2">
        <v>300</v>
      </c>
      <c r="B307" s="2">
        <f t="shared" si="16"/>
        <v>1946</v>
      </c>
      <c r="C307" s="2">
        <f t="shared" si="17"/>
        <v>9</v>
      </c>
      <c r="D307" s="4">
        <v>17075</v>
      </c>
      <c r="E307" s="3">
        <v>247.80503551638381</v>
      </c>
      <c r="F307" s="14">
        <v>1</v>
      </c>
      <c r="G307" s="3">
        <f>'Monthly CFS'!C307 * 86400 * DAY(EOMONTH(D307,0)) / 43560</f>
        <v>3437.6468322497499</v>
      </c>
      <c r="H307" s="3"/>
    </row>
    <row r="308" spans="1:8" x14ac:dyDescent="0.25">
      <c r="A308" s="2">
        <v>301</v>
      </c>
      <c r="B308" s="2">
        <f t="shared" si="16"/>
        <v>1946</v>
      </c>
      <c r="C308" s="2">
        <f t="shared" si="17"/>
        <v>10</v>
      </c>
      <c r="D308" s="4">
        <v>17106</v>
      </c>
      <c r="E308" s="3">
        <v>213.68325149262242</v>
      </c>
      <c r="F308" s="14">
        <v>1</v>
      </c>
      <c r="G308" s="3">
        <f>'Monthly CFS'!C308 * 86400 * DAY(EOMONTH(D308,0)) / 43560</f>
        <v>2340.9742458424344</v>
      </c>
      <c r="H308" s="3"/>
    </row>
    <row r="309" spans="1:8" x14ac:dyDescent="0.25">
      <c r="A309" s="2">
        <v>302</v>
      </c>
      <c r="B309" s="2">
        <f t="shared" si="16"/>
        <v>1946</v>
      </c>
      <c r="C309" s="2">
        <f t="shared" si="17"/>
        <v>11</v>
      </c>
      <c r="D309" s="4">
        <v>17136</v>
      </c>
      <c r="E309" s="3">
        <v>158.89264570494973</v>
      </c>
      <c r="F309" s="14">
        <v>1</v>
      </c>
      <c r="G309" s="3">
        <f>'Monthly CFS'!C309 * 86400 * DAY(EOMONTH(D309,0)) / 43560</f>
        <v>1486.8350523745403</v>
      </c>
      <c r="H309" s="3"/>
    </row>
    <row r="310" spans="1:8" x14ac:dyDescent="0.25">
      <c r="A310" s="2">
        <v>303</v>
      </c>
      <c r="B310" s="2">
        <f t="shared" si="16"/>
        <v>1946</v>
      </c>
      <c r="C310" s="2">
        <f t="shared" si="17"/>
        <v>12</v>
      </c>
      <c r="D310" s="4">
        <v>17167</v>
      </c>
      <c r="E310" s="3">
        <v>140.7197017834973</v>
      </c>
      <c r="F310" s="14">
        <v>1</v>
      </c>
      <c r="G310" s="3">
        <f>'Monthly CFS'!C310 * 86400 * DAY(EOMONTH(D310,0)) / 43560</f>
        <v>1223.2117974715663</v>
      </c>
      <c r="H310" s="3"/>
    </row>
    <row r="311" spans="1:8" x14ac:dyDescent="0.25">
      <c r="A311" s="2">
        <v>304</v>
      </c>
      <c r="B311" s="2">
        <f t="shared" si="16"/>
        <v>1947</v>
      </c>
      <c r="C311" s="2">
        <f t="shared" si="17"/>
        <v>1</v>
      </c>
      <c r="D311" s="4">
        <v>17198</v>
      </c>
      <c r="E311" s="3">
        <v>120.71654124454041</v>
      </c>
      <c r="F311" s="14">
        <v>1</v>
      </c>
      <c r="G311" s="3">
        <f>'Monthly CFS'!C311 * 86400 * DAY(EOMONTH(D311,0)) / 43560</f>
        <v>207.075436816148</v>
      </c>
      <c r="H311" s="3"/>
    </row>
    <row r="312" spans="1:8" x14ac:dyDescent="0.25">
      <c r="A312" s="2">
        <v>305</v>
      </c>
      <c r="B312" s="2">
        <f t="shared" si="16"/>
        <v>1947</v>
      </c>
      <c r="C312" s="2">
        <f t="shared" si="17"/>
        <v>2</v>
      </c>
      <c r="D312" s="4">
        <v>17226</v>
      </c>
      <c r="E312" s="3">
        <v>114.45563578137684</v>
      </c>
      <c r="F312" s="14">
        <v>0.83596119739266017</v>
      </c>
      <c r="G312" s="3">
        <f>'Monthly CFS'!C312 * 86400 * DAY(EOMONTH(D312,0)) / 43560</f>
        <v>119.16117142312102</v>
      </c>
      <c r="H312" s="3"/>
    </row>
    <row r="313" spans="1:8" x14ac:dyDescent="0.25">
      <c r="A313" s="2">
        <v>306</v>
      </c>
      <c r="B313" s="2">
        <f t="shared" si="16"/>
        <v>1947</v>
      </c>
      <c r="C313" s="2">
        <f t="shared" si="17"/>
        <v>3</v>
      </c>
      <c r="D313" s="4">
        <v>17257</v>
      </c>
      <c r="E313" s="3">
        <v>123.59371307269612</v>
      </c>
      <c r="F313" s="14">
        <v>0.5</v>
      </c>
      <c r="G313" s="3">
        <f>'Monthly CFS'!C313 * 86400 * DAY(EOMONTH(D313,0)) / 43560</f>
        <v>286.69640658167236</v>
      </c>
      <c r="H313" s="3"/>
    </row>
    <row r="314" spans="1:8" x14ac:dyDescent="0.25">
      <c r="A314" s="2">
        <v>307</v>
      </c>
      <c r="B314" s="2">
        <f t="shared" si="16"/>
        <v>1947</v>
      </c>
      <c r="C314" s="2">
        <f t="shared" si="17"/>
        <v>4</v>
      </c>
      <c r="D314" s="4">
        <v>17287</v>
      </c>
      <c r="E314" s="3">
        <v>181.23525201198254</v>
      </c>
      <c r="F314" s="14">
        <v>0.62099115419703965</v>
      </c>
      <c r="G314" s="3">
        <f>'Monthly CFS'!C314 * 86400 * DAY(EOMONTH(D314,0)) / 43560</f>
        <v>886.92196938492327</v>
      </c>
      <c r="H314" s="3"/>
    </row>
    <row r="315" spans="1:8" x14ac:dyDescent="0.25">
      <c r="A315" s="2">
        <v>308</v>
      </c>
      <c r="B315" s="2">
        <f t="shared" si="16"/>
        <v>1947</v>
      </c>
      <c r="C315" s="2">
        <f t="shared" si="17"/>
        <v>5</v>
      </c>
      <c r="D315" s="4">
        <v>17318</v>
      </c>
      <c r="E315" s="3">
        <v>239.89165958575308</v>
      </c>
      <c r="F315" s="14">
        <v>0.53480557130983308</v>
      </c>
      <c r="G315" s="3">
        <f>'Monthly CFS'!C315 * 86400 * DAY(EOMONTH(D315,0)) / 43560</f>
        <v>1308.522192052852</v>
      </c>
      <c r="H315" s="3"/>
    </row>
    <row r="316" spans="1:8" x14ac:dyDescent="0.25">
      <c r="A316" s="2">
        <v>309</v>
      </c>
      <c r="B316" s="2">
        <f t="shared" si="16"/>
        <v>1947</v>
      </c>
      <c r="C316" s="2">
        <f t="shared" si="17"/>
        <v>6</v>
      </c>
      <c r="D316" s="4">
        <v>17348</v>
      </c>
      <c r="E316" s="3">
        <v>275.36306112931697</v>
      </c>
      <c r="F316" s="14">
        <v>0.53480557130983308</v>
      </c>
      <c r="G316" s="3">
        <f>'Monthly CFS'!C316 * 86400 * DAY(EOMONTH(D316,0)) / 43560</f>
        <v>1720.7535250202332</v>
      </c>
      <c r="H316" s="3"/>
    </row>
    <row r="317" spans="1:8" x14ac:dyDescent="0.25">
      <c r="A317" s="2">
        <v>310</v>
      </c>
      <c r="B317" s="2">
        <f t="shared" si="16"/>
        <v>1947</v>
      </c>
      <c r="C317" s="2">
        <f t="shared" si="17"/>
        <v>7</v>
      </c>
      <c r="D317" s="4">
        <v>17379</v>
      </c>
      <c r="E317" s="3">
        <v>287.21574840608628</v>
      </c>
      <c r="F317" s="14">
        <v>0.53480557130983308</v>
      </c>
      <c r="G317" s="3">
        <f>'Monthly CFS'!C317 * 86400 * DAY(EOMONTH(D317,0)) / 43560</f>
        <v>2207.9359755920068</v>
      </c>
      <c r="H317" s="3"/>
    </row>
    <row r="318" spans="1:8" x14ac:dyDescent="0.25">
      <c r="A318" s="2">
        <v>311</v>
      </c>
      <c r="B318" s="2">
        <f t="shared" si="16"/>
        <v>1947</v>
      </c>
      <c r="C318" s="2">
        <f t="shared" si="17"/>
        <v>8</v>
      </c>
      <c r="D318" s="4">
        <v>17410</v>
      </c>
      <c r="E318" s="3">
        <v>278.99732431952134</v>
      </c>
      <c r="F318" s="14">
        <v>0.53480557130983319</v>
      </c>
      <c r="G318" s="3">
        <f>'Monthly CFS'!C318 * 86400 * DAY(EOMONTH(D318,0)) / 43560</f>
        <v>2414.0516886114983</v>
      </c>
      <c r="H318" s="3"/>
    </row>
    <row r="319" spans="1:8" x14ac:dyDescent="0.25">
      <c r="A319" s="2">
        <v>312</v>
      </c>
      <c r="B319" s="2">
        <f t="shared" si="16"/>
        <v>1947</v>
      </c>
      <c r="C319" s="2">
        <f t="shared" si="17"/>
        <v>9</v>
      </c>
      <c r="D319" s="4">
        <v>17440</v>
      </c>
      <c r="E319" s="3">
        <v>254.31992423903677</v>
      </c>
      <c r="F319" s="14">
        <v>0.53480557130983308</v>
      </c>
      <c r="G319" s="3">
        <f>'Monthly CFS'!C319 * 86400 * DAY(EOMONTH(D319,0)) / 43560</f>
        <v>2036.1728969210333</v>
      </c>
      <c r="H319" s="3"/>
    </row>
    <row r="320" spans="1:8" x14ac:dyDescent="0.25">
      <c r="A320" s="2">
        <v>313</v>
      </c>
      <c r="B320" s="2">
        <f t="shared" si="16"/>
        <v>1947</v>
      </c>
      <c r="C320" s="2">
        <f t="shared" si="17"/>
        <v>10</v>
      </c>
      <c r="D320" s="4">
        <v>17471</v>
      </c>
      <c r="E320" s="3">
        <v>214.84262990668293</v>
      </c>
      <c r="F320" s="14">
        <v>0.53480557130983308</v>
      </c>
      <c r="G320" s="3">
        <f>'Monthly CFS'!C320 * 86400 * DAY(EOMONTH(D320,0)) / 43560</f>
        <v>1386.5962806467317</v>
      </c>
      <c r="H320" s="3"/>
    </row>
    <row r="321" spans="1:8" x14ac:dyDescent="0.25">
      <c r="A321" s="2">
        <v>314</v>
      </c>
      <c r="B321" s="2">
        <f t="shared" si="16"/>
        <v>1947</v>
      </c>
      <c r="C321" s="2">
        <f t="shared" si="17"/>
        <v>11</v>
      </c>
      <c r="D321" s="4">
        <v>17501</v>
      </c>
      <c r="E321" s="3">
        <v>177.10611356727139</v>
      </c>
      <c r="F321" s="14">
        <v>0.53480557130983319</v>
      </c>
      <c r="G321" s="3">
        <f>'Monthly CFS'!C321 * 86400 * DAY(EOMONTH(D321,0)) / 43560</f>
        <v>880.67605067385659</v>
      </c>
      <c r="H321" s="3"/>
    </row>
    <row r="322" spans="1:8" x14ac:dyDescent="0.25">
      <c r="A322" s="2">
        <v>315</v>
      </c>
      <c r="B322" s="2">
        <f t="shared" si="16"/>
        <v>1947</v>
      </c>
      <c r="C322" s="2">
        <f t="shared" si="17"/>
        <v>12</v>
      </c>
      <c r="D322" s="4">
        <v>17532</v>
      </c>
      <c r="E322" s="3">
        <v>161.98826861286787</v>
      </c>
      <c r="F322" s="14">
        <v>0.53480557130983308</v>
      </c>
      <c r="G322" s="3">
        <f>'Monthly CFS'!C322 * 86400 * DAY(EOMONTH(D322,0)) / 43560</f>
        <v>724.52780368239746</v>
      </c>
      <c r="H322" s="3"/>
    </row>
    <row r="323" spans="1:8" x14ac:dyDescent="0.25">
      <c r="A323" s="2">
        <v>316</v>
      </c>
      <c r="B323" s="2">
        <f t="shared" si="16"/>
        <v>1948</v>
      </c>
      <c r="C323" s="2">
        <f t="shared" si="17"/>
        <v>1</v>
      </c>
      <c r="D323" s="4">
        <v>17563</v>
      </c>
      <c r="E323" s="3">
        <v>157.69227420398121</v>
      </c>
      <c r="F323" s="14">
        <v>0.53480557130983308</v>
      </c>
      <c r="G323" s="3">
        <f>'Monthly CFS'!C323 * 86400 * DAY(EOMONTH(D323,0)) / 43560</f>
        <v>133.67826149478657</v>
      </c>
      <c r="H323" s="3"/>
    </row>
    <row r="324" spans="1:8" x14ac:dyDescent="0.25">
      <c r="A324" s="2">
        <v>317</v>
      </c>
      <c r="B324" s="2">
        <f t="shared" si="16"/>
        <v>1948</v>
      </c>
      <c r="C324" s="2">
        <f t="shared" si="17"/>
        <v>2</v>
      </c>
      <c r="D324" s="4">
        <v>17592</v>
      </c>
      <c r="E324" s="3">
        <v>167.75275886167253</v>
      </c>
      <c r="F324" s="14">
        <v>0.5</v>
      </c>
      <c r="G324" s="3">
        <f>'Monthly CFS'!C324 * 86400 * DAY(EOMONTH(D324,0)) / 43560</f>
        <v>119.16117142312106</v>
      </c>
      <c r="H324" s="3"/>
    </row>
    <row r="325" spans="1:8" x14ac:dyDescent="0.25">
      <c r="A325" s="2">
        <v>318</v>
      </c>
      <c r="B325" s="2">
        <f t="shared" si="16"/>
        <v>1948</v>
      </c>
      <c r="C325" s="2">
        <f t="shared" si="17"/>
        <v>3</v>
      </c>
      <c r="D325" s="4">
        <v>17623</v>
      </c>
      <c r="E325" s="3">
        <v>152.55323506386168</v>
      </c>
      <c r="F325" s="14">
        <v>0.5</v>
      </c>
      <c r="G325" s="3">
        <f>'Monthly CFS'!C325 * 86400 * DAY(EOMONTH(D325,0)) / 43560</f>
        <v>233.04677598645114</v>
      </c>
      <c r="H325" s="3"/>
    </row>
    <row r="326" spans="1:8" x14ac:dyDescent="0.25">
      <c r="A326" s="2">
        <v>319</v>
      </c>
      <c r="B326" s="2">
        <f t="shared" si="16"/>
        <v>1948</v>
      </c>
      <c r="C326" s="2">
        <f t="shared" si="17"/>
        <v>4</v>
      </c>
      <c r="D326" s="4">
        <v>17653</v>
      </c>
      <c r="E326" s="3">
        <v>181.23525201198254</v>
      </c>
      <c r="F326" s="14">
        <v>0.75</v>
      </c>
      <c r="G326" s="3">
        <f>'Monthly CFS'!C326 * 86400 * DAY(EOMONTH(D326,0)) / 43560</f>
        <v>924.58727128872488</v>
      </c>
      <c r="H326" s="3"/>
    </row>
    <row r="327" spans="1:8" x14ac:dyDescent="0.25">
      <c r="A327" s="2">
        <v>320</v>
      </c>
      <c r="B327" s="2">
        <f t="shared" si="16"/>
        <v>1948</v>
      </c>
      <c r="C327" s="2">
        <f t="shared" si="17"/>
        <v>5</v>
      </c>
      <c r="D327" s="4">
        <v>17684</v>
      </c>
      <c r="E327" s="3">
        <v>189.91672423298658</v>
      </c>
      <c r="F327" s="14">
        <v>1</v>
      </c>
      <c r="G327" s="3">
        <f>'Monthly CFS'!C327 * 86400 * DAY(EOMONTH(D327,0)) / 43560</f>
        <v>2195.7324822930932</v>
      </c>
      <c r="H327" s="3"/>
    </row>
    <row r="328" spans="1:8" x14ac:dyDescent="0.25">
      <c r="A328" s="2">
        <v>321</v>
      </c>
      <c r="B328" s="2">
        <f t="shared" si="16"/>
        <v>1948</v>
      </c>
      <c r="C328" s="2">
        <f t="shared" si="17"/>
        <v>6</v>
      </c>
      <c r="D328" s="4">
        <v>17714</v>
      </c>
      <c r="E328" s="3">
        <v>249.94227532208066</v>
      </c>
      <c r="F328" s="14">
        <v>1</v>
      </c>
      <c r="G328" s="3">
        <f>'Monthly CFS'!C328 * 86400 * DAY(EOMONTH(D328,0)) / 43560</f>
        <v>2887.4668170355758</v>
      </c>
      <c r="H328" s="3"/>
    </row>
    <row r="329" spans="1:8" x14ac:dyDescent="0.25">
      <c r="A329" s="2">
        <v>322</v>
      </c>
      <c r="B329" s="2">
        <f t="shared" ref="B329:B392" si="18">YEAR(D329)</f>
        <v>1948</v>
      </c>
      <c r="C329" s="2">
        <f t="shared" ref="C329:C392" si="19">MONTH(D329)</f>
        <v>7</v>
      </c>
      <c r="D329" s="4">
        <v>17745</v>
      </c>
      <c r="E329" s="3">
        <v>278.83348316359655</v>
      </c>
      <c r="F329" s="14">
        <v>1</v>
      </c>
      <c r="G329" s="3">
        <f>'Monthly CFS'!C329 * 86400 * DAY(EOMONTH(D329,0)) / 43560</f>
        <v>3704.9709740307139</v>
      </c>
      <c r="H329" s="3"/>
    </row>
    <row r="330" spans="1:8" x14ac:dyDescent="0.25">
      <c r="A330" s="2">
        <v>323</v>
      </c>
      <c r="B330" s="2">
        <f t="shared" si="18"/>
        <v>1948</v>
      </c>
      <c r="C330" s="2">
        <f t="shared" si="19"/>
        <v>8</v>
      </c>
      <c r="D330" s="4">
        <v>17776</v>
      </c>
      <c r="E330" s="3">
        <v>281.64601106700837</v>
      </c>
      <c r="F330" s="14">
        <v>1</v>
      </c>
      <c r="G330" s="3">
        <f>'Monthly CFS'!C330 * 86400 * DAY(EOMONTH(D330,0)) / 43560</f>
        <v>4050.8382194901765</v>
      </c>
      <c r="H330" s="3"/>
    </row>
    <row r="331" spans="1:8" x14ac:dyDescent="0.25">
      <c r="A331" s="2">
        <v>324</v>
      </c>
      <c r="B331" s="2">
        <f t="shared" si="18"/>
        <v>1948</v>
      </c>
      <c r="C331" s="2">
        <f t="shared" si="19"/>
        <v>9</v>
      </c>
      <c r="D331" s="4">
        <v>17806</v>
      </c>
      <c r="E331" s="3">
        <v>247.80503551638378</v>
      </c>
      <c r="F331" s="14">
        <v>0.99999999999999989</v>
      </c>
      <c r="G331" s="3">
        <f>'Monthly CFS'!C331 * 86400 * DAY(EOMONTH(D331,0)) / 43560</f>
        <v>3416.7482955105706</v>
      </c>
      <c r="H331" s="3"/>
    </row>
    <row r="332" spans="1:8" x14ac:dyDescent="0.25">
      <c r="A332" s="2">
        <v>325</v>
      </c>
      <c r="B332" s="2">
        <f t="shared" si="18"/>
        <v>1948</v>
      </c>
      <c r="C332" s="2">
        <f t="shared" si="19"/>
        <v>10</v>
      </c>
      <c r="D332" s="4">
        <v>17837</v>
      </c>
      <c r="E332" s="3">
        <v>213.68325149262245</v>
      </c>
      <c r="F332" s="14">
        <v>0.99999999999999989</v>
      </c>
      <c r="G332" s="3">
        <f>'Monthly CFS'!C332 * 86400 * DAY(EOMONTH(D332,0)) / 43560</f>
        <v>2326.7427268209781</v>
      </c>
      <c r="H332" s="3"/>
    </row>
    <row r="333" spans="1:8" x14ac:dyDescent="0.25">
      <c r="A333" s="2">
        <v>326</v>
      </c>
      <c r="B333" s="2">
        <f t="shared" si="18"/>
        <v>1948</v>
      </c>
      <c r="C333" s="2">
        <f t="shared" si="19"/>
        <v>11</v>
      </c>
      <c r="D333" s="4">
        <v>17867</v>
      </c>
      <c r="E333" s="3">
        <v>158.8926457049497</v>
      </c>
      <c r="F333" s="14">
        <v>1</v>
      </c>
      <c r="G333" s="3">
        <f>'Monthly CFS'!C333 * 86400 * DAY(EOMONTH(D333,0)) / 43560</f>
        <v>1477.7961142626757</v>
      </c>
      <c r="H333" s="3"/>
    </row>
    <row r="334" spans="1:8" x14ac:dyDescent="0.25">
      <c r="A334" s="2">
        <v>327</v>
      </c>
      <c r="B334" s="2">
        <f t="shared" si="18"/>
        <v>1948</v>
      </c>
      <c r="C334" s="2">
        <f t="shared" si="19"/>
        <v>12</v>
      </c>
      <c r="D334" s="4">
        <v>17898</v>
      </c>
      <c r="E334" s="3">
        <v>140.7197017834973</v>
      </c>
      <c r="F334" s="14">
        <v>1</v>
      </c>
      <c r="G334" s="3">
        <f>'Monthly CFS'!C334 * 86400 * DAY(EOMONTH(D334,0)) / 43560</f>
        <v>1215.7755080745746</v>
      </c>
      <c r="H334" s="3"/>
    </row>
    <row r="335" spans="1:8" x14ac:dyDescent="0.25">
      <c r="A335" s="2">
        <v>328</v>
      </c>
      <c r="B335" s="2">
        <f t="shared" si="18"/>
        <v>1949</v>
      </c>
      <c r="C335" s="2">
        <f t="shared" si="19"/>
        <v>1</v>
      </c>
      <c r="D335" s="4">
        <v>17929</v>
      </c>
      <c r="E335" s="3">
        <v>120.71654124454039</v>
      </c>
      <c r="F335" s="14">
        <v>1</v>
      </c>
      <c r="G335" s="3">
        <f>'Monthly CFS'!C335 * 86400 * DAY(EOMONTH(D335,0)) / 43560</f>
        <v>133.67826149478657</v>
      </c>
      <c r="H335" s="3"/>
    </row>
    <row r="336" spans="1:8" x14ac:dyDescent="0.25">
      <c r="A336" s="2">
        <v>329</v>
      </c>
      <c r="B336" s="2">
        <f t="shared" si="18"/>
        <v>1949</v>
      </c>
      <c r="C336" s="2">
        <f t="shared" si="19"/>
        <v>2</v>
      </c>
      <c r="D336" s="4">
        <v>17957</v>
      </c>
      <c r="E336" s="3">
        <v>114.45563578137686</v>
      </c>
      <c r="F336" s="14">
        <v>0.88990356740213949</v>
      </c>
      <c r="G336" s="3">
        <f>'Monthly CFS'!C336 * 86400 * DAY(EOMONTH(D336,0)) / 43560</f>
        <v>119.16117142312102</v>
      </c>
      <c r="H336" s="3"/>
    </row>
    <row r="337" spans="1:8" x14ac:dyDescent="0.25">
      <c r="A337" s="2">
        <v>330</v>
      </c>
      <c r="B337" s="2">
        <f t="shared" si="18"/>
        <v>1949</v>
      </c>
      <c r="C337" s="2">
        <f t="shared" si="19"/>
        <v>3</v>
      </c>
      <c r="D337" s="4">
        <v>17988</v>
      </c>
      <c r="E337" s="3">
        <v>152.55323506385562</v>
      </c>
      <c r="F337" s="14">
        <v>0.5</v>
      </c>
      <c r="G337" s="3">
        <f>'Monthly CFS'!C337 * 86400 * DAY(EOMONTH(D337,0)) / 43560</f>
        <v>234.79291588763459</v>
      </c>
      <c r="H337" s="3"/>
    </row>
    <row r="338" spans="1:8" x14ac:dyDescent="0.25">
      <c r="A338" s="2">
        <v>331</v>
      </c>
      <c r="B338" s="2">
        <f t="shared" si="18"/>
        <v>1949</v>
      </c>
      <c r="C338" s="2">
        <f t="shared" si="19"/>
        <v>4</v>
      </c>
      <c r="D338" s="4">
        <v>18018</v>
      </c>
      <c r="E338" s="3">
        <v>181.23525201198251</v>
      </c>
      <c r="F338" s="14">
        <v>1</v>
      </c>
      <c r="G338" s="3">
        <f>'Monthly CFS'!C338 * 86400 * DAY(EOMONTH(D338,0)) / 43560</f>
        <v>317.23884601060871</v>
      </c>
      <c r="H338" s="3"/>
    </row>
    <row r="339" spans="1:8" x14ac:dyDescent="0.25">
      <c r="A339" s="2">
        <v>332</v>
      </c>
      <c r="B339" s="2">
        <f t="shared" si="18"/>
        <v>1949</v>
      </c>
      <c r="C339" s="2">
        <f t="shared" si="19"/>
        <v>5</v>
      </c>
      <c r="D339" s="4">
        <v>18049</v>
      </c>
      <c r="E339" s="3">
        <v>220.07156033713082</v>
      </c>
      <c r="F339" s="14">
        <v>1</v>
      </c>
      <c r="G339" s="3">
        <f>'Monthly CFS'!C339 * 86400 * DAY(EOMONTH(D339,0)) / 43560</f>
        <v>491.73619294122113</v>
      </c>
      <c r="H339" s="3"/>
    </row>
    <row r="340" spans="1:8" x14ac:dyDescent="0.25">
      <c r="A340" s="2">
        <v>333</v>
      </c>
      <c r="B340" s="2">
        <f t="shared" si="18"/>
        <v>1949</v>
      </c>
      <c r="C340" s="2">
        <f t="shared" si="19"/>
        <v>6</v>
      </c>
      <c r="D340" s="4">
        <v>18079</v>
      </c>
      <c r="E340" s="3">
        <v>257.70906701703871</v>
      </c>
      <c r="F340" s="14">
        <v>1</v>
      </c>
      <c r="G340" s="3">
        <f>'Monthly CFS'!C340 * 86400 * DAY(EOMONTH(D340,0)) / 43560</f>
        <v>646.65069688742244</v>
      </c>
      <c r="H340" s="3"/>
    </row>
    <row r="341" spans="1:8" x14ac:dyDescent="0.25">
      <c r="A341" s="2">
        <v>334</v>
      </c>
      <c r="B341" s="2">
        <f t="shared" si="18"/>
        <v>1949</v>
      </c>
      <c r="C341" s="2">
        <f t="shared" si="19"/>
        <v>7</v>
      </c>
      <c r="D341" s="4">
        <v>18110</v>
      </c>
      <c r="E341" s="3">
        <v>288.24290179325095</v>
      </c>
      <c r="F341" s="14">
        <v>1</v>
      </c>
      <c r="G341" s="3">
        <f>'Monthly CFS'!C341 * 86400 * DAY(EOMONTH(D341,0)) / 43560</f>
        <v>829.73146155989798</v>
      </c>
      <c r="H341" s="3"/>
    </row>
    <row r="342" spans="1:8" x14ac:dyDescent="0.25">
      <c r="A342" s="2">
        <v>335</v>
      </c>
      <c r="B342" s="2">
        <f t="shared" si="18"/>
        <v>1949</v>
      </c>
      <c r="C342" s="2">
        <f t="shared" si="19"/>
        <v>8</v>
      </c>
      <c r="D342" s="4">
        <v>18141</v>
      </c>
      <c r="E342" s="3">
        <v>279.99483921206041</v>
      </c>
      <c r="F342" s="14">
        <v>1</v>
      </c>
      <c r="G342" s="3">
        <f>'Monthly CFS'!C342 * 86400 * DAY(EOMONTH(D342,0)) / 43560</f>
        <v>907.18873102092311</v>
      </c>
      <c r="H342" s="3"/>
    </row>
    <row r="343" spans="1:8" x14ac:dyDescent="0.25">
      <c r="A343" s="2">
        <v>336</v>
      </c>
      <c r="B343" s="2">
        <f t="shared" si="18"/>
        <v>1949</v>
      </c>
      <c r="C343" s="2">
        <f t="shared" si="19"/>
        <v>9</v>
      </c>
      <c r="D343" s="4">
        <v>18171</v>
      </c>
      <c r="E343" s="3">
        <v>253.56663201676474</v>
      </c>
      <c r="F343" s="14">
        <v>1</v>
      </c>
      <c r="G343" s="3">
        <f>'Monthly CFS'!C343 * 86400 * DAY(EOMONTH(D343,0)) / 43560</f>
        <v>765.18374283835192</v>
      </c>
      <c r="H343" s="3"/>
    </row>
    <row r="344" spans="1:8" x14ac:dyDescent="0.25">
      <c r="A344" s="2">
        <v>337</v>
      </c>
      <c r="B344" s="2">
        <f t="shared" si="18"/>
        <v>1949</v>
      </c>
      <c r="C344" s="2">
        <f t="shared" si="19"/>
        <v>10</v>
      </c>
      <c r="D344" s="4">
        <v>18202</v>
      </c>
      <c r="E344" s="3">
        <v>216.07475469170529</v>
      </c>
      <c r="F344" s="14">
        <v>1</v>
      </c>
      <c r="G344" s="3">
        <f>'Monthly CFS'!C344 * 86400 * DAY(EOMONTH(D344,0)) / 43560</f>
        <v>521.07605077907635</v>
      </c>
      <c r="H344" s="3"/>
    </row>
    <row r="345" spans="1:8" x14ac:dyDescent="0.25">
      <c r="A345" s="2">
        <v>338</v>
      </c>
      <c r="B345" s="2">
        <f t="shared" si="18"/>
        <v>1949</v>
      </c>
      <c r="C345" s="2">
        <f t="shared" si="19"/>
        <v>11</v>
      </c>
      <c r="D345" s="4">
        <v>18232</v>
      </c>
      <c r="E345" s="3">
        <v>174.85540601156066</v>
      </c>
      <c r="F345" s="14">
        <v>1</v>
      </c>
      <c r="G345" s="3">
        <f>'Monthly CFS'!C345 * 86400 * DAY(EOMONTH(D345,0)) / 43560</f>
        <v>330.95372092503294</v>
      </c>
      <c r="H345" s="3"/>
    </row>
    <row r="346" spans="1:8" x14ac:dyDescent="0.25">
      <c r="A346" s="2">
        <v>339</v>
      </c>
      <c r="B346" s="2">
        <f t="shared" si="18"/>
        <v>1949</v>
      </c>
      <c r="C346" s="2">
        <f t="shared" si="19"/>
        <v>12</v>
      </c>
      <c r="D346" s="4">
        <v>18263</v>
      </c>
      <c r="E346" s="3">
        <v>153.1868782359345</v>
      </c>
      <c r="F346" s="14">
        <v>1</v>
      </c>
      <c r="G346" s="3">
        <f>'Monthly CFS'!C346 * 86400 * DAY(EOMONTH(D346,0)) / 43560</f>
        <v>272.27397901743524</v>
      </c>
      <c r="H346" s="3"/>
    </row>
    <row r="347" spans="1:8" x14ac:dyDescent="0.25">
      <c r="A347" s="2">
        <v>340</v>
      </c>
      <c r="B347" s="2">
        <f t="shared" si="18"/>
        <v>1950</v>
      </c>
      <c r="C347" s="2">
        <f t="shared" si="19"/>
        <v>1</v>
      </c>
      <c r="D347" s="4">
        <v>18294</v>
      </c>
      <c r="E347" s="3">
        <v>148.33069936464571</v>
      </c>
      <c r="F347" s="14">
        <v>1</v>
      </c>
      <c r="G347" s="3">
        <f>'Monthly CFS'!C347 * 86400 * DAY(EOMONTH(D347,0)) / 43560</f>
        <v>133.67826149478657</v>
      </c>
      <c r="H347" s="3"/>
    </row>
    <row r="348" spans="1:8" x14ac:dyDescent="0.25">
      <c r="A348" s="2">
        <v>341</v>
      </c>
      <c r="B348" s="2">
        <f t="shared" si="18"/>
        <v>1950</v>
      </c>
      <c r="C348" s="2">
        <f t="shared" si="19"/>
        <v>2</v>
      </c>
      <c r="D348" s="4">
        <v>18322</v>
      </c>
      <c r="E348" s="3">
        <v>145.70191233106175</v>
      </c>
      <c r="F348" s="14">
        <v>0.85838524679702721</v>
      </c>
      <c r="G348" s="3">
        <f>'Monthly CFS'!C348 * 86400 * DAY(EOMONTH(D348,0)) / 43560</f>
        <v>119.16117142312106</v>
      </c>
      <c r="H348" s="3"/>
    </row>
    <row r="349" spans="1:8" x14ac:dyDescent="0.25">
      <c r="A349" s="2">
        <v>342</v>
      </c>
      <c r="B349" s="2">
        <f t="shared" si="18"/>
        <v>1950</v>
      </c>
      <c r="C349" s="2">
        <f t="shared" si="19"/>
        <v>3</v>
      </c>
      <c r="D349" s="4">
        <v>18353</v>
      </c>
      <c r="E349" s="3">
        <v>123.59371307269318</v>
      </c>
      <c r="F349" s="14">
        <v>0.50561830680493514</v>
      </c>
      <c r="G349" s="3">
        <f>'Monthly CFS'!C349 * 86400 * DAY(EOMONTH(D349,0)) / 43560</f>
        <v>191.13490481600289</v>
      </c>
      <c r="H349" s="3"/>
    </row>
    <row r="350" spans="1:8" x14ac:dyDescent="0.25">
      <c r="A350" s="2">
        <v>343</v>
      </c>
      <c r="B350" s="2">
        <f t="shared" si="18"/>
        <v>1950</v>
      </c>
      <c r="C350" s="2">
        <f t="shared" si="19"/>
        <v>4</v>
      </c>
      <c r="D350" s="4">
        <v>18383</v>
      </c>
      <c r="E350" s="3">
        <v>181.23525201198251</v>
      </c>
      <c r="F350" s="14">
        <v>0.75</v>
      </c>
      <c r="G350" s="3">
        <f>'Monthly CFS'!C350 * 86400 * DAY(EOMONTH(D350,0)) / 43560</f>
        <v>1009.9437078843921</v>
      </c>
      <c r="H350" s="3"/>
    </row>
    <row r="351" spans="1:8" x14ac:dyDescent="0.25">
      <c r="A351" s="2">
        <v>344</v>
      </c>
      <c r="B351" s="2">
        <f t="shared" si="18"/>
        <v>1950</v>
      </c>
      <c r="C351" s="2">
        <f t="shared" si="19"/>
        <v>5</v>
      </c>
      <c r="D351" s="4">
        <v>18414</v>
      </c>
      <c r="E351" s="3">
        <v>220.07156033713085</v>
      </c>
      <c r="F351" s="14">
        <v>0.75</v>
      </c>
      <c r="G351" s="3">
        <f>'Monthly CFS'!C351 * 86400 * DAY(EOMONTH(D351,0)) / 43560</f>
        <v>1490.0225725689811</v>
      </c>
      <c r="H351" s="3"/>
    </row>
    <row r="352" spans="1:8" x14ac:dyDescent="0.25">
      <c r="A352" s="2">
        <v>345</v>
      </c>
      <c r="B352" s="2">
        <f t="shared" si="18"/>
        <v>1950</v>
      </c>
      <c r="C352" s="2">
        <f t="shared" si="19"/>
        <v>6</v>
      </c>
      <c r="D352" s="4">
        <v>18444</v>
      </c>
      <c r="E352" s="3">
        <v>257.70906701703859</v>
      </c>
      <c r="F352" s="14">
        <v>0.75</v>
      </c>
      <c r="G352" s="3">
        <f>'Monthly CFS'!C352 * 86400 * DAY(EOMONTH(D352,0)) / 43560</f>
        <v>1959.433022748633</v>
      </c>
      <c r="H352" s="3"/>
    </row>
    <row r="353" spans="1:8" x14ac:dyDescent="0.25">
      <c r="A353" s="2">
        <v>346</v>
      </c>
      <c r="B353" s="2">
        <f t="shared" si="18"/>
        <v>1950</v>
      </c>
      <c r="C353" s="2">
        <f t="shared" si="19"/>
        <v>7</v>
      </c>
      <c r="D353" s="4">
        <v>18475</v>
      </c>
      <c r="E353" s="3">
        <v>288.24290179325095</v>
      </c>
      <c r="F353" s="14">
        <v>0.75</v>
      </c>
      <c r="G353" s="3">
        <f>'Monthly CFS'!C353 * 86400 * DAY(EOMONTH(D353,0)) / 43560</f>
        <v>2514.1907889677782</v>
      </c>
      <c r="H353" s="3"/>
    </row>
    <row r="354" spans="1:8" x14ac:dyDescent="0.25">
      <c r="A354" s="2">
        <v>347</v>
      </c>
      <c r="B354" s="2">
        <f t="shared" si="18"/>
        <v>1950</v>
      </c>
      <c r="C354" s="2">
        <f t="shared" si="19"/>
        <v>8</v>
      </c>
      <c r="D354" s="4">
        <v>18506</v>
      </c>
      <c r="E354" s="3">
        <v>279.99483921206041</v>
      </c>
      <c r="F354" s="14">
        <v>0.75000000000000011</v>
      </c>
      <c r="G354" s="3">
        <f>'Monthly CFS'!C354 * 86400 * DAY(EOMONTH(D354,0)) / 43560</f>
        <v>2748.8960670482174</v>
      </c>
      <c r="H354" s="3"/>
    </row>
    <row r="355" spans="1:8" x14ac:dyDescent="0.25">
      <c r="A355" s="2">
        <v>348</v>
      </c>
      <c r="B355" s="2">
        <f t="shared" si="18"/>
        <v>1950</v>
      </c>
      <c r="C355" s="2">
        <f t="shared" si="19"/>
        <v>9</v>
      </c>
      <c r="D355" s="4">
        <v>18536</v>
      </c>
      <c r="E355" s="3">
        <v>253.56663201676474</v>
      </c>
      <c r="F355" s="14">
        <v>0.75</v>
      </c>
      <c r="G355" s="3">
        <f>'Monthly CFS'!C355 * 86400 * DAY(EOMONTH(D355,0)) / 43560</f>
        <v>2318.6030748976164</v>
      </c>
      <c r="H355" s="3"/>
    </row>
    <row r="356" spans="1:8" x14ac:dyDescent="0.25">
      <c r="A356" s="2">
        <v>349</v>
      </c>
      <c r="B356" s="2">
        <f t="shared" si="18"/>
        <v>1950</v>
      </c>
      <c r="C356" s="2">
        <f t="shared" si="19"/>
        <v>10</v>
      </c>
      <c r="D356" s="4">
        <v>18567</v>
      </c>
      <c r="E356" s="3">
        <v>216.07475469170529</v>
      </c>
      <c r="F356" s="14">
        <v>0.75</v>
      </c>
      <c r="G356" s="3">
        <f>'Monthly CFS'!C356 * 86400 * DAY(EOMONTH(D356,0)) / 43560</f>
        <v>1578.9260356085526</v>
      </c>
      <c r="H356" s="3"/>
    </row>
    <row r="357" spans="1:8" x14ac:dyDescent="0.25">
      <c r="A357" s="2">
        <v>350</v>
      </c>
      <c r="B357" s="2">
        <f t="shared" si="18"/>
        <v>1950</v>
      </c>
      <c r="C357" s="2">
        <f t="shared" si="19"/>
        <v>11</v>
      </c>
      <c r="D357" s="4">
        <v>18597</v>
      </c>
      <c r="E357" s="3">
        <v>174.85540601156069</v>
      </c>
      <c r="F357" s="14">
        <v>0.75000000000000011</v>
      </c>
      <c r="G357" s="3">
        <f>'Monthly CFS'!C357 * 86400 * DAY(EOMONTH(D357,0)) / 43560</f>
        <v>1002.831440379536</v>
      </c>
      <c r="H357" s="3"/>
    </row>
    <row r="358" spans="1:8" x14ac:dyDescent="0.25">
      <c r="A358" s="2">
        <v>351</v>
      </c>
      <c r="B358" s="2">
        <f t="shared" si="18"/>
        <v>1950</v>
      </c>
      <c r="C358" s="2">
        <f t="shared" si="19"/>
        <v>12</v>
      </c>
      <c r="D358" s="4">
        <v>18628</v>
      </c>
      <c r="E358" s="3">
        <v>153.18687823593447</v>
      </c>
      <c r="F358" s="14">
        <v>0.75</v>
      </c>
      <c r="G358" s="3">
        <f>'Monthly CFS'!C358 * 86400 * DAY(EOMONTH(D358,0)) / 43560</f>
        <v>825.02443481447244</v>
      </c>
      <c r="H358" s="3"/>
    </row>
    <row r="359" spans="1:8" x14ac:dyDescent="0.25">
      <c r="A359" s="2">
        <v>352</v>
      </c>
      <c r="B359" s="2">
        <f t="shared" si="18"/>
        <v>1951</v>
      </c>
      <c r="C359" s="2">
        <f t="shared" si="19"/>
        <v>1</v>
      </c>
      <c r="D359" s="4">
        <v>18659</v>
      </c>
      <c r="E359" s="3">
        <v>148.33069936464571</v>
      </c>
      <c r="F359" s="14">
        <v>0.75</v>
      </c>
      <c r="G359" s="3">
        <f>'Monthly CFS'!C359 * 86400 * DAY(EOMONTH(D359,0)) / 43560</f>
        <v>1215.256922679878</v>
      </c>
      <c r="H359" s="3"/>
    </row>
    <row r="360" spans="1:8" x14ac:dyDescent="0.25">
      <c r="A360" s="2">
        <v>353</v>
      </c>
      <c r="B360" s="2">
        <f t="shared" si="18"/>
        <v>1951</v>
      </c>
      <c r="C360" s="2">
        <f t="shared" si="19"/>
        <v>2</v>
      </c>
      <c r="D360" s="4">
        <v>18687</v>
      </c>
      <c r="E360" s="3">
        <v>145.70191233106175</v>
      </c>
      <c r="F360" s="14">
        <v>0.75</v>
      </c>
      <c r="G360" s="3">
        <f>'Monthly CFS'!C360 * 86400 * DAY(EOMONTH(D360,0)) / 43560</f>
        <v>1083.2833765738274</v>
      </c>
      <c r="H360" s="3"/>
    </row>
    <row r="361" spans="1:8" x14ac:dyDescent="0.25">
      <c r="A361" s="2">
        <v>354</v>
      </c>
      <c r="B361" s="2">
        <f t="shared" si="18"/>
        <v>1951</v>
      </c>
      <c r="C361" s="2">
        <f t="shared" si="19"/>
        <v>3</v>
      </c>
      <c r="D361" s="4">
        <v>18718</v>
      </c>
      <c r="E361" s="3">
        <v>95.988743796674441</v>
      </c>
      <c r="F361" s="14">
        <v>1</v>
      </c>
      <c r="G361" s="3">
        <f>'Monthly CFS'!C361 * 86400 * DAY(EOMONTH(D361,0)) / 43560</f>
        <v>1314.2371232294149</v>
      </c>
      <c r="H361" s="3"/>
    </row>
    <row r="362" spans="1:8" x14ac:dyDescent="0.25">
      <c r="A362" s="2">
        <v>355</v>
      </c>
      <c r="B362" s="2">
        <f t="shared" si="18"/>
        <v>1951</v>
      </c>
      <c r="C362" s="2">
        <f t="shared" si="19"/>
        <v>4</v>
      </c>
      <c r="D362" s="4">
        <v>18748</v>
      </c>
      <c r="E362" s="3">
        <v>127.84175342511904</v>
      </c>
      <c r="F362" s="14">
        <v>1</v>
      </c>
      <c r="G362" s="3">
        <f>'Monthly CFS'!C362 * 86400 * DAY(EOMONTH(D362,0)) / 43560</f>
        <v>1561.687686058259</v>
      </c>
      <c r="H362" s="3"/>
    </row>
    <row r="363" spans="1:8" x14ac:dyDescent="0.25">
      <c r="A363" s="2">
        <v>356</v>
      </c>
      <c r="B363" s="2">
        <f t="shared" si="18"/>
        <v>1951</v>
      </c>
      <c r="C363" s="2">
        <f t="shared" si="19"/>
        <v>5</v>
      </c>
      <c r="D363" s="4">
        <v>18779</v>
      </c>
      <c r="E363" s="3">
        <v>173.69722718890344</v>
      </c>
      <c r="F363" s="14">
        <v>1</v>
      </c>
      <c r="G363" s="3">
        <f>'Monthly CFS'!C363 * 86400 * DAY(EOMONTH(D363,0)) / 43560</f>
        <v>2304.0392106647896</v>
      </c>
      <c r="H363" s="3"/>
    </row>
    <row r="364" spans="1:8" x14ac:dyDescent="0.25">
      <c r="A364" s="2">
        <v>357</v>
      </c>
      <c r="B364" s="2">
        <f t="shared" si="18"/>
        <v>1951</v>
      </c>
      <c r="C364" s="2">
        <f t="shared" si="19"/>
        <v>6</v>
      </c>
      <c r="D364" s="4">
        <v>18809</v>
      </c>
      <c r="E364" s="3">
        <v>230.63820084858216</v>
      </c>
      <c r="F364" s="14">
        <v>1</v>
      </c>
      <c r="G364" s="3">
        <f>'Monthly CFS'!C364 * 86400 * DAY(EOMONTH(D364,0)) / 43560</f>
        <v>3029.8940420080658</v>
      </c>
      <c r="H364" s="3"/>
    </row>
    <row r="365" spans="1:8" x14ac:dyDescent="0.25">
      <c r="A365" s="2">
        <v>358</v>
      </c>
      <c r="B365" s="2">
        <f t="shared" si="18"/>
        <v>1951</v>
      </c>
      <c r="C365" s="2">
        <f t="shared" si="19"/>
        <v>7</v>
      </c>
      <c r="D365" s="4">
        <v>18840</v>
      </c>
      <c r="E365" s="3">
        <v>271.71188667119026</v>
      </c>
      <c r="F365" s="14">
        <v>1</v>
      </c>
      <c r="G365" s="3">
        <f>'Monthly CFS'!C365 * 86400 * DAY(EOMONTH(D365,0)) / 43560</f>
        <v>3887.7224194573914</v>
      </c>
      <c r="H365" s="3"/>
    </row>
    <row r="366" spans="1:8" x14ac:dyDescent="0.25">
      <c r="A366" s="2">
        <v>359</v>
      </c>
      <c r="B366" s="2">
        <f t="shared" si="18"/>
        <v>1951</v>
      </c>
      <c r="C366" s="2">
        <f t="shared" si="19"/>
        <v>8</v>
      </c>
      <c r="D366" s="4">
        <v>18871</v>
      </c>
      <c r="E366" s="3">
        <v>282.21761897027187</v>
      </c>
      <c r="F366" s="14">
        <v>1</v>
      </c>
      <c r="G366" s="3">
        <f>'Monthly CFS'!C366 * 86400 * DAY(EOMONTH(D366,0)) / 43560</f>
        <v>4250.6499170690286</v>
      </c>
      <c r="H366" s="3"/>
    </row>
    <row r="367" spans="1:8" x14ac:dyDescent="0.25">
      <c r="A367" s="2">
        <v>360</v>
      </c>
      <c r="B367" s="2">
        <f t="shared" si="18"/>
        <v>1951</v>
      </c>
      <c r="C367" s="2">
        <f t="shared" si="19"/>
        <v>9</v>
      </c>
      <c r="D367" s="4">
        <v>18901</v>
      </c>
      <c r="E367" s="3">
        <v>245.18670139121073</v>
      </c>
      <c r="F367" s="14">
        <v>1</v>
      </c>
      <c r="G367" s="3">
        <f>'Monthly CFS'!C367 * 86400 * DAY(EOMONTH(D367,0)) / 43560</f>
        <v>3585.2828654276932</v>
      </c>
      <c r="H367" s="3"/>
    </row>
    <row r="368" spans="1:8" x14ac:dyDescent="0.25">
      <c r="A368" s="2">
        <v>361</v>
      </c>
      <c r="B368" s="2">
        <f t="shared" si="18"/>
        <v>1951</v>
      </c>
      <c r="C368" s="2">
        <f t="shared" si="19"/>
        <v>10</v>
      </c>
      <c r="D368" s="4">
        <v>18932</v>
      </c>
      <c r="E368" s="3">
        <v>208.40764336055321</v>
      </c>
      <c r="F368" s="14">
        <v>1</v>
      </c>
      <c r="G368" s="3">
        <f>'Monthly CFS'!C368 * 86400 * DAY(EOMONTH(D368,0)) / 43560</f>
        <v>2441.5116681819259</v>
      </c>
      <c r="H368" s="3"/>
    </row>
    <row r="369" spans="1:8" x14ac:dyDescent="0.25">
      <c r="A369" s="2">
        <v>362</v>
      </c>
      <c r="B369" s="2">
        <f t="shared" si="18"/>
        <v>1951</v>
      </c>
      <c r="C369" s="2">
        <f t="shared" si="19"/>
        <v>11</v>
      </c>
      <c r="D369" s="4">
        <v>18962</v>
      </c>
      <c r="E369" s="3">
        <v>139.9081154259168</v>
      </c>
      <c r="F369" s="14">
        <v>1</v>
      </c>
      <c r="G369" s="3">
        <f>'Monthly CFS'!C369 * 86400 * DAY(EOMONTH(D369,0)) / 43560</f>
        <v>1550.6899042060882</v>
      </c>
      <c r="H369" s="3"/>
    </row>
    <row r="370" spans="1:8" x14ac:dyDescent="0.25">
      <c r="A370" s="2">
        <v>363</v>
      </c>
      <c r="B370" s="2">
        <f t="shared" si="18"/>
        <v>1951</v>
      </c>
      <c r="C370" s="2">
        <f t="shared" si="19"/>
        <v>12</v>
      </c>
      <c r="D370" s="4">
        <v>18993</v>
      </c>
      <c r="E370" s="3">
        <v>100.09781597435999</v>
      </c>
      <c r="F370" s="14">
        <v>1.0000000000000002</v>
      </c>
      <c r="G370" s="3">
        <f>'Monthly CFS'!C370 * 86400 * DAY(EOMONTH(D370,0)) / 43560</f>
        <v>1275.7448662618176</v>
      </c>
      <c r="H370" s="3"/>
    </row>
    <row r="371" spans="1:8" x14ac:dyDescent="0.25">
      <c r="A371" s="2">
        <v>364</v>
      </c>
      <c r="B371" s="2">
        <f t="shared" si="18"/>
        <v>1952</v>
      </c>
      <c r="C371" s="2">
        <f t="shared" si="19"/>
        <v>1</v>
      </c>
      <c r="D371" s="4">
        <v>19024</v>
      </c>
      <c r="E371" s="3">
        <v>94.480039683665979</v>
      </c>
      <c r="F371" s="14">
        <v>1</v>
      </c>
      <c r="G371" s="3">
        <f>'Monthly CFS'!C371 * 86400 * DAY(EOMONTH(D371,0)) / 43560</f>
        <v>1215.2569226798773</v>
      </c>
      <c r="H371" s="3"/>
    </row>
    <row r="372" spans="1:8" x14ac:dyDescent="0.25">
      <c r="A372" s="2">
        <v>365</v>
      </c>
      <c r="B372" s="2">
        <f t="shared" si="18"/>
        <v>1952</v>
      </c>
      <c r="C372" s="2">
        <f t="shared" si="19"/>
        <v>2</v>
      </c>
      <c r="D372" s="4">
        <v>19053</v>
      </c>
      <c r="E372" s="3">
        <v>104.89011216210731</v>
      </c>
      <c r="F372" s="14">
        <v>1</v>
      </c>
      <c r="G372" s="3">
        <f>'Monthly CFS'!C372 * 86400 * DAY(EOMONTH(D372,0)) / 43560</f>
        <v>1083.2833765738278</v>
      </c>
      <c r="H372" s="3"/>
    </row>
    <row r="373" spans="1:8" x14ac:dyDescent="0.25">
      <c r="A373" s="2">
        <v>366</v>
      </c>
      <c r="B373" s="2">
        <f t="shared" si="18"/>
        <v>1952</v>
      </c>
      <c r="C373" s="2">
        <f t="shared" si="19"/>
        <v>3</v>
      </c>
      <c r="D373" s="4">
        <v>19084</v>
      </c>
      <c r="E373" s="3">
        <v>95.988743796674726</v>
      </c>
      <c r="F373" s="14">
        <v>1</v>
      </c>
      <c r="G373" s="3">
        <f>'Monthly CFS'!C373 * 86400 * DAY(EOMONTH(D373,0)) / 43560</f>
        <v>1314.2371232294154</v>
      </c>
      <c r="H373" s="3"/>
    </row>
    <row r="374" spans="1:8" x14ac:dyDescent="0.25">
      <c r="A374" s="2">
        <v>367</v>
      </c>
      <c r="B374" s="2">
        <f t="shared" si="18"/>
        <v>1952</v>
      </c>
      <c r="C374" s="2">
        <f t="shared" si="19"/>
        <v>4</v>
      </c>
      <c r="D374" s="4">
        <v>19114</v>
      </c>
      <c r="E374" s="3">
        <v>127.84175342511904</v>
      </c>
      <c r="F374" s="14">
        <v>1</v>
      </c>
      <c r="G374" s="3">
        <f>'Monthly CFS'!C374 * 86400 * DAY(EOMONTH(D374,0)) / 43560</f>
        <v>1561.6876860582588</v>
      </c>
      <c r="H374" s="3"/>
    </row>
    <row r="375" spans="1:8" x14ac:dyDescent="0.25">
      <c r="A375" s="2">
        <v>368</v>
      </c>
      <c r="B375" s="2">
        <f t="shared" si="18"/>
        <v>1952</v>
      </c>
      <c r="C375" s="2">
        <f t="shared" si="19"/>
        <v>5</v>
      </c>
      <c r="D375" s="4">
        <v>19145</v>
      </c>
      <c r="E375" s="3">
        <v>173.69722718890347</v>
      </c>
      <c r="F375" s="14">
        <v>1</v>
      </c>
      <c r="G375" s="3">
        <f>'Monthly CFS'!C375 * 86400 * DAY(EOMONTH(D375,0)) / 43560</f>
        <v>2304.039210664791</v>
      </c>
      <c r="H375" s="3"/>
    </row>
    <row r="376" spans="1:8" x14ac:dyDescent="0.25">
      <c r="A376" s="2">
        <v>369</v>
      </c>
      <c r="B376" s="2">
        <f t="shared" si="18"/>
        <v>1952</v>
      </c>
      <c r="C376" s="2">
        <f t="shared" si="19"/>
        <v>6</v>
      </c>
      <c r="D376" s="4">
        <v>19175</v>
      </c>
      <c r="E376" s="3">
        <v>230.63820084858216</v>
      </c>
      <c r="F376" s="14">
        <v>0.99999999999999989</v>
      </c>
      <c r="G376" s="3">
        <f>'Monthly CFS'!C376 * 86400 * DAY(EOMONTH(D376,0)) / 43560</f>
        <v>3029.8940420080648</v>
      </c>
      <c r="H376" s="3"/>
    </row>
    <row r="377" spans="1:8" x14ac:dyDescent="0.25">
      <c r="A377" s="2">
        <v>370</v>
      </c>
      <c r="B377" s="2">
        <f t="shared" si="18"/>
        <v>1952</v>
      </c>
      <c r="C377" s="2">
        <f t="shared" si="19"/>
        <v>7</v>
      </c>
      <c r="D377" s="4">
        <v>19206</v>
      </c>
      <c r="E377" s="3">
        <v>271.71188667119026</v>
      </c>
      <c r="F377" s="14">
        <v>1</v>
      </c>
      <c r="G377" s="3">
        <f>'Monthly CFS'!C377 * 86400 * DAY(EOMONTH(D377,0)) / 43560</f>
        <v>3887.7224194573914</v>
      </c>
      <c r="H377" s="3"/>
    </row>
    <row r="378" spans="1:8" x14ac:dyDescent="0.25">
      <c r="A378" s="2">
        <v>371</v>
      </c>
      <c r="B378" s="2">
        <f t="shared" si="18"/>
        <v>1952</v>
      </c>
      <c r="C378" s="2">
        <f t="shared" si="19"/>
        <v>8</v>
      </c>
      <c r="D378" s="4">
        <v>19237</v>
      </c>
      <c r="E378" s="3">
        <v>282.21761897027193</v>
      </c>
      <c r="F378" s="14">
        <v>1</v>
      </c>
      <c r="G378" s="3">
        <f>'Monthly CFS'!C378 * 86400 * DAY(EOMONTH(D378,0)) / 43560</f>
        <v>4250.6499170690286</v>
      </c>
      <c r="H378" s="3"/>
    </row>
    <row r="379" spans="1:8" x14ac:dyDescent="0.25">
      <c r="A379" s="2">
        <v>372</v>
      </c>
      <c r="B379" s="2">
        <f t="shared" si="18"/>
        <v>1952</v>
      </c>
      <c r="C379" s="2">
        <f t="shared" si="19"/>
        <v>9</v>
      </c>
      <c r="D379" s="4">
        <v>19267</v>
      </c>
      <c r="E379" s="3">
        <v>245.18670139121073</v>
      </c>
      <c r="F379" s="14">
        <v>1</v>
      </c>
      <c r="G379" s="3">
        <f>'Monthly CFS'!C379 * 86400 * DAY(EOMONTH(D379,0)) / 43560</f>
        <v>3585.2828654276946</v>
      </c>
      <c r="H379" s="3"/>
    </row>
    <row r="380" spans="1:8" x14ac:dyDescent="0.25">
      <c r="A380" s="2">
        <v>373</v>
      </c>
      <c r="B380" s="2">
        <f t="shared" si="18"/>
        <v>1952</v>
      </c>
      <c r="C380" s="2">
        <f t="shared" si="19"/>
        <v>10</v>
      </c>
      <c r="D380" s="4">
        <v>19298</v>
      </c>
      <c r="E380" s="3">
        <v>208.40764336055321</v>
      </c>
      <c r="F380" s="14">
        <v>1</v>
      </c>
      <c r="G380" s="3">
        <f>'Monthly CFS'!C380 * 86400 * DAY(EOMONTH(D380,0)) / 43560</f>
        <v>2441.5116681819277</v>
      </c>
      <c r="H380" s="3"/>
    </row>
    <row r="381" spans="1:8" x14ac:dyDescent="0.25">
      <c r="A381" s="2">
        <v>374</v>
      </c>
      <c r="B381" s="2">
        <f t="shared" si="18"/>
        <v>1952</v>
      </c>
      <c r="C381" s="2">
        <f t="shared" si="19"/>
        <v>11</v>
      </c>
      <c r="D381" s="4">
        <v>19328</v>
      </c>
      <c r="E381" s="3">
        <v>139.9081154259168</v>
      </c>
      <c r="F381" s="14">
        <v>1</v>
      </c>
      <c r="G381" s="3">
        <f>'Monthly CFS'!C381 * 86400 * DAY(EOMONTH(D381,0)) / 43560</f>
        <v>1550.6899042060877</v>
      </c>
      <c r="H381" s="3"/>
    </row>
    <row r="382" spans="1:8" x14ac:dyDescent="0.25">
      <c r="A382" s="2">
        <v>375</v>
      </c>
      <c r="B382" s="2">
        <f t="shared" si="18"/>
        <v>1952</v>
      </c>
      <c r="C382" s="2">
        <f t="shared" si="19"/>
        <v>12</v>
      </c>
      <c r="D382" s="4">
        <v>19359</v>
      </c>
      <c r="E382" s="3">
        <v>100.09781597435999</v>
      </c>
      <c r="F382" s="14">
        <v>1</v>
      </c>
      <c r="G382" s="3">
        <f>'Monthly CFS'!C382 * 86400 * DAY(EOMONTH(D382,0)) / 43560</f>
        <v>1275.7448662618169</v>
      </c>
      <c r="H382" s="3"/>
    </row>
    <row r="383" spans="1:8" x14ac:dyDescent="0.25">
      <c r="A383" s="2">
        <v>376</v>
      </c>
      <c r="B383" s="2">
        <f t="shared" si="18"/>
        <v>1953</v>
      </c>
      <c r="C383" s="2">
        <f t="shared" si="19"/>
        <v>1</v>
      </c>
      <c r="D383" s="4">
        <v>19390</v>
      </c>
      <c r="E383" s="3">
        <v>94.480039683665979</v>
      </c>
      <c r="F383" s="14">
        <v>1</v>
      </c>
      <c r="G383" s="3">
        <f>'Monthly CFS'!C383 * 86400 * DAY(EOMONTH(D383,0)) / 43560</f>
        <v>1215.2569226798782</v>
      </c>
      <c r="H383" s="3"/>
    </row>
    <row r="384" spans="1:8" x14ac:dyDescent="0.25">
      <c r="A384" s="2">
        <v>377</v>
      </c>
      <c r="B384" s="2">
        <f t="shared" si="18"/>
        <v>1953</v>
      </c>
      <c r="C384" s="2">
        <f t="shared" si="19"/>
        <v>2</v>
      </c>
      <c r="D384" s="4">
        <v>19418</v>
      </c>
      <c r="E384" s="3">
        <v>108.63618759646826</v>
      </c>
      <c r="F384" s="14">
        <v>0.95483504884375614</v>
      </c>
      <c r="G384" s="3">
        <f>'Monthly CFS'!C384 * 86400 * DAY(EOMONTH(D384,0)) / 43560</f>
        <v>1083.2833765738271</v>
      </c>
      <c r="H384" s="3"/>
    </row>
    <row r="385" spans="1:8" x14ac:dyDescent="0.25">
      <c r="A385" s="2">
        <v>378</v>
      </c>
      <c r="B385" s="2">
        <f t="shared" si="18"/>
        <v>1953</v>
      </c>
      <c r="C385" s="2">
        <f t="shared" si="19"/>
        <v>3</v>
      </c>
      <c r="D385" s="4">
        <v>19449</v>
      </c>
      <c r="E385" s="3">
        <v>96.914806888133569</v>
      </c>
      <c r="F385" s="14">
        <v>0.75</v>
      </c>
      <c r="G385" s="3">
        <f>'Monthly CFS'!C385 * 86400 * DAY(EOMONTH(D385,0)) / 43560</f>
        <v>1314.2371232294161</v>
      </c>
      <c r="H385" s="3"/>
    </row>
    <row r="386" spans="1:8" x14ac:dyDescent="0.25">
      <c r="A386" s="2">
        <v>379</v>
      </c>
      <c r="B386" s="2">
        <f t="shared" si="18"/>
        <v>1953</v>
      </c>
      <c r="C386" s="2">
        <f t="shared" si="19"/>
        <v>4</v>
      </c>
      <c r="D386" s="4">
        <v>19479</v>
      </c>
      <c r="E386" s="3">
        <v>140.91721845376131</v>
      </c>
      <c r="F386" s="14">
        <v>0.99999999999999989</v>
      </c>
      <c r="G386" s="3">
        <f>'Monthly CFS'!C386 * 86400 * DAY(EOMONTH(D386,0)) / 43560</f>
        <v>1561.6876860582595</v>
      </c>
      <c r="H386" s="3"/>
    </row>
    <row r="387" spans="1:8" x14ac:dyDescent="0.25">
      <c r="A387" s="2">
        <v>380</v>
      </c>
      <c r="B387" s="2">
        <f t="shared" si="18"/>
        <v>1953</v>
      </c>
      <c r="C387" s="2">
        <f t="shared" si="19"/>
        <v>5</v>
      </c>
      <c r="D387" s="4">
        <v>19510</v>
      </c>
      <c r="E387" s="3">
        <v>172.19561393611602</v>
      </c>
      <c r="F387" s="14">
        <v>1</v>
      </c>
      <c r="G387" s="3">
        <f>'Monthly CFS'!C387 * 86400 * DAY(EOMONTH(D387,0)) / 43560</f>
        <v>2304.0392106647919</v>
      </c>
      <c r="H387" s="3"/>
    </row>
    <row r="388" spans="1:8" x14ac:dyDescent="0.25">
      <c r="A388" s="2">
        <v>381</v>
      </c>
      <c r="B388" s="2">
        <f t="shared" si="18"/>
        <v>1953</v>
      </c>
      <c r="C388" s="2">
        <f t="shared" si="19"/>
        <v>6</v>
      </c>
      <c r="D388" s="4">
        <v>19540</v>
      </c>
      <c r="E388" s="3">
        <v>249.30857479426103</v>
      </c>
      <c r="F388" s="14">
        <v>1</v>
      </c>
      <c r="G388" s="3">
        <f>'Monthly CFS'!C388 * 86400 * DAY(EOMONTH(D388,0)) / 43560</f>
        <v>3029.8940420080676</v>
      </c>
      <c r="H388" s="3"/>
    </row>
    <row r="389" spans="1:8" x14ac:dyDescent="0.25">
      <c r="A389" s="2">
        <v>382</v>
      </c>
      <c r="B389" s="2">
        <f t="shared" si="18"/>
        <v>1953</v>
      </c>
      <c r="C389" s="2">
        <f t="shared" si="19"/>
        <v>7</v>
      </c>
      <c r="D389" s="4">
        <v>19571</v>
      </c>
      <c r="E389" s="3">
        <v>274.69602802891444</v>
      </c>
      <c r="F389" s="14">
        <v>0.99999999999999989</v>
      </c>
      <c r="G389" s="3">
        <f>'Monthly CFS'!C389 * 86400 * DAY(EOMONTH(D389,0)) / 43560</f>
        <v>3887.7224194573919</v>
      </c>
      <c r="H389" s="3"/>
    </row>
    <row r="390" spans="1:8" x14ac:dyDescent="0.25">
      <c r="A390" s="2">
        <v>383</v>
      </c>
      <c r="B390" s="2">
        <f t="shared" si="18"/>
        <v>1953</v>
      </c>
      <c r="C390" s="2">
        <f t="shared" si="19"/>
        <v>8</v>
      </c>
      <c r="D390" s="4">
        <v>19602</v>
      </c>
      <c r="E390" s="3">
        <v>284.25012948115892</v>
      </c>
      <c r="F390" s="14">
        <v>1</v>
      </c>
      <c r="G390" s="3">
        <f>'Monthly CFS'!C390 * 86400 * DAY(EOMONTH(D390,0)) / 43560</f>
        <v>4250.6499170690295</v>
      </c>
      <c r="H390" s="3"/>
    </row>
    <row r="391" spans="1:8" x14ac:dyDescent="0.25">
      <c r="A391" s="2">
        <v>384</v>
      </c>
      <c r="B391" s="2">
        <f t="shared" si="18"/>
        <v>1953</v>
      </c>
      <c r="C391" s="2">
        <f t="shared" si="19"/>
        <v>9</v>
      </c>
      <c r="D391" s="4">
        <v>19632</v>
      </c>
      <c r="E391" s="3">
        <v>251.09751946104603</v>
      </c>
      <c r="F391" s="14">
        <v>1</v>
      </c>
      <c r="G391" s="3">
        <f>'Monthly CFS'!C391 * 86400 * DAY(EOMONTH(D391,0)) / 43560</f>
        <v>3585.2828654276959</v>
      </c>
      <c r="H391" s="3"/>
    </row>
    <row r="392" spans="1:8" x14ac:dyDescent="0.25">
      <c r="A392" s="2">
        <v>385</v>
      </c>
      <c r="B392" s="2">
        <f t="shared" si="18"/>
        <v>1953</v>
      </c>
      <c r="C392" s="2">
        <f t="shared" si="19"/>
        <v>10</v>
      </c>
      <c r="D392" s="4">
        <v>19663</v>
      </c>
      <c r="E392" s="3">
        <v>215.12985528304065</v>
      </c>
      <c r="F392" s="14">
        <v>1</v>
      </c>
      <c r="G392" s="3">
        <f>'Monthly CFS'!C392 * 86400 * DAY(EOMONTH(D392,0)) / 43560</f>
        <v>2441.5116681819263</v>
      </c>
      <c r="H392" s="3"/>
    </row>
    <row r="393" spans="1:8" x14ac:dyDescent="0.25">
      <c r="A393" s="2">
        <v>386</v>
      </c>
      <c r="B393" s="2">
        <f t="shared" ref="B393:B456" si="20">YEAR(D393)</f>
        <v>1953</v>
      </c>
      <c r="C393" s="2">
        <f t="shared" ref="C393:C456" si="21">MONTH(D393)</f>
        <v>11</v>
      </c>
      <c r="D393" s="4">
        <v>19693</v>
      </c>
      <c r="E393" s="3">
        <v>152.24052617673212</v>
      </c>
      <c r="F393" s="14">
        <v>1</v>
      </c>
      <c r="G393" s="3">
        <f>'Monthly CFS'!C393 * 86400 * DAY(EOMONTH(D393,0)) / 43560</f>
        <v>1550.6899042060888</v>
      </c>
      <c r="H393" s="3"/>
    </row>
    <row r="394" spans="1:8" x14ac:dyDescent="0.25">
      <c r="A394" s="2">
        <v>387</v>
      </c>
      <c r="B394" s="2">
        <f t="shared" si="20"/>
        <v>1953</v>
      </c>
      <c r="C394" s="2">
        <f t="shared" si="21"/>
        <v>12</v>
      </c>
      <c r="D394" s="4">
        <v>19724</v>
      </c>
      <c r="E394" s="3">
        <v>138.92959785864781</v>
      </c>
      <c r="F394" s="14">
        <v>1</v>
      </c>
      <c r="G394" s="3">
        <f>'Monthly CFS'!C394 * 86400 * DAY(EOMONTH(D394,0)) / 43560</f>
        <v>1275.7448662618178</v>
      </c>
      <c r="H394" s="3"/>
    </row>
    <row r="395" spans="1:8" x14ac:dyDescent="0.25">
      <c r="A395" s="2">
        <v>388</v>
      </c>
      <c r="B395" s="2">
        <f t="shared" si="20"/>
        <v>1954</v>
      </c>
      <c r="C395" s="2">
        <f t="shared" si="21"/>
        <v>1</v>
      </c>
      <c r="D395" s="4">
        <v>19755</v>
      </c>
      <c r="E395" s="3">
        <v>110.24576070621373</v>
      </c>
      <c r="F395" s="14">
        <v>1</v>
      </c>
      <c r="G395" s="3">
        <f>'Monthly CFS'!C395 * 86400 * DAY(EOMONTH(D395,0)) / 43560</f>
        <v>188.44018654851169</v>
      </c>
      <c r="H395" s="3"/>
    </row>
    <row r="396" spans="1:8" x14ac:dyDescent="0.25">
      <c r="A396" s="2">
        <v>389</v>
      </c>
      <c r="B396" s="2">
        <f t="shared" si="20"/>
        <v>1954</v>
      </c>
      <c r="C396" s="2">
        <f t="shared" si="21"/>
        <v>2</v>
      </c>
      <c r="D396" s="4">
        <v>19783</v>
      </c>
      <c r="E396" s="3">
        <v>102.91438209013761</v>
      </c>
      <c r="F396" s="14">
        <v>1</v>
      </c>
      <c r="G396" s="3">
        <f>'Monthly CFS'!C396 * 86400 * DAY(EOMONTH(D396,0)) / 43560</f>
        <v>608.07017923828437</v>
      </c>
      <c r="H396" s="3"/>
    </row>
    <row r="397" spans="1:8" x14ac:dyDescent="0.25">
      <c r="A397" s="2">
        <v>390</v>
      </c>
      <c r="B397" s="2">
        <f t="shared" si="20"/>
        <v>1954</v>
      </c>
      <c r="C397" s="2">
        <f t="shared" si="21"/>
        <v>3</v>
      </c>
      <c r="D397" s="4">
        <v>19814</v>
      </c>
      <c r="E397" s="3">
        <v>96.914806888136582</v>
      </c>
      <c r="F397" s="14">
        <v>0.9760280808226609</v>
      </c>
      <c r="G397" s="3">
        <f>'Monthly CFS'!C397 * 86400 * DAY(EOMONTH(D397,0)) / 43560</f>
        <v>862.26529946117398</v>
      </c>
      <c r="H397" s="3"/>
    </row>
    <row r="398" spans="1:8" x14ac:dyDescent="0.25">
      <c r="A398" s="2">
        <v>391</v>
      </c>
      <c r="B398" s="2">
        <f t="shared" si="20"/>
        <v>1954</v>
      </c>
      <c r="C398" s="2">
        <f t="shared" si="21"/>
        <v>4</v>
      </c>
      <c r="D398" s="4">
        <v>19844</v>
      </c>
      <c r="E398" s="3">
        <v>140.91721845376131</v>
      </c>
      <c r="F398" s="14">
        <v>1</v>
      </c>
      <c r="G398" s="3">
        <f>'Monthly CFS'!C398 * 86400 * DAY(EOMONTH(D398,0)) / 43560</f>
        <v>1467.0898949684408</v>
      </c>
      <c r="H398" s="3"/>
    </row>
    <row r="399" spans="1:8" x14ac:dyDescent="0.25">
      <c r="A399" s="2">
        <v>392</v>
      </c>
      <c r="B399" s="2">
        <f t="shared" si="20"/>
        <v>1954</v>
      </c>
      <c r="C399" s="2">
        <f t="shared" si="21"/>
        <v>5</v>
      </c>
      <c r="D399" s="4">
        <v>19875</v>
      </c>
      <c r="E399" s="3">
        <v>172.19561393611599</v>
      </c>
      <c r="F399" s="14">
        <v>1</v>
      </c>
      <c r="G399" s="3">
        <f>'Monthly CFS'!C399 * 86400 * DAY(EOMONTH(D399,0)) / 43560</f>
        <v>2304.039210664791</v>
      </c>
      <c r="H399" s="3"/>
    </row>
    <row r="400" spans="1:8" x14ac:dyDescent="0.25">
      <c r="A400" s="2">
        <v>393</v>
      </c>
      <c r="B400" s="2">
        <f t="shared" si="20"/>
        <v>1954</v>
      </c>
      <c r="C400" s="2">
        <f t="shared" si="21"/>
        <v>6</v>
      </c>
      <c r="D400" s="4">
        <v>19905</v>
      </c>
      <c r="E400" s="3">
        <v>249.30857479426106</v>
      </c>
      <c r="F400" s="14">
        <v>1</v>
      </c>
      <c r="G400" s="3">
        <f>'Monthly CFS'!C400 * 86400 * DAY(EOMONTH(D400,0)) / 43560</f>
        <v>3029.8940420080658</v>
      </c>
      <c r="H400" s="3"/>
    </row>
    <row r="401" spans="1:8" x14ac:dyDescent="0.25">
      <c r="A401" s="2">
        <v>394</v>
      </c>
      <c r="B401" s="2">
        <f t="shared" si="20"/>
        <v>1954</v>
      </c>
      <c r="C401" s="2">
        <f t="shared" si="21"/>
        <v>7</v>
      </c>
      <c r="D401" s="4">
        <v>19936</v>
      </c>
      <c r="E401" s="3">
        <v>274.69602802891444</v>
      </c>
      <c r="F401" s="14">
        <v>0.99999999999999989</v>
      </c>
      <c r="G401" s="3">
        <f>'Monthly CFS'!C401 * 86400 * DAY(EOMONTH(D401,0)) / 43560</f>
        <v>3887.7224194573919</v>
      </c>
      <c r="H401" s="3"/>
    </row>
    <row r="402" spans="1:8" x14ac:dyDescent="0.25">
      <c r="A402" s="2">
        <v>395</v>
      </c>
      <c r="B402" s="2">
        <f t="shared" si="20"/>
        <v>1954</v>
      </c>
      <c r="C402" s="2">
        <f t="shared" si="21"/>
        <v>8</v>
      </c>
      <c r="D402" s="4">
        <v>19967</v>
      </c>
      <c r="E402" s="3">
        <v>284.25012948115898</v>
      </c>
      <c r="F402" s="14">
        <v>0.99999999999999989</v>
      </c>
      <c r="G402" s="3">
        <f>'Monthly CFS'!C402 * 86400 * DAY(EOMONTH(D402,0)) / 43560</f>
        <v>4250.6499170690313</v>
      </c>
      <c r="H402" s="3"/>
    </row>
    <row r="403" spans="1:8" x14ac:dyDescent="0.25">
      <c r="A403" s="2">
        <v>396</v>
      </c>
      <c r="B403" s="2">
        <f t="shared" si="20"/>
        <v>1954</v>
      </c>
      <c r="C403" s="2">
        <f t="shared" si="21"/>
        <v>9</v>
      </c>
      <c r="D403" s="4">
        <v>19997</v>
      </c>
      <c r="E403" s="3">
        <v>251.09751946104601</v>
      </c>
      <c r="F403" s="14">
        <v>1</v>
      </c>
      <c r="G403" s="3">
        <f>'Monthly CFS'!C403 * 86400 * DAY(EOMONTH(D403,0)) / 43560</f>
        <v>3585.282865427695</v>
      </c>
      <c r="H403" s="3"/>
    </row>
    <row r="404" spans="1:8" x14ac:dyDescent="0.25">
      <c r="A404" s="2">
        <v>397</v>
      </c>
      <c r="B404" s="2">
        <f t="shared" si="20"/>
        <v>1954</v>
      </c>
      <c r="C404" s="2">
        <f t="shared" si="21"/>
        <v>10</v>
      </c>
      <c r="D404" s="4">
        <v>20028</v>
      </c>
      <c r="E404" s="3">
        <v>215.12985528304068</v>
      </c>
      <c r="F404" s="14">
        <v>1</v>
      </c>
      <c r="G404" s="3">
        <f>'Monthly CFS'!C404 * 86400 * DAY(EOMONTH(D404,0)) / 43560</f>
        <v>2441.5116681819272</v>
      </c>
      <c r="H404" s="3"/>
    </row>
    <row r="405" spans="1:8" x14ac:dyDescent="0.25">
      <c r="A405" s="2">
        <v>398</v>
      </c>
      <c r="B405" s="2">
        <f t="shared" si="20"/>
        <v>1954</v>
      </c>
      <c r="C405" s="2">
        <f t="shared" si="21"/>
        <v>11</v>
      </c>
      <c r="D405" s="4">
        <v>20058</v>
      </c>
      <c r="E405" s="3">
        <v>152.24052617673215</v>
      </c>
      <c r="F405" s="14">
        <v>1.0000000000000002</v>
      </c>
      <c r="G405" s="3">
        <f>'Monthly CFS'!C405 * 86400 * DAY(EOMONTH(D405,0)) / 43560</f>
        <v>1550.6899042060877</v>
      </c>
      <c r="H405" s="3"/>
    </row>
    <row r="406" spans="1:8" x14ac:dyDescent="0.25">
      <c r="A406" s="2">
        <v>399</v>
      </c>
      <c r="B406" s="2">
        <f t="shared" si="20"/>
        <v>1954</v>
      </c>
      <c r="C406" s="2">
        <f t="shared" si="21"/>
        <v>12</v>
      </c>
      <c r="D406" s="4">
        <v>20089</v>
      </c>
      <c r="E406" s="3">
        <v>138.92959785864781</v>
      </c>
      <c r="F406" s="14">
        <v>1</v>
      </c>
      <c r="G406" s="3">
        <f>'Monthly CFS'!C406 * 86400 * DAY(EOMONTH(D406,0)) / 43560</f>
        <v>1275.7448662618176</v>
      </c>
      <c r="H406" s="3"/>
    </row>
    <row r="407" spans="1:8" x14ac:dyDescent="0.25">
      <c r="A407" s="2">
        <v>400</v>
      </c>
      <c r="B407" s="2">
        <f t="shared" si="20"/>
        <v>1955</v>
      </c>
      <c r="C407" s="2">
        <f t="shared" si="21"/>
        <v>1</v>
      </c>
      <c r="D407" s="4">
        <v>20120</v>
      </c>
      <c r="E407" s="3">
        <v>110.24576070621373</v>
      </c>
      <c r="F407" s="14">
        <v>1</v>
      </c>
      <c r="G407" s="3">
        <f>'Monthly CFS'!C407 * 86400 * DAY(EOMONTH(D407,0)) / 43560</f>
        <v>133.67826149478657</v>
      </c>
      <c r="H407" s="3"/>
    </row>
    <row r="408" spans="1:8" x14ac:dyDescent="0.25">
      <c r="A408" s="2">
        <v>401</v>
      </c>
      <c r="B408" s="2">
        <f t="shared" si="20"/>
        <v>1955</v>
      </c>
      <c r="C408" s="2">
        <f t="shared" si="21"/>
        <v>2</v>
      </c>
      <c r="D408" s="4">
        <v>20148</v>
      </c>
      <c r="E408" s="3">
        <v>102.91438209013759</v>
      </c>
      <c r="F408" s="14">
        <v>1</v>
      </c>
      <c r="G408" s="3">
        <f>'Monthly CFS'!C408 * 86400 * DAY(EOMONTH(D408,0)) / 43560</f>
        <v>119.16117142312102</v>
      </c>
      <c r="H408" s="3"/>
    </row>
    <row r="409" spans="1:8" x14ac:dyDescent="0.25">
      <c r="A409" s="2">
        <v>402</v>
      </c>
      <c r="B409" s="2">
        <f t="shared" si="20"/>
        <v>1955</v>
      </c>
      <c r="C409" s="2">
        <f t="shared" si="21"/>
        <v>3</v>
      </c>
      <c r="D409" s="4">
        <v>20179</v>
      </c>
      <c r="E409" s="3">
        <v>123.59371307269309</v>
      </c>
      <c r="F409" s="14">
        <v>0.54447971976228315</v>
      </c>
      <c r="G409" s="3">
        <f>'Monthly CFS'!C409 * 86400 * DAY(EOMONTH(D409,0)) / 43560</f>
        <v>227.51100046451558</v>
      </c>
      <c r="H409" s="3"/>
    </row>
    <row r="410" spans="1:8" x14ac:dyDescent="0.25">
      <c r="A410" s="2">
        <v>403</v>
      </c>
      <c r="B410" s="2">
        <f t="shared" si="20"/>
        <v>1955</v>
      </c>
      <c r="C410" s="2">
        <f t="shared" si="21"/>
        <v>4</v>
      </c>
      <c r="D410" s="4">
        <v>20209</v>
      </c>
      <c r="E410" s="3">
        <v>181.23525201198251</v>
      </c>
      <c r="F410" s="14">
        <v>0.62679153051297254</v>
      </c>
      <c r="G410" s="3">
        <f>'Monthly CFS'!C410 * 86400 * DAY(EOMONTH(D410,0)) / 43560</f>
        <v>309.75906445522861</v>
      </c>
      <c r="H410" s="3"/>
    </row>
    <row r="411" spans="1:8" x14ac:dyDescent="0.25">
      <c r="A411" s="2">
        <v>404</v>
      </c>
      <c r="B411" s="2">
        <f t="shared" si="20"/>
        <v>1955</v>
      </c>
      <c r="C411" s="2">
        <f t="shared" si="21"/>
        <v>5</v>
      </c>
      <c r="D411" s="4">
        <v>20240</v>
      </c>
      <c r="E411" s="3">
        <v>220.07156033713082</v>
      </c>
      <c r="F411" s="14">
        <v>0.75</v>
      </c>
      <c r="G411" s="3">
        <f>'Monthly CFS'!C411 * 86400 * DAY(EOMONTH(D411,0)) / 43560</f>
        <v>491.75361594891189</v>
      </c>
      <c r="H411" s="3"/>
    </row>
    <row r="412" spans="1:8" x14ac:dyDescent="0.25">
      <c r="A412" s="2">
        <v>405</v>
      </c>
      <c r="B412" s="2">
        <f t="shared" si="20"/>
        <v>1955</v>
      </c>
      <c r="C412" s="2">
        <f t="shared" si="21"/>
        <v>6</v>
      </c>
      <c r="D412" s="4">
        <v>20270</v>
      </c>
      <c r="E412" s="3">
        <v>257.70906701703865</v>
      </c>
      <c r="F412" s="14">
        <v>0.75</v>
      </c>
      <c r="G412" s="3">
        <f>'Monthly CFS'!C412 * 86400 * DAY(EOMONTH(D412,0)) / 43560</f>
        <v>646.67360876624514</v>
      </c>
      <c r="H412" s="3"/>
    </row>
    <row r="413" spans="1:8" x14ac:dyDescent="0.25">
      <c r="A413" s="2">
        <v>406</v>
      </c>
      <c r="B413" s="2">
        <f t="shared" si="20"/>
        <v>1955</v>
      </c>
      <c r="C413" s="2">
        <f t="shared" si="21"/>
        <v>7</v>
      </c>
      <c r="D413" s="4">
        <v>20301</v>
      </c>
      <c r="E413" s="3">
        <v>288.24290179325095</v>
      </c>
      <c r="F413" s="14">
        <v>0.75</v>
      </c>
      <c r="G413" s="3">
        <f>'Monthly CFS'!C413 * 86400 * DAY(EOMONTH(D413,0)) / 43560</f>
        <v>829.76086028597047</v>
      </c>
      <c r="H413" s="3"/>
    </row>
    <row r="414" spans="1:8" x14ac:dyDescent="0.25">
      <c r="A414" s="2">
        <v>407</v>
      </c>
      <c r="B414" s="2">
        <f t="shared" si="20"/>
        <v>1955</v>
      </c>
      <c r="C414" s="2">
        <f t="shared" si="21"/>
        <v>8</v>
      </c>
      <c r="D414" s="4">
        <v>20332</v>
      </c>
      <c r="E414" s="3">
        <v>279.99483921206041</v>
      </c>
      <c r="F414" s="14">
        <v>0.74999999999999989</v>
      </c>
      <c r="G414" s="3">
        <f>'Monthly CFS'!C414 * 86400 * DAY(EOMONTH(D414,0)) / 43560</f>
        <v>907.22087418318108</v>
      </c>
      <c r="H414" s="3"/>
    </row>
    <row r="415" spans="1:8" x14ac:dyDescent="0.25">
      <c r="A415" s="2">
        <v>408</v>
      </c>
      <c r="B415" s="2">
        <f t="shared" si="20"/>
        <v>1955</v>
      </c>
      <c r="C415" s="2">
        <f t="shared" si="21"/>
        <v>9</v>
      </c>
      <c r="D415" s="4">
        <v>20362</v>
      </c>
      <c r="E415" s="3">
        <v>253.56663201676474</v>
      </c>
      <c r="F415" s="14">
        <v>0.75</v>
      </c>
      <c r="G415" s="3">
        <f>'Monthly CFS'!C415 * 86400 * DAY(EOMONTH(D415,0)) / 43560</f>
        <v>765.21085453447631</v>
      </c>
      <c r="H415" s="3"/>
    </row>
    <row r="416" spans="1:8" x14ac:dyDescent="0.25">
      <c r="A416" s="2">
        <v>409</v>
      </c>
      <c r="B416" s="2">
        <f t="shared" si="20"/>
        <v>1955</v>
      </c>
      <c r="C416" s="2">
        <f t="shared" si="21"/>
        <v>10</v>
      </c>
      <c r="D416" s="4">
        <v>20393</v>
      </c>
      <c r="E416" s="3">
        <v>216.07475469170529</v>
      </c>
      <c r="F416" s="14">
        <v>0.75</v>
      </c>
      <c r="G416" s="3">
        <f>'Monthly CFS'!C416 * 86400 * DAY(EOMONTH(D416,0)) / 43560</f>
        <v>521.09451334532787</v>
      </c>
      <c r="H416" s="3"/>
    </row>
    <row r="417" spans="1:8" x14ac:dyDescent="0.25">
      <c r="A417" s="2">
        <v>410</v>
      </c>
      <c r="B417" s="2">
        <f t="shared" si="20"/>
        <v>1955</v>
      </c>
      <c r="C417" s="2">
        <f t="shared" si="21"/>
        <v>11</v>
      </c>
      <c r="D417" s="4">
        <v>20423</v>
      </c>
      <c r="E417" s="3">
        <v>174.85540601156069</v>
      </c>
      <c r="F417" s="14">
        <v>0.75</v>
      </c>
      <c r="G417" s="3">
        <f>'Monthly CFS'!C417 * 86400 * DAY(EOMONTH(D417,0)) / 43560</f>
        <v>330.96544715000442</v>
      </c>
      <c r="H417" s="3"/>
    </row>
    <row r="418" spans="1:8" x14ac:dyDescent="0.25">
      <c r="A418" s="2">
        <v>411</v>
      </c>
      <c r="B418" s="2">
        <f t="shared" si="20"/>
        <v>1955</v>
      </c>
      <c r="C418" s="2">
        <f t="shared" si="21"/>
        <v>12</v>
      </c>
      <c r="D418" s="4">
        <v>20454</v>
      </c>
      <c r="E418" s="3">
        <v>153.1868782359345</v>
      </c>
      <c r="F418" s="14">
        <v>0.75</v>
      </c>
      <c r="G418" s="3">
        <f>'Monthly CFS'!C418 * 86400 * DAY(EOMONTH(D418,0)) / 43560</f>
        <v>272.28362612435666</v>
      </c>
      <c r="H418" s="3"/>
    </row>
    <row r="419" spans="1:8" x14ac:dyDescent="0.25">
      <c r="A419" s="2">
        <v>412</v>
      </c>
      <c r="B419" s="2">
        <f t="shared" si="20"/>
        <v>1956</v>
      </c>
      <c r="C419" s="2">
        <f t="shared" si="21"/>
        <v>1</v>
      </c>
      <c r="D419" s="4">
        <v>20485</v>
      </c>
      <c r="E419" s="3">
        <v>148.33069936464571</v>
      </c>
      <c r="F419" s="14">
        <v>0.75</v>
      </c>
      <c r="G419" s="3">
        <f>'Monthly CFS'!C419 * 86400 * DAY(EOMONTH(D419,0)) / 43560</f>
        <v>1215.2569226798778</v>
      </c>
      <c r="H419" s="3"/>
    </row>
    <row r="420" spans="1:8" x14ac:dyDescent="0.25">
      <c r="A420" s="2">
        <v>413</v>
      </c>
      <c r="B420" s="2">
        <f t="shared" si="20"/>
        <v>1956</v>
      </c>
      <c r="C420" s="2">
        <f t="shared" si="21"/>
        <v>2</v>
      </c>
      <c r="D420" s="4">
        <v>20514</v>
      </c>
      <c r="E420" s="3">
        <v>140.67770845757687</v>
      </c>
      <c r="F420" s="14">
        <v>0.75</v>
      </c>
      <c r="G420" s="3">
        <f>'Monthly CFS'!C420 * 86400 * DAY(EOMONTH(D420,0)) / 43560</f>
        <v>1083.2833765738278</v>
      </c>
      <c r="H420" s="3"/>
    </row>
    <row r="421" spans="1:8" x14ac:dyDescent="0.25">
      <c r="A421" s="2">
        <v>414</v>
      </c>
      <c r="B421" s="2">
        <f t="shared" si="20"/>
        <v>1956</v>
      </c>
      <c r="C421" s="2">
        <f t="shared" si="21"/>
        <v>3</v>
      </c>
      <c r="D421" s="4">
        <v>20545</v>
      </c>
      <c r="E421" s="3">
        <v>95.988743796674314</v>
      </c>
      <c r="F421" s="14">
        <v>1</v>
      </c>
      <c r="G421" s="3">
        <f>'Monthly CFS'!C421 * 86400 * DAY(EOMONTH(D421,0)) / 43560</f>
        <v>1314.2371232294149</v>
      </c>
      <c r="H421" s="3"/>
    </row>
    <row r="422" spans="1:8" x14ac:dyDescent="0.25">
      <c r="A422" s="2">
        <v>415</v>
      </c>
      <c r="B422" s="2">
        <f t="shared" si="20"/>
        <v>1956</v>
      </c>
      <c r="C422" s="2">
        <f t="shared" si="21"/>
        <v>4</v>
      </c>
      <c r="D422" s="4">
        <v>20575</v>
      </c>
      <c r="E422" s="3">
        <v>127.84175342511901</v>
      </c>
      <c r="F422" s="14">
        <v>1</v>
      </c>
      <c r="G422" s="3">
        <f>'Monthly CFS'!C422 * 86400 * DAY(EOMONTH(D422,0)) / 43560</f>
        <v>1561.6876860582588</v>
      </c>
      <c r="H422" s="3"/>
    </row>
    <row r="423" spans="1:8" x14ac:dyDescent="0.25">
      <c r="A423" s="2">
        <v>416</v>
      </c>
      <c r="B423" s="2">
        <f t="shared" si="20"/>
        <v>1956</v>
      </c>
      <c r="C423" s="2">
        <f t="shared" si="21"/>
        <v>5</v>
      </c>
      <c r="D423" s="4">
        <v>20606</v>
      </c>
      <c r="E423" s="3">
        <v>173.69722718890344</v>
      </c>
      <c r="F423" s="14">
        <v>1</v>
      </c>
      <c r="G423" s="3">
        <f>'Monthly CFS'!C423 * 86400 * DAY(EOMONTH(D423,0)) / 43560</f>
        <v>2304.0392106647905</v>
      </c>
      <c r="H423" s="3"/>
    </row>
    <row r="424" spans="1:8" x14ac:dyDescent="0.25">
      <c r="A424" s="2">
        <v>417</v>
      </c>
      <c r="B424" s="2">
        <f t="shared" si="20"/>
        <v>1956</v>
      </c>
      <c r="C424" s="2">
        <f t="shared" si="21"/>
        <v>6</v>
      </c>
      <c r="D424" s="4">
        <v>20636</v>
      </c>
      <c r="E424" s="3">
        <v>230.63820084858213</v>
      </c>
      <c r="F424" s="14">
        <v>1</v>
      </c>
      <c r="G424" s="3">
        <f>'Monthly CFS'!C424 * 86400 * DAY(EOMONTH(D424,0)) / 43560</f>
        <v>3029.8940420080662</v>
      </c>
      <c r="H424" s="3"/>
    </row>
    <row r="425" spans="1:8" x14ac:dyDescent="0.25">
      <c r="A425" s="2">
        <v>418</v>
      </c>
      <c r="B425" s="2">
        <f t="shared" si="20"/>
        <v>1956</v>
      </c>
      <c r="C425" s="2">
        <f t="shared" si="21"/>
        <v>7</v>
      </c>
      <c r="D425" s="4">
        <v>20667</v>
      </c>
      <c r="E425" s="3">
        <v>271.71188667119026</v>
      </c>
      <c r="F425" s="14">
        <v>1</v>
      </c>
      <c r="G425" s="3">
        <f>'Monthly CFS'!C425 * 86400 * DAY(EOMONTH(D425,0)) / 43560</f>
        <v>3887.7224194573919</v>
      </c>
      <c r="H425" s="3"/>
    </row>
    <row r="426" spans="1:8" x14ac:dyDescent="0.25">
      <c r="A426" s="2">
        <v>419</v>
      </c>
      <c r="B426" s="2">
        <f t="shared" si="20"/>
        <v>1956</v>
      </c>
      <c r="C426" s="2">
        <f t="shared" si="21"/>
        <v>8</v>
      </c>
      <c r="D426" s="4">
        <v>20698</v>
      </c>
      <c r="E426" s="3">
        <v>282.21761897027187</v>
      </c>
      <c r="F426" s="14">
        <v>1</v>
      </c>
      <c r="G426" s="3">
        <f>'Monthly CFS'!C426 * 86400 * DAY(EOMONTH(D426,0)) / 43560</f>
        <v>4250.6499170690286</v>
      </c>
      <c r="H426" s="3"/>
    </row>
    <row r="427" spans="1:8" x14ac:dyDescent="0.25">
      <c r="A427" s="2">
        <v>420</v>
      </c>
      <c r="B427" s="2">
        <f t="shared" si="20"/>
        <v>1956</v>
      </c>
      <c r="C427" s="2">
        <f t="shared" si="21"/>
        <v>9</v>
      </c>
      <c r="D427" s="4">
        <v>20728</v>
      </c>
      <c r="E427" s="3">
        <v>245.18670139121073</v>
      </c>
      <c r="F427" s="14">
        <v>1</v>
      </c>
      <c r="G427" s="3">
        <f>'Monthly CFS'!C427 * 86400 * DAY(EOMONTH(D427,0)) / 43560</f>
        <v>3585.282865427695</v>
      </c>
      <c r="H427" s="3"/>
    </row>
    <row r="428" spans="1:8" x14ac:dyDescent="0.25">
      <c r="A428" s="2">
        <v>421</v>
      </c>
      <c r="B428" s="2">
        <f t="shared" si="20"/>
        <v>1956</v>
      </c>
      <c r="C428" s="2">
        <f t="shared" si="21"/>
        <v>10</v>
      </c>
      <c r="D428" s="4">
        <v>20759</v>
      </c>
      <c r="E428" s="3">
        <v>208.40764336055318</v>
      </c>
      <c r="F428" s="14">
        <v>1</v>
      </c>
      <c r="G428" s="3">
        <f>'Monthly CFS'!C428 * 86400 * DAY(EOMONTH(D428,0)) / 43560</f>
        <v>2441.5116681819272</v>
      </c>
      <c r="H428" s="3"/>
    </row>
    <row r="429" spans="1:8" x14ac:dyDescent="0.25">
      <c r="A429" s="2">
        <v>422</v>
      </c>
      <c r="B429" s="2">
        <f t="shared" si="20"/>
        <v>1956</v>
      </c>
      <c r="C429" s="2">
        <f t="shared" si="21"/>
        <v>11</v>
      </c>
      <c r="D429" s="4">
        <v>20789</v>
      </c>
      <c r="E429" s="3">
        <v>139.90811542591678</v>
      </c>
      <c r="F429" s="14">
        <v>1</v>
      </c>
      <c r="G429" s="3">
        <f>'Monthly CFS'!C429 * 86400 * DAY(EOMONTH(D429,0)) / 43560</f>
        <v>1550.6899042060884</v>
      </c>
      <c r="H429" s="3"/>
    </row>
    <row r="430" spans="1:8" x14ac:dyDescent="0.25">
      <c r="A430" s="2">
        <v>423</v>
      </c>
      <c r="B430" s="2">
        <f t="shared" si="20"/>
        <v>1956</v>
      </c>
      <c r="C430" s="2">
        <f t="shared" si="21"/>
        <v>12</v>
      </c>
      <c r="D430" s="4">
        <v>20820</v>
      </c>
      <c r="E430" s="3">
        <v>100.09781597435999</v>
      </c>
      <c r="F430" s="14">
        <v>1</v>
      </c>
      <c r="G430" s="3">
        <f>'Monthly CFS'!C430 * 86400 * DAY(EOMONTH(D430,0)) / 43560</f>
        <v>1275.7448662618176</v>
      </c>
      <c r="H430" s="3"/>
    </row>
    <row r="431" spans="1:8" x14ac:dyDescent="0.25">
      <c r="A431" s="2">
        <v>424</v>
      </c>
      <c r="B431" s="2">
        <f t="shared" si="20"/>
        <v>1957</v>
      </c>
      <c r="C431" s="2">
        <f t="shared" si="21"/>
        <v>1</v>
      </c>
      <c r="D431" s="4">
        <v>20851</v>
      </c>
      <c r="E431" s="3">
        <v>94.480039683665964</v>
      </c>
      <c r="F431" s="14">
        <v>1</v>
      </c>
      <c r="G431" s="3">
        <f>'Monthly CFS'!C431 * 86400 * DAY(EOMONTH(D431,0)) / 43560</f>
        <v>259.33706145568033</v>
      </c>
      <c r="H431" s="3"/>
    </row>
    <row r="432" spans="1:8" x14ac:dyDescent="0.25">
      <c r="A432" s="2">
        <v>425</v>
      </c>
      <c r="B432" s="2">
        <f t="shared" si="20"/>
        <v>1957</v>
      </c>
      <c r="C432" s="2">
        <f t="shared" si="21"/>
        <v>2</v>
      </c>
      <c r="D432" s="4">
        <v>20879</v>
      </c>
      <c r="E432" s="3">
        <v>108.63618759646829</v>
      </c>
      <c r="F432" s="14">
        <v>0.85958004073163063</v>
      </c>
      <c r="G432" s="3">
        <f>'Monthly CFS'!C432 * 86400 * DAY(EOMONTH(D432,0)) / 43560</f>
        <v>311.08760791984162</v>
      </c>
      <c r="H432" s="3"/>
    </row>
    <row r="433" spans="1:8" x14ac:dyDescent="0.25">
      <c r="A433" s="2">
        <v>426</v>
      </c>
      <c r="B433" s="2">
        <f t="shared" si="20"/>
        <v>1957</v>
      </c>
      <c r="C433" s="2">
        <f t="shared" si="21"/>
        <v>3</v>
      </c>
      <c r="D433" s="4">
        <v>20910</v>
      </c>
      <c r="E433" s="3">
        <v>106.88716825976543</v>
      </c>
      <c r="F433" s="14">
        <v>0.75000000000000011</v>
      </c>
      <c r="G433" s="3">
        <f>'Monthly CFS'!C433 * 86400 * DAY(EOMONTH(D433,0)) / 43560</f>
        <v>780.78234546217823</v>
      </c>
      <c r="H433" s="3"/>
    </row>
    <row r="434" spans="1:8" x14ac:dyDescent="0.25">
      <c r="A434" s="2">
        <v>427</v>
      </c>
      <c r="B434" s="2">
        <f t="shared" si="20"/>
        <v>1957</v>
      </c>
      <c r="C434" s="2">
        <f t="shared" si="21"/>
        <v>4</v>
      </c>
      <c r="D434" s="4">
        <v>20940</v>
      </c>
      <c r="E434" s="3">
        <v>155.35965745471617</v>
      </c>
      <c r="F434" s="14">
        <v>1</v>
      </c>
      <c r="G434" s="3">
        <f>'Monthly CFS'!C434 * 86400 * DAY(EOMONTH(D434,0)) / 43560</f>
        <v>1254.1511248528982</v>
      </c>
      <c r="H434" s="3"/>
    </row>
    <row r="435" spans="1:8" x14ac:dyDescent="0.25">
      <c r="A435" s="2">
        <v>428</v>
      </c>
      <c r="B435" s="2">
        <f t="shared" si="20"/>
        <v>1957</v>
      </c>
      <c r="C435" s="2">
        <f t="shared" si="21"/>
        <v>5</v>
      </c>
      <c r="D435" s="4">
        <v>20971</v>
      </c>
      <c r="E435" s="3">
        <v>189.91672423298658</v>
      </c>
      <c r="F435" s="14">
        <v>1</v>
      </c>
      <c r="G435" s="3">
        <f>'Monthly CFS'!C435 * 86400 * DAY(EOMONTH(D435,0)) / 43560</f>
        <v>1850.3144985755066</v>
      </c>
      <c r="H435" s="3"/>
    </row>
    <row r="436" spans="1:8" x14ac:dyDescent="0.25">
      <c r="A436" s="2">
        <v>429</v>
      </c>
      <c r="B436" s="2">
        <f t="shared" si="20"/>
        <v>1957</v>
      </c>
      <c r="C436" s="2">
        <f t="shared" si="21"/>
        <v>6</v>
      </c>
      <c r="D436" s="4">
        <v>21001</v>
      </c>
      <c r="E436" s="3">
        <v>249.94227532208069</v>
      </c>
      <c r="F436" s="14">
        <v>1</v>
      </c>
      <c r="G436" s="3">
        <f>'Monthly CFS'!C436 * 86400 * DAY(EOMONTH(D436,0)) / 43560</f>
        <v>2433.2298031757387</v>
      </c>
      <c r="H436" s="3"/>
    </row>
    <row r="437" spans="1:8" x14ac:dyDescent="0.25">
      <c r="A437" s="2">
        <v>430</v>
      </c>
      <c r="B437" s="2">
        <f t="shared" si="20"/>
        <v>1957</v>
      </c>
      <c r="C437" s="2">
        <f t="shared" si="21"/>
        <v>7</v>
      </c>
      <c r="D437" s="4">
        <v>21032</v>
      </c>
      <c r="E437" s="3">
        <v>278.83348316359661</v>
      </c>
      <c r="F437" s="14">
        <v>1</v>
      </c>
      <c r="G437" s="3">
        <f>'Monthly CFS'!C437 * 86400 * DAY(EOMONTH(D437,0)) / 43560</f>
        <v>3122.1296607549921</v>
      </c>
      <c r="H437" s="3"/>
    </row>
    <row r="438" spans="1:8" x14ac:dyDescent="0.25">
      <c r="A438" s="2">
        <v>431</v>
      </c>
      <c r="B438" s="2">
        <f t="shared" si="20"/>
        <v>1957</v>
      </c>
      <c r="C438" s="2">
        <f t="shared" si="21"/>
        <v>8</v>
      </c>
      <c r="D438" s="4">
        <v>21063</v>
      </c>
      <c r="E438" s="3">
        <v>281.64601106700832</v>
      </c>
      <c r="F438" s="14">
        <v>1</v>
      </c>
      <c r="G438" s="3">
        <f>'Monthly CFS'!C438 * 86400 * DAY(EOMONTH(D438,0)) / 43560</f>
        <v>3413.5873788590075</v>
      </c>
      <c r="H438" s="3"/>
    </row>
    <row r="439" spans="1:8" x14ac:dyDescent="0.25">
      <c r="A439" s="2">
        <v>432</v>
      </c>
      <c r="B439" s="2">
        <f t="shared" si="20"/>
        <v>1957</v>
      </c>
      <c r="C439" s="2">
        <f t="shared" si="21"/>
        <v>9</v>
      </c>
      <c r="D439" s="4">
        <v>21093</v>
      </c>
      <c r="E439" s="3">
        <v>247.80503551638375</v>
      </c>
      <c r="F439" s="14">
        <v>1</v>
      </c>
      <c r="G439" s="3">
        <f>'Monthly CFS'!C439 * 86400 * DAY(EOMONTH(D439,0)) / 43560</f>
        <v>2879.2482509362781</v>
      </c>
      <c r="H439" s="3"/>
    </row>
    <row r="440" spans="1:8" x14ac:dyDescent="0.25">
      <c r="A440" s="2">
        <v>433</v>
      </c>
      <c r="B440" s="2">
        <f t="shared" si="20"/>
        <v>1957</v>
      </c>
      <c r="C440" s="2">
        <f t="shared" si="21"/>
        <v>10</v>
      </c>
      <c r="D440" s="4">
        <v>21124</v>
      </c>
      <c r="E440" s="3">
        <v>213.68325149262242</v>
      </c>
      <c r="F440" s="14">
        <v>1</v>
      </c>
      <c r="G440" s="3">
        <f>'Monthly CFS'!C440 * 86400 * DAY(EOMONTH(D440,0)) / 43560</f>
        <v>1960.7150855626385</v>
      </c>
      <c r="H440" s="3"/>
    </row>
    <row r="441" spans="1:8" x14ac:dyDescent="0.25">
      <c r="A441" s="2">
        <v>434</v>
      </c>
      <c r="B441" s="2">
        <f t="shared" si="20"/>
        <v>1957</v>
      </c>
      <c r="C441" s="2">
        <f t="shared" si="21"/>
        <v>11</v>
      </c>
      <c r="D441" s="4">
        <v>21154</v>
      </c>
      <c r="E441" s="3">
        <v>158.89264570494973</v>
      </c>
      <c r="F441" s="14">
        <v>1</v>
      </c>
      <c r="G441" s="3">
        <f>'Monthly CFS'!C441 * 86400 * DAY(EOMONTH(D441,0)) / 43560</f>
        <v>1245.3190897386303</v>
      </c>
      <c r="H441" s="3"/>
    </row>
    <row r="442" spans="1:8" x14ac:dyDescent="0.25">
      <c r="A442" s="2">
        <v>435</v>
      </c>
      <c r="B442" s="2">
        <f t="shared" si="20"/>
        <v>1957</v>
      </c>
      <c r="C442" s="2">
        <f t="shared" si="21"/>
        <v>12</v>
      </c>
      <c r="D442" s="4">
        <v>21185</v>
      </c>
      <c r="E442" s="3">
        <v>140.7197017834973</v>
      </c>
      <c r="F442" s="14">
        <v>1</v>
      </c>
      <c r="G442" s="3">
        <f>'Monthly CFS'!C442 * 86400 * DAY(EOMONTH(D442,0)) / 43560</f>
        <v>1024.5178170585134</v>
      </c>
      <c r="H442" s="3"/>
    </row>
    <row r="443" spans="1:8" x14ac:dyDescent="0.25">
      <c r="A443" s="2">
        <v>436</v>
      </c>
      <c r="B443" s="2">
        <f t="shared" si="20"/>
        <v>1958</v>
      </c>
      <c r="C443" s="2">
        <f t="shared" si="21"/>
        <v>1</v>
      </c>
      <c r="D443" s="4">
        <v>21216</v>
      </c>
      <c r="E443" s="3">
        <v>120.71654124454038</v>
      </c>
      <c r="F443" s="14">
        <v>1</v>
      </c>
      <c r="G443" s="3">
        <f>'Monthly CFS'!C443 * 86400 * DAY(EOMONTH(D443,0)) / 43560</f>
        <v>853.8290317824825</v>
      </c>
      <c r="H443" s="3"/>
    </row>
    <row r="444" spans="1:8" x14ac:dyDescent="0.25">
      <c r="A444" s="2">
        <v>437</v>
      </c>
      <c r="B444" s="2">
        <f t="shared" si="20"/>
        <v>1958</v>
      </c>
      <c r="C444" s="2">
        <f t="shared" si="21"/>
        <v>2</v>
      </c>
      <c r="D444" s="4">
        <v>21244</v>
      </c>
      <c r="E444" s="3">
        <v>114.45563578137684</v>
      </c>
      <c r="F444" s="14">
        <v>1</v>
      </c>
      <c r="G444" s="3">
        <f>'Monthly CFS'!C444 * 86400 * DAY(EOMONTH(D444,0)) / 43560</f>
        <v>0</v>
      </c>
      <c r="H444" s="3"/>
    </row>
    <row r="445" spans="1:8" x14ac:dyDescent="0.25">
      <c r="A445" s="2">
        <v>438</v>
      </c>
      <c r="B445" s="2">
        <f t="shared" si="20"/>
        <v>1958</v>
      </c>
      <c r="C445" s="2">
        <f t="shared" si="21"/>
        <v>3</v>
      </c>
      <c r="D445" s="4">
        <v>21275</v>
      </c>
      <c r="E445" s="3">
        <v>95.988743796676459</v>
      </c>
      <c r="F445" s="14">
        <v>1</v>
      </c>
      <c r="G445" s="3">
        <f>'Monthly CFS'!C445 * 86400 * DAY(EOMONTH(D445,0)) / 43560</f>
        <v>1314.2371232294154</v>
      </c>
      <c r="H445" s="3"/>
    </row>
    <row r="446" spans="1:8" x14ac:dyDescent="0.25">
      <c r="A446" s="2">
        <v>439</v>
      </c>
      <c r="B446" s="2">
        <f t="shared" si="20"/>
        <v>1958</v>
      </c>
      <c r="C446" s="2">
        <f t="shared" si="21"/>
        <v>4</v>
      </c>
      <c r="D446" s="4">
        <v>21305</v>
      </c>
      <c r="E446" s="3">
        <v>127.84175342511904</v>
      </c>
      <c r="F446" s="14">
        <v>1</v>
      </c>
      <c r="G446" s="3">
        <f>'Monthly CFS'!C446 * 86400 * DAY(EOMONTH(D446,0)) / 43560</f>
        <v>1561.6876860582588</v>
      </c>
      <c r="H446" s="3"/>
    </row>
    <row r="447" spans="1:8" x14ac:dyDescent="0.25">
      <c r="A447" s="2">
        <v>440</v>
      </c>
      <c r="B447" s="2">
        <f t="shared" si="20"/>
        <v>1958</v>
      </c>
      <c r="C447" s="2">
        <f t="shared" si="21"/>
        <v>5</v>
      </c>
      <c r="D447" s="4">
        <v>21336</v>
      </c>
      <c r="E447" s="3">
        <v>173.69722718890347</v>
      </c>
      <c r="F447" s="14">
        <v>1</v>
      </c>
      <c r="G447" s="3">
        <f>'Monthly CFS'!C447 * 86400 * DAY(EOMONTH(D447,0)) / 43560</f>
        <v>2304.0392106647905</v>
      </c>
      <c r="H447" s="3"/>
    </row>
    <row r="448" spans="1:8" x14ac:dyDescent="0.25">
      <c r="A448" s="2">
        <v>441</v>
      </c>
      <c r="B448" s="2">
        <f t="shared" si="20"/>
        <v>1958</v>
      </c>
      <c r="C448" s="2">
        <f t="shared" si="21"/>
        <v>6</v>
      </c>
      <c r="D448" s="4">
        <v>21366</v>
      </c>
      <c r="E448" s="3">
        <v>230.63820084858219</v>
      </c>
      <c r="F448" s="14">
        <v>1</v>
      </c>
      <c r="G448" s="3">
        <f>'Monthly CFS'!C448 * 86400 * DAY(EOMONTH(D448,0)) / 43560</f>
        <v>3029.8940420080658</v>
      </c>
      <c r="H448" s="3"/>
    </row>
    <row r="449" spans="1:8" x14ac:dyDescent="0.25">
      <c r="A449" s="2">
        <v>442</v>
      </c>
      <c r="B449" s="2">
        <f t="shared" si="20"/>
        <v>1958</v>
      </c>
      <c r="C449" s="2">
        <f t="shared" si="21"/>
        <v>7</v>
      </c>
      <c r="D449" s="4">
        <v>21397</v>
      </c>
      <c r="E449" s="3">
        <v>271.7118866711902</v>
      </c>
      <c r="F449" s="14">
        <v>1</v>
      </c>
      <c r="G449" s="3">
        <f>'Monthly CFS'!C449 * 86400 * DAY(EOMONTH(D449,0)) / 43560</f>
        <v>3887.7224194573919</v>
      </c>
      <c r="H449" s="3"/>
    </row>
    <row r="450" spans="1:8" x14ac:dyDescent="0.25">
      <c r="A450" s="2">
        <v>443</v>
      </c>
      <c r="B450" s="2">
        <f t="shared" si="20"/>
        <v>1958</v>
      </c>
      <c r="C450" s="2">
        <f t="shared" si="21"/>
        <v>8</v>
      </c>
      <c r="D450" s="4">
        <v>21428</v>
      </c>
      <c r="E450" s="3">
        <v>282.21761897027193</v>
      </c>
      <c r="F450" s="14">
        <v>1</v>
      </c>
      <c r="G450" s="3">
        <f>'Monthly CFS'!C450 * 86400 * DAY(EOMONTH(D450,0)) / 43560</f>
        <v>4250.6499170690313</v>
      </c>
      <c r="H450" s="3"/>
    </row>
    <row r="451" spans="1:8" x14ac:dyDescent="0.25">
      <c r="A451" s="2">
        <v>444</v>
      </c>
      <c r="B451" s="2">
        <f t="shared" si="20"/>
        <v>1958</v>
      </c>
      <c r="C451" s="2">
        <f t="shared" si="21"/>
        <v>9</v>
      </c>
      <c r="D451" s="4">
        <v>21458</v>
      </c>
      <c r="E451" s="3">
        <v>245.18670139121073</v>
      </c>
      <c r="F451" s="14">
        <v>1</v>
      </c>
      <c r="G451" s="3">
        <f>'Monthly CFS'!C451 * 86400 * DAY(EOMONTH(D451,0)) / 43560</f>
        <v>3585.2828654276946</v>
      </c>
      <c r="H451" s="3"/>
    </row>
    <row r="452" spans="1:8" x14ac:dyDescent="0.25">
      <c r="A452" s="2">
        <v>445</v>
      </c>
      <c r="B452" s="2">
        <f t="shared" si="20"/>
        <v>1958</v>
      </c>
      <c r="C452" s="2">
        <f t="shared" si="21"/>
        <v>10</v>
      </c>
      <c r="D452" s="4">
        <v>21489</v>
      </c>
      <c r="E452" s="3">
        <v>208.40764336055324</v>
      </c>
      <c r="F452" s="14">
        <v>1</v>
      </c>
      <c r="G452" s="3">
        <f>'Monthly CFS'!C452 * 86400 * DAY(EOMONTH(D452,0)) / 43560</f>
        <v>2441.5116681819263</v>
      </c>
      <c r="H452" s="3"/>
    </row>
    <row r="453" spans="1:8" x14ac:dyDescent="0.25">
      <c r="A453" s="2">
        <v>446</v>
      </c>
      <c r="B453" s="2">
        <f t="shared" si="20"/>
        <v>1958</v>
      </c>
      <c r="C453" s="2">
        <f t="shared" si="21"/>
        <v>11</v>
      </c>
      <c r="D453" s="4">
        <v>21519</v>
      </c>
      <c r="E453" s="3">
        <v>139.9081154259168</v>
      </c>
      <c r="F453" s="14">
        <v>0.99999999999999989</v>
      </c>
      <c r="G453" s="3">
        <f>'Monthly CFS'!C453 * 86400 * DAY(EOMONTH(D453,0)) / 43560</f>
        <v>1550.6899042060882</v>
      </c>
      <c r="H453" s="3"/>
    </row>
    <row r="454" spans="1:8" x14ac:dyDescent="0.25">
      <c r="A454" s="2">
        <v>447</v>
      </c>
      <c r="B454" s="2">
        <f t="shared" si="20"/>
        <v>1958</v>
      </c>
      <c r="C454" s="2">
        <f t="shared" si="21"/>
        <v>12</v>
      </c>
      <c r="D454" s="4">
        <v>21550</v>
      </c>
      <c r="E454" s="3">
        <v>100.09781597435999</v>
      </c>
      <c r="F454" s="14">
        <v>1</v>
      </c>
      <c r="G454" s="3">
        <f>'Monthly CFS'!C454 * 86400 * DAY(EOMONTH(D454,0)) / 43560</f>
        <v>1275.7448662618178</v>
      </c>
      <c r="H454" s="3"/>
    </row>
    <row r="455" spans="1:8" x14ac:dyDescent="0.25">
      <c r="A455" s="2">
        <v>448</v>
      </c>
      <c r="B455" s="2">
        <f t="shared" si="20"/>
        <v>1959</v>
      </c>
      <c r="C455" s="2">
        <f t="shared" si="21"/>
        <v>1</v>
      </c>
      <c r="D455" s="4">
        <v>21581</v>
      </c>
      <c r="E455" s="3">
        <v>94.480039683665964</v>
      </c>
      <c r="F455" s="14">
        <v>1</v>
      </c>
      <c r="G455" s="3">
        <f>'Monthly CFS'!C455 * 86400 * DAY(EOMONTH(D455,0)) / 43560</f>
        <v>766.28081167588107</v>
      </c>
      <c r="H455" s="3"/>
    </row>
    <row r="456" spans="1:8" x14ac:dyDescent="0.25">
      <c r="A456" s="2">
        <v>449</v>
      </c>
      <c r="B456" s="2">
        <f t="shared" si="20"/>
        <v>1959</v>
      </c>
      <c r="C456" s="2">
        <f t="shared" si="21"/>
        <v>2</v>
      </c>
      <c r="D456" s="4">
        <v>21609</v>
      </c>
      <c r="E456" s="3">
        <v>108.63618759646828</v>
      </c>
      <c r="F456" s="14">
        <v>1</v>
      </c>
      <c r="G456" s="3">
        <f>'Monthly CFS'!C456 * 86400 * DAY(EOMONTH(D456,0)) / 43560</f>
        <v>668.84011641393647</v>
      </c>
      <c r="H456" s="3"/>
    </row>
    <row r="457" spans="1:8" x14ac:dyDescent="0.25">
      <c r="A457" s="2">
        <v>450</v>
      </c>
      <c r="B457" s="2">
        <f t="shared" ref="B457:B520" si="22">YEAR(D457)</f>
        <v>1959</v>
      </c>
      <c r="C457" s="2">
        <f t="shared" ref="C457:C520" si="23">MONTH(D457)</f>
        <v>3</v>
      </c>
      <c r="D457" s="4">
        <v>21640</v>
      </c>
      <c r="E457" s="3">
        <v>106.88716825976039</v>
      </c>
      <c r="F457" s="14">
        <v>0.96864608474683778</v>
      </c>
      <c r="G457" s="3">
        <f>'Monthly CFS'!C457 * 86400 * DAY(EOMONTH(D457,0)) / 43560</f>
        <v>852.1045620995036</v>
      </c>
      <c r="H457" s="3"/>
    </row>
    <row r="458" spans="1:8" x14ac:dyDescent="0.25">
      <c r="A458" s="2">
        <v>451</v>
      </c>
      <c r="B458" s="2">
        <f t="shared" si="22"/>
        <v>1959</v>
      </c>
      <c r="C458" s="2">
        <f t="shared" si="23"/>
        <v>4</v>
      </c>
      <c r="D458" s="4">
        <v>21670</v>
      </c>
      <c r="E458" s="3">
        <v>155.35965745471614</v>
      </c>
      <c r="F458" s="14">
        <v>0.96864608474683778</v>
      </c>
      <c r="G458" s="3">
        <f>'Monthly CFS'!C458 * 86400 * DAY(EOMONTH(D458,0)) / 43560</f>
        <v>1285.4147744224354</v>
      </c>
      <c r="H458" s="3"/>
    </row>
    <row r="459" spans="1:8" x14ac:dyDescent="0.25">
      <c r="A459" s="2">
        <v>452</v>
      </c>
      <c r="B459" s="2">
        <f t="shared" si="22"/>
        <v>1959</v>
      </c>
      <c r="C459" s="2">
        <f t="shared" si="23"/>
        <v>5</v>
      </c>
      <c r="D459" s="4">
        <v>21701</v>
      </c>
      <c r="E459" s="3">
        <v>189.91672423298655</v>
      </c>
      <c r="F459" s="14">
        <v>0.96864608474683778</v>
      </c>
      <c r="G459" s="3">
        <f>'Monthly CFS'!C459 * 86400 * DAY(EOMONTH(D459,0)) / 43560</f>
        <v>1896.4393896915469</v>
      </c>
      <c r="H459" s="3"/>
    </row>
    <row r="460" spans="1:8" x14ac:dyDescent="0.25">
      <c r="A460" s="2">
        <v>453</v>
      </c>
      <c r="B460" s="2">
        <f t="shared" si="22"/>
        <v>1959</v>
      </c>
      <c r="C460" s="2">
        <f t="shared" si="23"/>
        <v>6</v>
      </c>
      <c r="D460" s="4">
        <v>21731</v>
      </c>
      <c r="E460" s="3">
        <v>249.94227532208066</v>
      </c>
      <c r="F460" s="14">
        <v>0.96864608474683755</v>
      </c>
      <c r="G460" s="3">
        <f>'Monthly CFS'!C460 * 86400 * DAY(EOMONTH(D460,0)) / 43560</f>
        <v>2493.8856861719469</v>
      </c>
      <c r="H460" s="3"/>
    </row>
    <row r="461" spans="1:8" x14ac:dyDescent="0.25">
      <c r="A461" s="2">
        <v>454</v>
      </c>
      <c r="B461" s="2">
        <f t="shared" si="22"/>
        <v>1959</v>
      </c>
      <c r="C461" s="2">
        <f t="shared" si="23"/>
        <v>7</v>
      </c>
      <c r="D461" s="4">
        <v>21762</v>
      </c>
      <c r="E461" s="3">
        <v>278.83348316359661</v>
      </c>
      <c r="F461" s="14">
        <v>0.96864608474683755</v>
      </c>
      <c r="G461" s="3">
        <f>'Monthly CFS'!C461 * 86400 * DAY(EOMONTH(D461,0)) / 43560</f>
        <v>3199.9585329620395</v>
      </c>
      <c r="H461" s="3"/>
    </row>
    <row r="462" spans="1:8" x14ac:dyDescent="0.25">
      <c r="A462" s="2">
        <v>455</v>
      </c>
      <c r="B462" s="2">
        <f t="shared" si="22"/>
        <v>1959</v>
      </c>
      <c r="C462" s="2">
        <f t="shared" si="23"/>
        <v>8</v>
      </c>
      <c r="D462" s="4">
        <v>21793</v>
      </c>
      <c r="E462" s="3">
        <v>281.64601106700837</v>
      </c>
      <c r="F462" s="14">
        <v>0.96864608474683767</v>
      </c>
      <c r="G462" s="3">
        <f>'Monthly CFS'!C462 * 86400 * DAY(EOMONTH(D462,0)) / 43560</f>
        <v>3498.6817486465106</v>
      </c>
      <c r="H462" s="3"/>
    </row>
    <row r="463" spans="1:8" x14ac:dyDescent="0.25">
      <c r="A463" s="2">
        <v>456</v>
      </c>
      <c r="B463" s="2">
        <f t="shared" si="22"/>
        <v>1959</v>
      </c>
      <c r="C463" s="2">
        <f t="shared" si="23"/>
        <v>9</v>
      </c>
      <c r="D463" s="4">
        <v>21823</v>
      </c>
      <c r="E463" s="3">
        <v>247.80503551638381</v>
      </c>
      <c r="F463" s="14">
        <v>0.96864608474683767</v>
      </c>
      <c r="G463" s="3">
        <f>'Monthly CFS'!C463 * 86400 * DAY(EOMONTH(D463,0)) / 43560</f>
        <v>2951.0225423730717</v>
      </c>
      <c r="H463" s="3"/>
    </row>
    <row r="464" spans="1:8" x14ac:dyDescent="0.25">
      <c r="A464" s="2">
        <v>457</v>
      </c>
      <c r="B464" s="2">
        <f t="shared" si="22"/>
        <v>1959</v>
      </c>
      <c r="C464" s="2">
        <f t="shared" si="23"/>
        <v>10</v>
      </c>
      <c r="D464" s="4">
        <v>21854</v>
      </c>
      <c r="E464" s="3">
        <v>213.68325149262242</v>
      </c>
      <c r="F464" s="14">
        <v>0.96864608474683767</v>
      </c>
      <c r="G464" s="3">
        <f>'Monthly CFS'!C464 * 86400 * DAY(EOMONTH(D464,0)) / 43560</f>
        <v>2009.5920575048578</v>
      </c>
      <c r="H464" s="3"/>
    </row>
    <row r="465" spans="1:8" x14ac:dyDescent="0.25">
      <c r="A465" s="2">
        <v>458</v>
      </c>
      <c r="B465" s="2">
        <f t="shared" si="22"/>
        <v>1959</v>
      </c>
      <c r="C465" s="2">
        <f t="shared" si="23"/>
        <v>11</v>
      </c>
      <c r="D465" s="4">
        <v>21884</v>
      </c>
      <c r="E465" s="3">
        <v>158.89264570494973</v>
      </c>
      <c r="F465" s="14">
        <v>0.96864608474683755</v>
      </c>
      <c r="G465" s="3">
        <f>'Monthly CFS'!C465 * 86400 * DAY(EOMONTH(D465,0)) / 43560</f>
        <v>1276.36257313734</v>
      </c>
      <c r="H465" s="3"/>
    </row>
    <row r="466" spans="1:8" x14ac:dyDescent="0.25">
      <c r="A466" s="2">
        <v>459</v>
      </c>
      <c r="B466" s="2">
        <f t="shared" si="22"/>
        <v>1959</v>
      </c>
      <c r="C466" s="2">
        <f t="shared" si="23"/>
        <v>12</v>
      </c>
      <c r="D466" s="4">
        <v>21915</v>
      </c>
      <c r="E466" s="3">
        <v>140.7197017834973</v>
      </c>
      <c r="F466" s="14">
        <v>0.96864608474683767</v>
      </c>
      <c r="G466" s="3">
        <f>'Monthly CFS'!C466 * 86400 * DAY(EOMONTH(D466,0)) / 43560</f>
        <v>1050.0571363443148</v>
      </c>
      <c r="H466" s="3"/>
    </row>
    <row r="467" spans="1:8" x14ac:dyDescent="0.25">
      <c r="A467" s="2">
        <v>460</v>
      </c>
      <c r="B467" s="2">
        <f t="shared" si="22"/>
        <v>1960</v>
      </c>
      <c r="C467" s="2">
        <f t="shared" si="23"/>
        <v>1</v>
      </c>
      <c r="D467" s="4">
        <v>21946</v>
      </c>
      <c r="E467" s="3">
        <v>120.71654124454038</v>
      </c>
      <c r="F467" s="14">
        <v>0.96864608474683755</v>
      </c>
      <c r="G467" s="3">
        <f>'Monthly CFS'!C467 * 86400 * DAY(EOMONTH(D467,0)) / 43560</f>
        <v>133.67826149478651</v>
      </c>
      <c r="H467" s="3"/>
    </row>
    <row r="468" spans="1:8" x14ac:dyDescent="0.25">
      <c r="A468" s="2">
        <v>461</v>
      </c>
      <c r="B468" s="2">
        <f t="shared" si="22"/>
        <v>1960</v>
      </c>
      <c r="C468" s="2">
        <f t="shared" si="23"/>
        <v>2</v>
      </c>
      <c r="D468" s="4">
        <v>21975</v>
      </c>
      <c r="E468" s="3">
        <v>110.50888971995006</v>
      </c>
      <c r="F468" s="14">
        <v>0.5</v>
      </c>
      <c r="G468" s="3">
        <f>'Monthly CFS'!C468 * 86400 * DAY(EOMONTH(D468,0)) / 43560</f>
        <v>119.16117142312112</v>
      </c>
      <c r="H468" s="3"/>
    </row>
    <row r="469" spans="1:8" x14ac:dyDescent="0.25">
      <c r="A469" s="2">
        <v>462</v>
      </c>
      <c r="B469" s="2">
        <f t="shared" si="22"/>
        <v>1960</v>
      </c>
      <c r="C469" s="2">
        <f t="shared" si="23"/>
        <v>3</v>
      </c>
      <c r="D469" s="4">
        <v>22006</v>
      </c>
      <c r="E469" s="3">
        <v>123.59371307269362</v>
      </c>
      <c r="F469" s="14">
        <v>0.5</v>
      </c>
      <c r="G469" s="3">
        <f>'Monthly CFS'!C469 * 86400 * DAY(EOMONTH(D469,0)) / 43560</f>
        <v>144.56608355523571</v>
      </c>
      <c r="H469" s="3"/>
    </row>
    <row r="470" spans="1:8" x14ac:dyDescent="0.25">
      <c r="A470" s="2">
        <v>463</v>
      </c>
      <c r="B470" s="2">
        <f t="shared" si="22"/>
        <v>1960</v>
      </c>
      <c r="C470" s="2">
        <f t="shared" si="23"/>
        <v>4</v>
      </c>
      <c r="D470" s="4">
        <v>22036</v>
      </c>
      <c r="E470" s="3">
        <v>181.23525201198251</v>
      </c>
      <c r="F470" s="14">
        <v>0.74560855678569804</v>
      </c>
      <c r="G470" s="3">
        <f>'Monthly CFS'!C470 * 86400 * DAY(EOMONTH(D470,0)) / 43560</f>
        <v>862.78413895500637</v>
      </c>
      <c r="H470" s="3"/>
    </row>
    <row r="471" spans="1:8" x14ac:dyDescent="0.25">
      <c r="A471" s="2">
        <v>464</v>
      </c>
      <c r="B471" s="2">
        <f t="shared" si="22"/>
        <v>1960</v>
      </c>
      <c r="C471" s="2">
        <f t="shared" si="23"/>
        <v>5</v>
      </c>
      <c r="D471" s="4">
        <v>22067</v>
      </c>
      <c r="E471" s="3">
        <v>220.07156033713085</v>
      </c>
      <c r="F471" s="14">
        <v>0.75</v>
      </c>
      <c r="G471" s="3">
        <f>'Monthly CFS'!C471 * 86400 * DAY(EOMONTH(D471,0)) / 43560</f>
        <v>1272.9103931846173</v>
      </c>
      <c r="H471" s="3"/>
    </row>
    <row r="472" spans="1:8" x14ac:dyDescent="0.25">
      <c r="A472" s="2">
        <v>465</v>
      </c>
      <c r="B472" s="2">
        <f t="shared" si="22"/>
        <v>1960</v>
      </c>
      <c r="C472" s="2">
        <f t="shared" si="23"/>
        <v>6</v>
      </c>
      <c r="D472" s="4">
        <v>22097</v>
      </c>
      <c r="E472" s="3">
        <v>257.70906701703865</v>
      </c>
      <c r="F472" s="14">
        <v>0.75</v>
      </c>
      <c r="G472" s="3">
        <f>'Monthly CFS'!C472 * 86400 * DAY(EOMONTH(D472,0)) / 43560</f>
        <v>1673.9227346775101</v>
      </c>
      <c r="H472" s="3"/>
    </row>
    <row r="473" spans="1:8" x14ac:dyDescent="0.25">
      <c r="A473" s="2">
        <v>466</v>
      </c>
      <c r="B473" s="2">
        <f t="shared" si="22"/>
        <v>1960</v>
      </c>
      <c r="C473" s="2">
        <f t="shared" si="23"/>
        <v>7</v>
      </c>
      <c r="D473" s="4">
        <v>22128</v>
      </c>
      <c r="E473" s="3">
        <v>288.24290179325095</v>
      </c>
      <c r="F473" s="14">
        <v>0.75</v>
      </c>
      <c r="G473" s="3">
        <f>'Monthly CFS'!C473 * 86400 * DAY(EOMONTH(D473,0)) / 43560</f>
        <v>2147.8463780641523</v>
      </c>
      <c r="H473" s="3"/>
    </row>
    <row r="474" spans="1:8" x14ac:dyDescent="0.25">
      <c r="A474" s="2">
        <v>467</v>
      </c>
      <c r="B474" s="2">
        <f t="shared" si="22"/>
        <v>1960</v>
      </c>
      <c r="C474" s="2">
        <f t="shared" si="23"/>
        <v>8</v>
      </c>
      <c r="D474" s="4">
        <v>22159</v>
      </c>
      <c r="E474" s="3">
        <v>279.99483921206041</v>
      </c>
      <c r="F474" s="14">
        <v>0.75</v>
      </c>
      <c r="G474" s="3">
        <f>'Monthly CFS'!C474 * 86400 * DAY(EOMONTH(D474,0)) / 43560</f>
        <v>2348.3525940799145</v>
      </c>
      <c r="H474" s="3"/>
    </row>
    <row r="475" spans="1:8" x14ac:dyDescent="0.25">
      <c r="A475" s="2">
        <v>468</v>
      </c>
      <c r="B475" s="2">
        <f t="shared" si="22"/>
        <v>1960</v>
      </c>
      <c r="C475" s="2">
        <f t="shared" si="23"/>
        <v>9</v>
      </c>
      <c r="D475" s="4">
        <v>22189</v>
      </c>
      <c r="E475" s="3">
        <v>253.56663201676471</v>
      </c>
      <c r="F475" s="14">
        <v>0.75</v>
      </c>
      <c r="G475" s="3">
        <f>'Monthly CFS'!C475 * 86400 * DAY(EOMONTH(D475,0)) / 43560</f>
        <v>1980.7578798074576</v>
      </c>
      <c r="H475" s="3"/>
    </row>
    <row r="476" spans="1:8" x14ac:dyDescent="0.25">
      <c r="A476" s="2">
        <v>469</v>
      </c>
      <c r="B476" s="2">
        <f t="shared" si="22"/>
        <v>1960</v>
      </c>
      <c r="C476" s="2">
        <f t="shared" si="23"/>
        <v>10</v>
      </c>
      <c r="D476" s="4">
        <v>22220</v>
      </c>
      <c r="E476" s="3">
        <v>216.07475469170524</v>
      </c>
      <c r="F476" s="14">
        <v>0.74999999999999989</v>
      </c>
      <c r="G476" s="3">
        <f>'Monthly CFS'!C476 * 86400 * DAY(EOMONTH(D476,0)) / 43560</f>
        <v>1348.8596735354943</v>
      </c>
      <c r="H476" s="3"/>
    </row>
    <row r="477" spans="1:8" x14ac:dyDescent="0.25">
      <c r="A477" s="2">
        <v>470</v>
      </c>
      <c r="B477" s="2">
        <f t="shared" si="22"/>
        <v>1960</v>
      </c>
      <c r="C477" s="2">
        <f t="shared" si="23"/>
        <v>11</v>
      </c>
      <c r="D477" s="4">
        <v>22250</v>
      </c>
      <c r="E477" s="3">
        <v>174.85540601156069</v>
      </c>
      <c r="F477" s="14">
        <v>0.75</v>
      </c>
      <c r="G477" s="3">
        <f>'Monthly CFS'!C477 * 86400 * DAY(EOMONTH(D477,0)) / 43560</f>
        <v>856.70820467541319</v>
      </c>
      <c r="H477" s="3"/>
    </row>
    <row r="478" spans="1:8" x14ac:dyDescent="0.25">
      <c r="A478" s="2">
        <v>471</v>
      </c>
      <c r="B478" s="2">
        <f t="shared" si="22"/>
        <v>1960</v>
      </c>
      <c r="C478" s="2">
        <f t="shared" si="23"/>
        <v>12</v>
      </c>
      <c r="D478" s="4">
        <v>22281</v>
      </c>
      <c r="E478" s="3">
        <v>153.1868782359345</v>
      </c>
      <c r="F478" s="14">
        <v>0.75000000000000011</v>
      </c>
      <c r="G478" s="3">
        <f>'Monthly CFS'!C478 * 86400 * DAY(EOMONTH(D478,0)) / 43560</f>
        <v>704.80957606968673</v>
      </c>
      <c r="H478" s="3"/>
    </row>
    <row r="479" spans="1:8" x14ac:dyDescent="0.25">
      <c r="A479" s="2">
        <v>472</v>
      </c>
      <c r="B479" s="2">
        <f t="shared" si="22"/>
        <v>1961</v>
      </c>
      <c r="C479" s="2">
        <f t="shared" si="23"/>
        <v>1</v>
      </c>
      <c r="D479" s="4">
        <v>22312</v>
      </c>
      <c r="E479" s="3">
        <v>148.33069936464571</v>
      </c>
      <c r="F479" s="14">
        <v>0.75</v>
      </c>
      <c r="G479" s="3">
        <f>'Monthly CFS'!C479 * 86400 * DAY(EOMONTH(D479,0)) / 43560</f>
        <v>153.99631990510716</v>
      </c>
      <c r="H479" s="3"/>
    </row>
    <row r="480" spans="1:8" x14ac:dyDescent="0.25">
      <c r="A480" s="2">
        <v>473</v>
      </c>
      <c r="B480" s="2">
        <f t="shared" si="22"/>
        <v>1961</v>
      </c>
      <c r="C480" s="2">
        <f t="shared" si="23"/>
        <v>2</v>
      </c>
      <c r="D480" s="4">
        <v>22340</v>
      </c>
      <c r="E480" s="3">
        <v>145.70191233106175</v>
      </c>
      <c r="F480" s="14">
        <v>0.58611685479475362</v>
      </c>
      <c r="G480" s="3">
        <f>'Monthly CFS'!C480 * 86400 * DAY(EOMONTH(D480,0)) / 43560</f>
        <v>119.16117142312106</v>
      </c>
      <c r="H480" s="3"/>
    </row>
    <row r="481" spans="1:8" x14ac:dyDescent="0.25">
      <c r="A481" s="2">
        <v>474</v>
      </c>
      <c r="B481" s="2">
        <f t="shared" si="22"/>
        <v>1961</v>
      </c>
      <c r="C481" s="2">
        <f t="shared" si="23"/>
        <v>3</v>
      </c>
      <c r="D481" s="4">
        <v>22371</v>
      </c>
      <c r="E481" s="3">
        <v>123.59371307269366</v>
      </c>
      <c r="F481" s="14">
        <v>0.5</v>
      </c>
      <c r="G481" s="3">
        <f>'Monthly CFS'!C481 * 86400 * DAY(EOMONTH(D481,0)) / 43560</f>
        <v>747.81948744369799</v>
      </c>
      <c r="H481" s="3"/>
    </row>
    <row r="482" spans="1:8" x14ac:dyDescent="0.25">
      <c r="A482" s="2">
        <v>475</v>
      </c>
      <c r="B482" s="2">
        <f t="shared" si="22"/>
        <v>1961</v>
      </c>
      <c r="C482" s="2">
        <f t="shared" si="23"/>
        <v>4</v>
      </c>
      <c r="D482" s="4">
        <v>22401</v>
      </c>
      <c r="E482" s="3">
        <v>181.23525201198254</v>
      </c>
      <c r="F482" s="14">
        <v>0.80840127489317581</v>
      </c>
      <c r="G482" s="3">
        <f>'Monthly CFS'!C482 * 86400 * DAY(EOMONTH(D482,0)) / 43560</f>
        <v>924.23990672794832</v>
      </c>
      <c r="H482" s="3"/>
    </row>
    <row r="483" spans="1:8" x14ac:dyDescent="0.25">
      <c r="A483" s="2">
        <v>476</v>
      </c>
      <c r="B483" s="2">
        <f t="shared" si="22"/>
        <v>1961</v>
      </c>
      <c r="C483" s="2">
        <f t="shared" si="23"/>
        <v>5</v>
      </c>
      <c r="D483" s="4">
        <v>22432</v>
      </c>
      <c r="E483" s="3">
        <v>220.07156033713082</v>
      </c>
      <c r="F483" s="14">
        <v>0.8084012748931757</v>
      </c>
      <c r="G483" s="3">
        <f>'Monthly CFS'!C483 * 86400 * DAY(EOMONTH(D483,0)) / 43560</f>
        <v>1422.2462217276548</v>
      </c>
      <c r="H483" s="3"/>
    </row>
    <row r="484" spans="1:8" x14ac:dyDescent="0.25">
      <c r="A484" s="2">
        <v>477</v>
      </c>
      <c r="B484" s="2">
        <f t="shared" si="22"/>
        <v>1961</v>
      </c>
      <c r="C484" s="2">
        <f t="shared" si="23"/>
        <v>6</v>
      </c>
      <c r="D484" s="4">
        <v>22462</v>
      </c>
      <c r="E484" s="3">
        <v>257.70906701703865</v>
      </c>
      <c r="F484" s="14">
        <v>0.80840127489317581</v>
      </c>
      <c r="G484" s="3">
        <f>'Monthly CFS'!C484 * 86400 * DAY(EOMONTH(D484,0)) / 43560</f>
        <v>1870.3046951348285</v>
      </c>
      <c r="H484" s="3"/>
    </row>
    <row r="485" spans="1:8" x14ac:dyDescent="0.25">
      <c r="A485" s="2">
        <v>478</v>
      </c>
      <c r="B485" s="2">
        <f t="shared" si="22"/>
        <v>1961</v>
      </c>
      <c r="C485" s="2">
        <f t="shared" si="23"/>
        <v>7</v>
      </c>
      <c r="D485" s="4">
        <v>22493</v>
      </c>
      <c r="E485" s="3">
        <v>288.24290179325095</v>
      </c>
      <c r="F485" s="14">
        <v>0.8084012748931757</v>
      </c>
      <c r="G485" s="3">
        <f>'Monthly CFS'!C485 * 86400 * DAY(EOMONTH(D485,0)) / 43560</f>
        <v>2399.8283087394966</v>
      </c>
      <c r="H485" s="3"/>
    </row>
    <row r="486" spans="1:8" x14ac:dyDescent="0.25">
      <c r="A486" s="2">
        <v>479</v>
      </c>
      <c r="B486" s="2">
        <f t="shared" si="22"/>
        <v>1961</v>
      </c>
      <c r="C486" s="2">
        <f t="shared" si="23"/>
        <v>8</v>
      </c>
      <c r="D486" s="4">
        <v>22524</v>
      </c>
      <c r="E486" s="3">
        <v>279.99483921206041</v>
      </c>
      <c r="F486" s="14">
        <v>0.8084012748931757</v>
      </c>
      <c r="G486" s="3">
        <f>'Monthly CFS'!C486 * 86400 * DAY(EOMONTH(D486,0)) / 43560</f>
        <v>2623.8575960233252</v>
      </c>
      <c r="H486" s="3"/>
    </row>
    <row r="487" spans="1:8" x14ac:dyDescent="0.25">
      <c r="A487" s="2">
        <v>480</v>
      </c>
      <c r="B487" s="2">
        <f t="shared" si="22"/>
        <v>1961</v>
      </c>
      <c r="C487" s="2">
        <f t="shared" si="23"/>
        <v>9</v>
      </c>
      <c r="D487" s="4">
        <v>22554</v>
      </c>
      <c r="E487" s="3">
        <v>253.56663201676474</v>
      </c>
      <c r="F487" s="14">
        <v>0.8084012748931757</v>
      </c>
      <c r="G487" s="3">
        <f>'Monthly CFS'!C487 * 86400 * DAY(EOMONTH(D487,0)) / 43560</f>
        <v>2213.1372528630559</v>
      </c>
      <c r="H487" s="3"/>
    </row>
    <row r="488" spans="1:8" x14ac:dyDescent="0.25">
      <c r="A488" s="2">
        <v>481</v>
      </c>
      <c r="B488" s="2">
        <f t="shared" si="22"/>
        <v>1961</v>
      </c>
      <c r="C488" s="2">
        <f t="shared" si="23"/>
        <v>10</v>
      </c>
      <c r="D488" s="4">
        <v>22585</v>
      </c>
      <c r="E488" s="3">
        <v>216.07475469170527</v>
      </c>
      <c r="F488" s="14">
        <v>0.8084012748931757</v>
      </c>
      <c r="G488" s="3">
        <f>'Monthly CFS'!C488 * 86400 * DAY(EOMONTH(D488,0)) / 43560</f>
        <v>1507.1057511967508</v>
      </c>
      <c r="H488" s="3"/>
    </row>
    <row r="489" spans="1:8" x14ac:dyDescent="0.25">
      <c r="A489" s="2">
        <v>482</v>
      </c>
      <c r="B489" s="2">
        <f t="shared" si="22"/>
        <v>1961</v>
      </c>
      <c r="C489" s="2">
        <f t="shared" si="23"/>
        <v>11</v>
      </c>
      <c r="D489" s="4">
        <v>22615</v>
      </c>
      <c r="E489" s="3">
        <v>174.85540601156069</v>
      </c>
      <c r="F489" s="14">
        <v>0.8084012748931757</v>
      </c>
      <c r="G489" s="3">
        <f>'Monthly CFS'!C489 * 86400 * DAY(EOMONTH(D489,0)) / 43560</f>
        <v>957.2158525427094</v>
      </c>
      <c r="H489" s="3"/>
    </row>
    <row r="490" spans="1:8" x14ac:dyDescent="0.25">
      <c r="A490" s="2">
        <v>483</v>
      </c>
      <c r="B490" s="2">
        <f t="shared" si="22"/>
        <v>1961</v>
      </c>
      <c r="C490" s="2">
        <f t="shared" si="23"/>
        <v>12</v>
      </c>
      <c r="D490" s="4">
        <v>22646</v>
      </c>
      <c r="E490" s="3">
        <v>153.1868782359345</v>
      </c>
      <c r="F490" s="14">
        <v>0.8084012748931757</v>
      </c>
      <c r="G490" s="3">
        <f>'Monthly CFS'!C490 * 86400 * DAY(EOMONTH(D490,0)) / 43560</f>
        <v>787.49671773415764</v>
      </c>
      <c r="H490" s="3"/>
    </row>
    <row r="491" spans="1:8" x14ac:dyDescent="0.25">
      <c r="A491" s="2">
        <v>484</v>
      </c>
      <c r="B491" s="2">
        <f t="shared" si="22"/>
        <v>1962</v>
      </c>
      <c r="C491" s="2">
        <f t="shared" si="23"/>
        <v>1</v>
      </c>
      <c r="D491" s="4">
        <v>22677</v>
      </c>
      <c r="E491" s="3">
        <v>148.33069936464571</v>
      </c>
      <c r="F491" s="14">
        <v>0.8084012748931757</v>
      </c>
      <c r="G491" s="3">
        <f>'Monthly CFS'!C491 * 86400 * DAY(EOMONTH(D491,0)) / 43560</f>
        <v>133.67826149478651</v>
      </c>
      <c r="H491" s="3"/>
    </row>
    <row r="492" spans="1:8" x14ac:dyDescent="0.25">
      <c r="A492" s="2">
        <v>485</v>
      </c>
      <c r="B492" s="2">
        <f t="shared" si="22"/>
        <v>1962</v>
      </c>
      <c r="C492" s="2">
        <f t="shared" si="23"/>
        <v>2</v>
      </c>
      <c r="D492" s="4">
        <v>22705</v>
      </c>
      <c r="E492" s="3">
        <v>145.70191233106175</v>
      </c>
      <c r="F492" s="14">
        <v>0.75000000000000011</v>
      </c>
      <c r="G492" s="3">
        <f>'Monthly CFS'!C492 * 86400 * DAY(EOMONTH(D492,0)) / 43560</f>
        <v>119.16117142312108</v>
      </c>
      <c r="H492" s="3"/>
    </row>
    <row r="493" spans="1:8" x14ac:dyDescent="0.25">
      <c r="A493" s="2">
        <v>486</v>
      </c>
      <c r="B493" s="2">
        <f t="shared" si="22"/>
        <v>1962</v>
      </c>
      <c r="C493" s="2">
        <f t="shared" si="23"/>
        <v>3</v>
      </c>
      <c r="D493" s="4">
        <v>22736</v>
      </c>
      <c r="E493" s="3">
        <v>106.8871682597629</v>
      </c>
      <c r="F493" s="14">
        <v>0.75</v>
      </c>
      <c r="G493" s="3">
        <f>'Monthly CFS'!C493 * 86400 * DAY(EOMONTH(D493,0)) / 43560</f>
        <v>840.92431509651999</v>
      </c>
      <c r="H493" s="3"/>
    </row>
    <row r="494" spans="1:8" x14ac:dyDescent="0.25">
      <c r="A494" s="2">
        <v>487</v>
      </c>
      <c r="B494" s="2">
        <f t="shared" si="22"/>
        <v>1962</v>
      </c>
      <c r="C494" s="2">
        <f t="shared" si="23"/>
        <v>4</v>
      </c>
      <c r="D494" s="4">
        <v>22766</v>
      </c>
      <c r="E494" s="3">
        <v>155.35965745471617</v>
      </c>
      <c r="F494" s="14">
        <v>1</v>
      </c>
      <c r="G494" s="3">
        <f>'Monthly CFS'!C494 * 86400 * DAY(EOMONTH(D494,0)) / 43560</f>
        <v>1561.6876860582588</v>
      </c>
      <c r="H494" s="3"/>
    </row>
    <row r="495" spans="1:8" x14ac:dyDescent="0.25">
      <c r="A495" s="2">
        <v>488</v>
      </c>
      <c r="B495" s="2">
        <f t="shared" si="22"/>
        <v>1962</v>
      </c>
      <c r="C495" s="2">
        <f t="shared" si="23"/>
        <v>5</v>
      </c>
      <c r="D495" s="4">
        <v>22797</v>
      </c>
      <c r="E495" s="3">
        <v>189.91672423298655</v>
      </c>
      <c r="F495" s="14">
        <v>0.99999999999999989</v>
      </c>
      <c r="G495" s="3">
        <f>'Monthly CFS'!C495 * 86400 * DAY(EOMONTH(D495,0)) / 43560</f>
        <v>2304.039210664791</v>
      </c>
      <c r="H495" s="3"/>
    </row>
    <row r="496" spans="1:8" x14ac:dyDescent="0.25">
      <c r="A496" s="2">
        <v>489</v>
      </c>
      <c r="B496" s="2">
        <f t="shared" si="22"/>
        <v>1962</v>
      </c>
      <c r="C496" s="2">
        <f t="shared" si="23"/>
        <v>6</v>
      </c>
      <c r="D496" s="4">
        <v>22827</v>
      </c>
      <c r="E496" s="3">
        <v>249.94227532208066</v>
      </c>
      <c r="F496" s="14">
        <v>1</v>
      </c>
      <c r="G496" s="3">
        <f>'Monthly CFS'!C496 * 86400 * DAY(EOMONTH(D496,0)) / 43560</f>
        <v>3029.8940420080662</v>
      </c>
      <c r="H496" s="3"/>
    </row>
    <row r="497" spans="1:8" x14ac:dyDescent="0.25">
      <c r="A497" s="2">
        <v>490</v>
      </c>
      <c r="B497" s="2">
        <f t="shared" si="22"/>
        <v>1962</v>
      </c>
      <c r="C497" s="2">
        <f t="shared" si="23"/>
        <v>7</v>
      </c>
      <c r="D497" s="4">
        <v>22858</v>
      </c>
      <c r="E497" s="3">
        <v>278.83348316359661</v>
      </c>
      <c r="F497" s="14">
        <v>1</v>
      </c>
      <c r="G497" s="3">
        <f>'Monthly CFS'!C497 * 86400 * DAY(EOMONTH(D497,0)) / 43560</f>
        <v>3887.7224194573928</v>
      </c>
      <c r="H497" s="3"/>
    </row>
    <row r="498" spans="1:8" x14ac:dyDescent="0.25">
      <c r="A498" s="2">
        <v>491</v>
      </c>
      <c r="B498" s="2">
        <f t="shared" si="22"/>
        <v>1962</v>
      </c>
      <c r="C498" s="2">
        <f t="shared" si="23"/>
        <v>8</v>
      </c>
      <c r="D498" s="4">
        <v>22889</v>
      </c>
      <c r="E498" s="3">
        <v>281.64601106700837</v>
      </c>
      <c r="F498" s="14">
        <v>1</v>
      </c>
      <c r="G498" s="3">
        <f>'Monthly CFS'!C498 * 86400 * DAY(EOMONTH(D498,0)) / 43560</f>
        <v>4250.6499170690295</v>
      </c>
      <c r="H498" s="3"/>
    </row>
    <row r="499" spans="1:8" x14ac:dyDescent="0.25">
      <c r="A499" s="2">
        <v>492</v>
      </c>
      <c r="B499" s="2">
        <f t="shared" si="22"/>
        <v>1962</v>
      </c>
      <c r="C499" s="2">
        <f t="shared" si="23"/>
        <v>9</v>
      </c>
      <c r="D499" s="4">
        <v>22919</v>
      </c>
      <c r="E499" s="3">
        <v>247.80503551638381</v>
      </c>
      <c r="F499" s="14">
        <v>1</v>
      </c>
      <c r="G499" s="3">
        <f>'Monthly CFS'!C499 * 86400 * DAY(EOMONTH(D499,0)) / 43560</f>
        <v>3585.2828654276946</v>
      </c>
      <c r="H499" s="3"/>
    </row>
    <row r="500" spans="1:8" x14ac:dyDescent="0.25">
      <c r="A500" s="2">
        <v>493</v>
      </c>
      <c r="B500" s="2">
        <f t="shared" si="22"/>
        <v>1962</v>
      </c>
      <c r="C500" s="2">
        <f t="shared" si="23"/>
        <v>10</v>
      </c>
      <c r="D500" s="4">
        <v>22950</v>
      </c>
      <c r="E500" s="3">
        <v>213.68325149262242</v>
      </c>
      <c r="F500" s="14">
        <v>0.99999999999999989</v>
      </c>
      <c r="G500" s="3">
        <f>'Monthly CFS'!C500 * 86400 * DAY(EOMONTH(D500,0)) / 43560</f>
        <v>2441.5116681819263</v>
      </c>
      <c r="H500" s="3"/>
    </row>
    <row r="501" spans="1:8" x14ac:dyDescent="0.25">
      <c r="A501" s="2">
        <v>494</v>
      </c>
      <c r="B501" s="2">
        <f t="shared" si="22"/>
        <v>1962</v>
      </c>
      <c r="C501" s="2">
        <f t="shared" si="23"/>
        <v>11</v>
      </c>
      <c r="D501" s="4">
        <v>22980</v>
      </c>
      <c r="E501" s="3">
        <v>158.89264570494973</v>
      </c>
      <c r="F501" s="14">
        <v>1</v>
      </c>
      <c r="G501" s="3">
        <f>'Monthly CFS'!C501 * 86400 * DAY(EOMONTH(D501,0)) / 43560</f>
        <v>1550.6899042060877</v>
      </c>
      <c r="H501" s="3"/>
    </row>
    <row r="502" spans="1:8" x14ac:dyDescent="0.25">
      <c r="A502" s="2">
        <v>495</v>
      </c>
      <c r="B502" s="2">
        <f t="shared" si="22"/>
        <v>1962</v>
      </c>
      <c r="C502" s="2">
        <f t="shared" si="23"/>
        <v>12</v>
      </c>
      <c r="D502" s="4">
        <v>23011</v>
      </c>
      <c r="E502" s="3">
        <v>140.7197017834973</v>
      </c>
      <c r="F502" s="14">
        <v>1</v>
      </c>
      <c r="G502" s="3">
        <f>'Monthly CFS'!C502 * 86400 * DAY(EOMONTH(D502,0)) / 43560</f>
        <v>1275.7448662618178</v>
      </c>
      <c r="H502" s="3"/>
    </row>
    <row r="503" spans="1:8" x14ac:dyDescent="0.25">
      <c r="A503" s="2">
        <v>496</v>
      </c>
      <c r="B503" s="2">
        <f t="shared" si="22"/>
        <v>1963</v>
      </c>
      <c r="C503" s="2">
        <f t="shared" si="23"/>
        <v>1</v>
      </c>
      <c r="D503" s="4">
        <v>23042</v>
      </c>
      <c r="E503" s="3">
        <v>120.71654124454039</v>
      </c>
      <c r="F503" s="14">
        <v>1</v>
      </c>
      <c r="G503" s="3">
        <f>'Monthly CFS'!C503 * 86400 * DAY(EOMONTH(D503,0)) / 43560</f>
        <v>871.7395333514479</v>
      </c>
      <c r="H503" s="3"/>
    </row>
    <row r="504" spans="1:8" x14ac:dyDescent="0.25">
      <c r="A504" s="2">
        <v>497</v>
      </c>
      <c r="B504" s="2">
        <f t="shared" si="22"/>
        <v>1963</v>
      </c>
      <c r="C504" s="2">
        <f t="shared" si="23"/>
        <v>2</v>
      </c>
      <c r="D504" s="4">
        <v>23070</v>
      </c>
      <c r="E504" s="3">
        <v>114.45563578137686</v>
      </c>
      <c r="F504" s="14">
        <v>1</v>
      </c>
      <c r="G504" s="3">
        <f>'Monthly CFS'!C504 * 86400 * DAY(EOMONTH(D504,0)) / 43560</f>
        <v>855.85489213201424</v>
      </c>
      <c r="H504" s="3"/>
    </row>
    <row r="505" spans="1:8" x14ac:dyDescent="0.25">
      <c r="A505" s="2">
        <v>498</v>
      </c>
      <c r="B505" s="2">
        <f t="shared" si="22"/>
        <v>1963</v>
      </c>
      <c r="C505" s="2">
        <f t="shared" si="23"/>
        <v>3</v>
      </c>
      <c r="D505" s="4">
        <v>23101</v>
      </c>
      <c r="E505" s="3">
        <v>106.88716825976188</v>
      </c>
      <c r="F505" s="14">
        <v>0.96497204025384731</v>
      </c>
      <c r="G505" s="3">
        <f>'Monthly CFS'!C505 * 86400 * DAY(EOMONTH(D505,0)) / 43560</f>
        <v>952.86312022238792</v>
      </c>
      <c r="H505" s="3"/>
    </row>
    <row r="506" spans="1:8" x14ac:dyDescent="0.25">
      <c r="A506" s="2">
        <v>499</v>
      </c>
      <c r="B506" s="2">
        <f t="shared" si="22"/>
        <v>1963</v>
      </c>
      <c r="C506" s="2">
        <f t="shared" si="23"/>
        <v>4</v>
      </c>
      <c r="D506" s="4">
        <v>23131</v>
      </c>
      <c r="E506" s="3">
        <v>140.91721845376131</v>
      </c>
      <c r="F506" s="14">
        <v>1</v>
      </c>
      <c r="G506" s="3">
        <f>'Monthly CFS'!C506 * 86400 * DAY(EOMONTH(D506,0)) / 43560</f>
        <v>1152.8643598015847</v>
      </c>
      <c r="H506" s="3"/>
    </row>
    <row r="507" spans="1:8" x14ac:dyDescent="0.25">
      <c r="A507" s="2">
        <v>500</v>
      </c>
      <c r="B507" s="2">
        <f t="shared" si="22"/>
        <v>1963</v>
      </c>
      <c r="C507" s="2">
        <f t="shared" si="23"/>
        <v>5</v>
      </c>
      <c r="D507" s="4">
        <v>23162</v>
      </c>
      <c r="E507" s="3">
        <v>173.69722718890341</v>
      </c>
      <c r="F507" s="14">
        <v>1</v>
      </c>
      <c r="G507" s="3">
        <f>'Monthly CFS'!C507 * 86400 * DAY(EOMONTH(D507,0)) / 43560</f>
        <v>1804.7183402371384</v>
      </c>
      <c r="H507" s="3"/>
    </row>
    <row r="508" spans="1:8" x14ac:dyDescent="0.25">
      <c r="A508" s="2">
        <v>501</v>
      </c>
      <c r="B508" s="2">
        <f t="shared" si="22"/>
        <v>1963</v>
      </c>
      <c r="C508" s="2">
        <f t="shared" si="23"/>
        <v>6</v>
      </c>
      <c r="D508" s="4">
        <v>23192</v>
      </c>
      <c r="E508" s="3">
        <v>230.63820084858219</v>
      </c>
      <c r="F508" s="14">
        <v>1</v>
      </c>
      <c r="G508" s="3">
        <f>'Monthly CFS'!C508 * 86400 * DAY(EOMONTH(D508,0)) / 43560</f>
        <v>2373.2692227097409</v>
      </c>
      <c r="H508" s="3"/>
    </row>
    <row r="509" spans="1:8" x14ac:dyDescent="0.25">
      <c r="A509" s="2">
        <v>502</v>
      </c>
      <c r="B509" s="2">
        <f t="shared" si="22"/>
        <v>1963</v>
      </c>
      <c r="C509" s="2">
        <f t="shared" si="23"/>
        <v>7</v>
      </c>
      <c r="D509" s="4">
        <v>23223</v>
      </c>
      <c r="E509" s="3">
        <v>271.71188667119026</v>
      </c>
      <c r="F509" s="14">
        <v>1</v>
      </c>
      <c r="G509" s="3">
        <f>'Monthly CFS'!C509 * 86400 * DAY(EOMONTH(D509,0)) / 43560</f>
        <v>3045.1929462265712</v>
      </c>
      <c r="H509" s="3"/>
    </row>
    <row r="510" spans="1:8" x14ac:dyDescent="0.25">
      <c r="A510" s="2">
        <v>503</v>
      </c>
      <c r="B510" s="2">
        <f t="shared" si="22"/>
        <v>1963</v>
      </c>
      <c r="C510" s="2">
        <f t="shared" si="23"/>
        <v>8</v>
      </c>
      <c r="D510" s="4">
        <v>23254</v>
      </c>
      <c r="E510" s="3">
        <v>282.21761897027193</v>
      </c>
      <c r="F510" s="14">
        <v>1</v>
      </c>
      <c r="G510" s="3">
        <f>'Monthly CFS'!C510 * 86400 * DAY(EOMONTH(D510,0)) / 43560</f>
        <v>3329.468451645208</v>
      </c>
      <c r="H510" s="3"/>
    </row>
    <row r="511" spans="1:8" x14ac:dyDescent="0.25">
      <c r="A511" s="2">
        <v>504</v>
      </c>
      <c r="B511" s="2">
        <f t="shared" si="22"/>
        <v>1963</v>
      </c>
      <c r="C511" s="2">
        <f t="shared" si="23"/>
        <v>9</v>
      </c>
      <c r="D511" s="4">
        <v>23284</v>
      </c>
      <c r="E511" s="3">
        <v>245.1867013912107</v>
      </c>
      <c r="F511" s="14">
        <v>1</v>
      </c>
      <c r="G511" s="3">
        <f>'Monthly CFS'!C511 * 86400 * DAY(EOMONTH(D511,0)) / 43560</f>
        <v>2808.2967131051528</v>
      </c>
      <c r="H511" s="3"/>
    </row>
    <row r="512" spans="1:8" x14ac:dyDescent="0.25">
      <c r="A512" s="2">
        <v>505</v>
      </c>
      <c r="B512" s="2">
        <f t="shared" si="22"/>
        <v>1963</v>
      </c>
      <c r="C512" s="2">
        <f t="shared" si="23"/>
        <v>10</v>
      </c>
      <c r="D512" s="4">
        <v>23315</v>
      </c>
      <c r="E512" s="3">
        <v>208.40764336055318</v>
      </c>
      <c r="F512" s="14">
        <v>0.99999999999999989</v>
      </c>
      <c r="G512" s="3">
        <f>'Monthly CFS'!C512 * 86400 * DAY(EOMONTH(D512,0)) / 43560</f>
        <v>1912.3983936885988</v>
      </c>
      <c r="H512" s="3"/>
    </row>
    <row r="513" spans="1:8" x14ac:dyDescent="0.25">
      <c r="A513" s="2">
        <v>506</v>
      </c>
      <c r="B513" s="2">
        <f t="shared" si="22"/>
        <v>1963</v>
      </c>
      <c r="C513" s="2">
        <f t="shared" si="23"/>
        <v>11</v>
      </c>
      <c r="D513" s="4">
        <v>23345</v>
      </c>
      <c r="E513" s="3">
        <v>139.9081154259168</v>
      </c>
      <c r="F513" s="14">
        <v>1</v>
      </c>
      <c r="G513" s="3">
        <f>'Monthly CFS'!C513 * 86400 * DAY(EOMONTH(D513,0)) / 43560</f>
        <v>1214.6314599107111</v>
      </c>
      <c r="H513" s="3"/>
    </row>
    <row r="514" spans="1:8" x14ac:dyDescent="0.25">
      <c r="A514" s="2">
        <v>507</v>
      </c>
      <c r="B514" s="2">
        <f t="shared" si="22"/>
        <v>1963</v>
      </c>
      <c r="C514" s="2">
        <f t="shared" si="23"/>
        <v>12</v>
      </c>
      <c r="D514" s="4">
        <v>23376</v>
      </c>
      <c r="E514" s="3">
        <v>100.09781597435999</v>
      </c>
      <c r="F514" s="14">
        <v>1</v>
      </c>
      <c r="G514" s="3">
        <f>'Monthly CFS'!C514 * 86400 * DAY(EOMONTH(D514,0)) / 43560</f>
        <v>999.27125673428543</v>
      </c>
      <c r="H514" s="3"/>
    </row>
    <row r="515" spans="1:8" x14ac:dyDescent="0.25">
      <c r="A515" s="2">
        <v>508</v>
      </c>
      <c r="B515" s="2">
        <f t="shared" si="22"/>
        <v>1964</v>
      </c>
      <c r="C515" s="2">
        <f t="shared" si="23"/>
        <v>1</v>
      </c>
      <c r="D515" s="4">
        <v>23407</v>
      </c>
      <c r="E515" s="3">
        <v>94.480039683665979</v>
      </c>
      <c r="F515" s="14">
        <v>1</v>
      </c>
      <c r="G515" s="3">
        <f>'Monthly CFS'!C515 * 86400 * DAY(EOMONTH(D515,0)) / 43560</f>
        <v>921.07216526496916</v>
      </c>
      <c r="H515" s="3"/>
    </row>
    <row r="516" spans="1:8" x14ac:dyDescent="0.25">
      <c r="A516" s="2">
        <v>509</v>
      </c>
      <c r="B516" s="2">
        <f t="shared" si="22"/>
        <v>1964</v>
      </c>
      <c r="C516" s="2">
        <f t="shared" si="23"/>
        <v>2</v>
      </c>
      <c r="D516" s="4">
        <v>23436</v>
      </c>
      <c r="E516" s="3">
        <v>104.8901121621073</v>
      </c>
      <c r="F516" s="14">
        <v>1</v>
      </c>
      <c r="G516" s="3">
        <f>'Monthly CFS'!C516 * 86400 * DAY(EOMONTH(D516,0)) / 43560</f>
        <v>1013.866130956293</v>
      </c>
      <c r="H516" s="3"/>
    </row>
    <row r="517" spans="1:8" x14ac:dyDescent="0.25">
      <c r="A517" s="2">
        <v>510</v>
      </c>
      <c r="B517" s="2">
        <f t="shared" si="22"/>
        <v>1964</v>
      </c>
      <c r="C517" s="2">
        <f t="shared" si="23"/>
        <v>3</v>
      </c>
      <c r="D517" s="4">
        <v>23467</v>
      </c>
      <c r="E517" s="3">
        <v>106.88716825976176</v>
      </c>
      <c r="F517" s="14">
        <v>0.79582364677059092</v>
      </c>
      <c r="G517" s="3">
        <f>'Monthly CFS'!C517 * 86400 * DAY(EOMONTH(D517,0)) / 43560</f>
        <v>971.822880555805</v>
      </c>
      <c r="H517" s="3"/>
    </row>
    <row r="518" spans="1:8" x14ac:dyDescent="0.25">
      <c r="A518" s="2">
        <v>511</v>
      </c>
      <c r="B518" s="2">
        <f t="shared" si="22"/>
        <v>1964</v>
      </c>
      <c r="C518" s="2">
        <f t="shared" si="23"/>
        <v>4</v>
      </c>
      <c r="D518" s="4">
        <v>23497</v>
      </c>
      <c r="E518" s="3">
        <v>181.23525201198257</v>
      </c>
      <c r="F518" s="14">
        <v>0.74593239305872694</v>
      </c>
      <c r="G518" s="3">
        <f>'Monthly CFS'!C518 * 86400 * DAY(EOMONTH(D518,0)) / 43560</f>
        <v>1440.1890010497145</v>
      </c>
      <c r="H518" s="3"/>
    </row>
    <row r="519" spans="1:8" x14ac:dyDescent="0.25">
      <c r="A519" s="2">
        <v>512</v>
      </c>
      <c r="B519" s="2">
        <f t="shared" si="22"/>
        <v>1964</v>
      </c>
      <c r="C519" s="2">
        <f t="shared" si="23"/>
        <v>5</v>
      </c>
      <c r="D519" s="4">
        <v>23528</v>
      </c>
      <c r="E519" s="3">
        <v>220.07156033713082</v>
      </c>
      <c r="F519" s="14">
        <v>0.75</v>
      </c>
      <c r="G519" s="3">
        <f>'Monthly CFS'!C519 * 86400 * DAY(EOMONTH(D519,0)) / 43560</f>
        <v>2124.7858703183188</v>
      </c>
      <c r="H519" s="3"/>
    </row>
    <row r="520" spans="1:8" x14ac:dyDescent="0.25">
      <c r="A520" s="2">
        <v>513</v>
      </c>
      <c r="B520" s="2">
        <f t="shared" si="22"/>
        <v>1964</v>
      </c>
      <c r="C520" s="2">
        <f t="shared" si="23"/>
        <v>6</v>
      </c>
      <c r="D520" s="4">
        <v>23558</v>
      </c>
      <c r="E520" s="3">
        <v>257.70906701703865</v>
      </c>
      <c r="F520" s="14">
        <v>0.74999999999999989</v>
      </c>
      <c r="G520" s="3">
        <f>'Monthly CFS'!C520 * 86400 * DAY(EOMONTH(D520,0)) / 43560</f>
        <v>2794.1694825422956</v>
      </c>
      <c r="H520" s="3"/>
    </row>
    <row r="521" spans="1:8" x14ac:dyDescent="0.25">
      <c r="A521" s="2">
        <v>514</v>
      </c>
      <c r="B521" s="2">
        <f t="shared" ref="B521:B584" si="24">YEAR(D521)</f>
        <v>1964</v>
      </c>
      <c r="C521" s="2">
        <f t="shared" ref="C521:C584" si="25">MONTH(D521)</f>
        <v>7</v>
      </c>
      <c r="D521" s="4">
        <v>23589</v>
      </c>
      <c r="E521" s="3">
        <v>288.24290179325095</v>
      </c>
      <c r="F521" s="14">
        <v>0.75</v>
      </c>
      <c r="G521" s="3">
        <f>'Monthly CFS'!C521 * 86400 * DAY(EOMONTH(D521,0)) / 43560</f>
        <v>3585.2591511232854</v>
      </c>
      <c r="H521" s="3"/>
    </row>
    <row r="522" spans="1:8" x14ac:dyDescent="0.25">
      <c r="A522" s="2">
        <v>515</v>
      </c>
      <c r="B522" s="2">
        <f t="shared" si="24"/>
        <v>1964</v>
      </c>
      <c r="C522" s="2">
        <f t="shared" si="25"/>
        <v>8</v>
      </c>
      <c r="D522" s="4">
        <v>23620</v>
      </c>
      <c r="E522" s="3">
        <v>279.99483921206041</v>
      </c>
      <c r="F522" s="14">
        <v>0.75</v>
      </c>
      <c r="G522" s="3">
        <f>'Monthly CFS'!C522 * 86400 * DAY(EOMONTH(D522,0)) / 43560</f>
        <v>3919.951032800373</v>
      </c>
      <c r="H522" s="3"/>
    </row>
    <row r="523" spans="1:8" x14ac:dyDescent="0.25">
      <c r="A523" s="2">
        <v>516</v>
      </c>
      <c r="B523" s="2">
        <f t="shared" si="24"/>
        <v>1964</v>
      </c>
      <c r="C523" s="2">
        <f t="shared" si="25"/>
        <v>9</v>
      </c>
      <c r="D523" s="4">
        <v>23650</v>
      </c>
      <c r="E523" s="3">
        <v>253.56663201676474</v>
      </c>
      <c r="F523" s="14">
        <v>0.75</v>
      </c>
      <c r="G523" s="3">
        <f>'Monthly CFS'!C523 * 86400 * DAY(EOMONTH(D523,0)) / 43560</f>
        <v>3306.3492749140801</v>
      </c>
      <c r="H523" s="3"/>
    </row>
    <row r="524" spans="1:8" x14ac:dyDescent="0.25">
      <c r="A524" s="2">
        <v>517</v>
      </c>
      <c r="B524" s="2">
        <f t="shared" si="24"/>
        <v>1964</v>
      </c>
      <c r="C524" s="2">
        <f t="shared" si="25"/>
        <v>10</v>
      </c>
      <c r="D524" s="4">
        <v>23681</v>
      </c>
      <c r="E524" s="3">
        <v>216.07475469170527</v>
      </c>
      <c r="F524" s="14">
        <v>0.75</v>
      </c>
      <c r="G524" s="3">
        <f>'Monthly CFS'!C524 * 86400 * DAY(EOMONTH(D524,0)) / 43560</f>
        <v>2251.5630249510577</v>
      </c>
      <c r="H524" s="3"/>
    </row>
    <row r="525" spans="1:8" x14ac:dyDescent="0.25">
      <c r="A525" s="2">
        <v>518</v>
      </c>
      <c r="B525" s="2">
        <f t="shared" si="24"/>
        <v>1964</v>
      </c>
      <c r="C525" s="2">
        <f t="shared" si="25"/>
        <v>11</v>
      </c>
      <c r="D525" s="4">
        <v>23711</v>
      </c>
      <c r="E525" s="3">
        <v>174.85540601156069</v>
      </c>
      <c r="F525" s="14">
        <v>0.75000000000000011</v>
      </c>
      <c r="G525" s="3">
        <f>'Monthly CFS'!C525 * 86400 * DAY(EOMONTH(D525,0)) / 43560</f>
        <v>1430.0468422808128</v>
      </c>
      <c r="H525" s="3"/>
    </row>
    <row r="526" spans="1:8" x14ac:dyDescent="0.25">
      <c r="A526" s="2">
        <v>519</v>
      </c>
      <c r="B526" s="2">
        <f t="shared" si="24"/>
        <v>1964</v>
      </c>
      <c r="C526" s="2">
        <f t="shared" si="25"/>
        <v>12</v>
      </c>
      <c r="D526" s="4">
        <v>23742</v>
      </c>
      <c r="E526" s="3">
        <v>153.1868782359345</v>
      </c>
      <c r="F526" s="14">
        <v>0.75</v>
      </c>
      <c r="G526" s="3">
        <f>'Monthly CFS'!C526 * 86400 * DAY(EOMONTH(D526,0)) / 43560</f>
        <v>1176.4924196676839</v>
      </c>
      <c r="H526" s="3"/>
    </row>
    <row r="527" spans="1:8" x14ac:dyDescent="0.25">
      <c r="A527" s="2">
        <v>520</v>
      </c>
      <c r="B527" s="2">
        <f t="shared" si="24"/>
        <v>1965</v>
      </c>
      <c r="C527" s="2">
        <f t="shared" si="25"/>
        <v>1</v>
      </c>
      <c r="D527" s="4">
        <v>23773</v>
      </c>
      <c r="E527" s="3">
        <v>148.33069936464571</v>
      </c>
      <c r="F527" s="14">
        <v>0.75</v>
      </c>
      <c r="G527" s="3">
        <f>'Monthly CFS'!C527 * 86400 * DAY(EOMONTH(D527,0)) / 43560</f>
        <v>992.59677544180101</v>
      </c>
      <c r="H527" s="3"/>
    </row>
    <row r="528" spans="1:8" x14ac:dyDescent="0.25">
      <c r="A528" s="2">
        <v>521</v>
      </c>
      <c r="B528" s="2">
        <f t="shared" si="24"/>
        <v>1965</v>
      </c>
      <c r="C528" s="2">
        <f t="shared" si="25"/>
        <v>2</v>
      </c>
      <c r="D528" s="4">
        <v>23801</v>
      </c>
      <c r="E528" s="3">
        <v>145.70191233106175</v>
      </c>
      <c r="F528" s="14">
        <v>0.75000000000000011</v>
      </c>
      <c r="G528" s="3">
        <f>'Monthly CFS'!C528 * 86400 * DAY(EOMONTH(D528,0)) / 43560</f>
        <v>1083.2833765738271</v>
      </c>
      <c r="H528" s="3"/>
    </row>
    <row r="529" spans="1:8" x14ac:dyDescent="0.25">
      <c r="A529" s="2">
        <v>522</v>
      </c>
      <c r="B529" s="2">
        <f t="shared" si="24"/>
        <v>1965</v>
      </c>
      <c r="C529" s="2">
        <f t="shared" si="25"/>
        <v>3</v>
      </c>
      <c r="D529" s="4">
        <v>23832</v>
      </c>
      <c r="E529" s="3">
        <v>95.988743796674413</v>
      </c>
      <c r="F529" s="14">
        <v>1</v>
      </c>
      <c r="G529" s="3">
        <f>'Monthly CFS'!C529 * 86400 * DAY(EOMONTH(D529,0)) / 43560</f>
        <v>1031.3815144092825</v>
      </c>
      <c r="H529" s="3"/>
    </row>
    <row r="530" spans="1:8" x14ac:dyDescent="0.25">
      <c r="A530" s="2">
        <v>523</v>
      </c>
      <c r="B530" s="2">
        <f t="shared" si="24"/>
        <v>1965</v>
      </c>
      <c r="C530" s="2">
        <f t="shared" si="25"/>
        <v>4</v>
      </c>
      <c r="D530" s="4">
        <v>23862</v>
      </c>
      <c r="E530" s="3">
        <v>127.84175342511904</v>
      </c>
      <c r="F530" s="14">
        <v>1</v>
      </c>
      <c r="G530" s="3">
        <f>'Monthly CFS'!C530 * 86400 * DAY(EOMONTH(D530,0)) / 43560</f>
        <v>1193.4624104746563</v>
      </c>
      <c r="H530" s="3"/>
    </row>
    <row r="531" spans="1:8" x14ac:dyDescent="0.25">
      <c r="A531" s="2">
        <v>524</v>
      </c>
      <c r="B531" s="2">
        <f t="shared" si="24"/>
        <v>1965</v>
      </c>
      <c r="C531" s="2">
        <f t="shared" si="25"/>
        <v>5</v>
      </c>
      <c r="D531" s="4">
        <v>23893</v>
      </c>
      <c r="E531" s="3">
        <v>173.69722718890347</v>
      </c>
      <c r="F531" s="14">
        <v>1</v>
      </c>
      <c r="G531" s="3">
        <f>'Monthly CFS'!C531 * 86400 * DAY(EOMONTH(D531,0)) / 43560</f>
        <v>2304.0392106647905</v>
      </c>
      <c r="H531" s="3"/>
    </row>
    <row r="532" spans="1:8" x14ac:dyDescent="0.25">
      <c r="A532" s="2">
        <v>525</v>
      </c>
      <c r="B532" s="2">
        <f t="shared" si="24"/>
        <v>1965</v>
      </c>
      <c r="C532" s="2">
        <f t="shared" si="25"/>
        <v>6</v>
      </c>
      <c r="D532" s="4">
        <v>23923</v>
      </c>
      <c r="E532" s="3">
        <v>230.63820084858216</v>
      </c>
      <c r="F532" s="14">
        <v>1</v>
      </c>
      <c r="G532" s="3">
        <f>'Monthly CFS'!C532 * 86400 * DAY(EOMONTH(D532,0)) / 43560</f>
        <v>3029.8940420080662</v>
      </c>
      <c r="H532" s="3"/>
    </row>
    <row r="533" spans="1:8" x14ac:dyDescent="0.25">
      <c r="A533" s="2">
        <v>526</v>
      </c>
      <c r="B533" s="2">
        <f t="shared" si="24"/>
        <v>1965</v>
      </c>
      <c r="C533" s="2">
        <f t="shared" si="25"/>
        <v>7</v>
      </c>
      <c r="D533" s="4">
        <v>23954</v>
      </c>
      <c r="E533" s="3">
        <v>271.71188667119026</v>
      </c>
      <c r="F533" s="14">
        <v>1</v>
      </c>
      <c r="G533" s="3">
        <f>'Monthly CFS'!C533 * 86400 * DAY(EOMONTH(D533,0)) / 43560</f>
        <v>3887.7224194573919</v>
      </c>
      <c r="H533" s="3"/>
    </row>
    <row r="534" spans="1:8" x14ac:dyDescent="0.25">
      <c r="A534" s="2">
        <v>527</v>
      </c>
      <c r="B534" s="2">
        <f t="shared" si="24"/>
        <v>1965</v>
      </c>
      <c r="C534" s="2">
        <f t="shared" si="25"/>
        <v>8</v>
      </c>
      <c r="D534" s="4">
        <v>23985</v>
      </c>
      <c r="E534" s="3">
        <v>282.21761897027193</v>
      </c>
      <c r="F534" s="14">
        <v>1</v>
      </c>
      <c r="G534" s="3">
        <f>'Monthly CFS'!C534 * 86400 * DAY(EOMONTH(D534,0)) / 43560</f>
        <v>4250.6499170690286</v>
      </c>
      <c r="H534" s="3"/>
    </row>
    <row r="535" spans="1:8" x14ac:dyDescent="0.25">
      <c r="A535" s="2">
        <v>528</v>
      </c>
      <c r="B535" s="2">
        <f t="shared" si="24"/>
        <v>1965</v>
      </c>
      <c r="C535" s="2">
        <f t="shared" si="25"/>
        <v>9</v>
      </c>
      <c r="D535" s="4">
        <v>24015</v>
      </c>
      <c r="E535" s="3">
        <v>245.1867013912107</v>
      </c>
      <c r="F535" s="14">
        <v>1</v>
      </c>
      <c r="G535" s="3">
        <f>'Monthly CFS'!C535 * 86400 * DAY(EOMONTH(D535,0)) / 43560</f>
        <v>3585.2828654276959</v>
      </c>
      <c r="H535" s="3"/>
    </row>
    <row r="536" spans="1:8" x14ac:dyDescent="0.25">
      <c r="A536" s="2">
        <v>529</v>
      </c>
      <c r="B536" s="2">
        <f t="shared" si="24"/>
        <v>1965</v>
      </c>
      <c r="C536" s="2">
        <f t="shared" si="25"/>
        <v>10</v>
      </c>
      <c r="D536" s="4">
        <v>24046</v>
      </c>
      <c r="E536" s="3">
        <v>208.40764336055321</v>
      </c>
      <c r="F536" s="14">
        <v>1</v>
      </c>
      <c r="G536" s="3">
        <f>'Monthly CFS'!C536 * 86400 * DAY(EOMONTH(D536,0)) / 43560</f>
        <v>2441.511668181925</v>
      </c>
      <c r="H536" s="3"/>
    </row>
    <row r="537" spans="1:8" x14ac:dyDescent="0.25">
      <c r="A537" s="2">
        <v>530</v>
      </c>
      <c r="B537" s="2">
        <f t="shared" si="24"/>
        <v>1965</v>
      </c>
      <c r="C537" s="2">
        <f t="shared" si="25"/>
        <v>11</v>
      </c>
      <c r="D537" s="4">
        <v>24076</v>
      </c>
      <c r="E537" s="3">
        <v>139.9081154259168</v>
      </c>
      <c r="F537" s="14">
        <v>1</v>
      </c>
      <c r="G537" s="3">
        <f>'Monthly CFS'!C537 * 86400 * DAY(EOMONTH(D537,0)) / 43560</f>
        <v>1550.6899042060882</v>
      </c>
      <c r="H537" s="3"/>
    </row>
    <row r="538" spans="1:8" x14ac:dyDescent="0.25">
      <c r="A538" s="2">
        <v>531</v>
      </c>
      <c r="B538" s="2">
        <f t="shared" si="24"/>
        <v>1965</v>
      </c>
      <c r="C538" s="2">
        <f t="shared" si="25"/>
        <v>12</v>
      </c>
      <c r="D538" s="4">
        <v>24107</v>
      </c>
      <c r="E538" s="3">
        <v>100.09781597436</v>
      </c>
      <c r="F538" s="14">
        <v>1</v>
      </c>
      <c r="G538" s="3">
        <f>'Monthly CFS'!C538 * 86400 * DAY(EOMONTH(D538,0)) / 43560</f>
        <v>1275.7448662618172</v>
      </c>
      <c r="H538" s="3"/>
    </row>
    <row r="539" spans="1:8" x14ac:dyDescent="0.25">
      <c r="A539" s="2">
        <v>532</v>
      </c>
      <c r="B539" s="2">
        <f t="shared" si="24"/>
        <v>1966</v>
      </c>
      <c r="C539" s="2">
        <f t="shared" si="25"/>
        <v>1</v>
      </c>
      <c r="D539" s="4">
        <v>24138</v>
      </c>
      <c r="E539" s="3">
        <v>94.480039683665964</v>
      </c>
      <c r="F539" s="14">
        <v>1</v>
      </c>
      <c r="G539" s="3">
        <f>'Monthly CFS'!C539 * 86400 * DAY(EOMONTH(D539,0)) / 43560</f>
        <v>787.56580416032034</v>
      </c>
      <c r="H539" s="3"/>
    </row>
    <row r="540" spans="1:8" x14ac:dyDescent="0.25">
      <c r="A540" s="2">
        <v>533</v>
      </c>
      <c r="B540" s="2">
        <f t="shared" si="24"/>
        <v>1966</v>
      </c>
      <c r="C540" s="2">
        <f t="shared" si="25"/>
        <v>2</v>
      </c>
      <c r="D540" s="4">
        <v>24166</v>
      </c>
      <c r="E540" s="3">
        <v>108.63618759646828</v>
      </c>
      <c r="F540" s="14">
        <v>1</v>
      </c>
      <c r="G540" s="3">
        <f>'Monthly CFS'!C540 * 86400 * DAY(EOMONTH(D540,0)) / 43560</f>
        <v>659.45231632870173</v>
      </c>
      <c r="H540" s="3"/>
    </row>
    <row r="541" spans="1:8" x14ac:dyDescent="0.25">
      <c r="A541" s="2">
        <v>534</v>
      </c>
      <c r="B541" s="2">
        <f t="shared" si="24"/>
        <v>1966</v>
      </c>
      <c r="C541" s="2">
        <f t="shared" si="25"/>
        <v>3</v>
      </c>
      <c r="D541" s="4">
        <v>24197</v>
      </c>
      <c r="E541" s="3">
        <v>106.88716825976077</v>
      </c>
      <c r="F541" s="14">
        <v>1</v>
      </c>
      <c r="G541" s="3">
        <f>'Monthly CFS'!C541 * 86400 * DAY(EOMONTH(D541,0)) / 43560</f>
        <v>801.83962985686037</v>
      </c>
      <c r="H541" s="3"/>
    </row>
    <row r="542" spans="1:8" x14ac:dyDescent="0.25">
      <c r="A542" s="2">
        <v>535</v>
      </c>
      <c r="B542" s="2">
        <f t="shared" si="24"/>
        <v>1966</v>
      </c>
      <c r="C542" s="2">
        <f t="shared" si="25"/>
        <v>4</v>
      </c>
      <c r="D542" s="4">
        <v>24227</v>
      </c>
      <c r="E542" s="3">
        <v>155.35965745471617</v>
      </c>
      <c r="F542" s="14">
        <v>1</v>
      </c>
      <c r="G542" s="3">
        <f>'Monthly CFS'!C542 * 86400 * DAY(EOMONTH(D542,0)) / 43560</f>
        <v>1175.9124471362768</v>
      </c>
      <c r="H542" s="3"/>
    </row>
    <row r="543" spans="1:8" x14ac:dyDescent="0.25">
      <c r="A543" s="2">
        <v>536</v>
      </c>
      <c r="B543" s="2">
        <f t="shared" si="24"/>
        <v>1966</v>
      </c>
      <c r="C543" s="2">
        <f t="shared" si="25"/>
        <v>5</v>
      </c>
      <c r="D543" s="4">
        <v>24258</v>
      </c>
      <c r="E543" s="3">
        <v>189.91672423298655</v>
      </c>
      <c r="F543" s="14">
        <v>1</v>
      </c>
      <c r="G543" s="3">
        <f>'Monthly CFS'!C543 * 86400 * DAY(EOMONTH(D543,0)) / 43560</f>
        <v>1734.8849009299902</v>
      </c>
      <c r="H543" s="3"/>
    </row>
    <row r="544" spans="1:8" x14ac:dyDescent="0.25">
      <c r="A544" s="2">
        <v>537</v>
      </c>
      <c r="B544" s="2">
        <f t="shared" si="24"/>
        <v>1966</v>
      </c>
      <c r="C544" s="2">
        <f t="shared" si="25"/>
        <v>6</v>
      </c>
      <c r="D544" s="4">
        <v>24288</v>
      </c>
      <c r="E544" s="3">
        <v>249.9422753220806</v>
      </c>
      <c r="F544" s="14">
        <v>1</v>
      </c>
      <c r="G544" s="3">
        <f>'Monthly CFS'!C544 * 86400 * DAY(EOMONTH(D544,0)) / 43560</f>
        <v>2281.4357501237387</v>
      </c>
      <c r="H544" s="3"/>
    </row>
    <row r="545" spans="1:8" x14ac:dyDescent="0.25">
      <c r="A545" s="2">
        <v>538</v>
      </c>
      <c r="B545" s="2">
        <f t="shared" si="24"/>
        <v>1966</v>
      </c>
      <c r="C545" s="2">
        <f t="shared" si="25"/>
        <v>7</v>
      </c>
      <c r="D545" s="4">
        <v>24319</v>
      </c>
      <c r="E545" s="3">
        <v>278.83348316359661</v>
      </c>
      <c r="F545" s="14">
        <v>1</v>
      </c>
      <c r="G545" s="3">
        <f>'Monthly CFS'!C545 * 86400 * DAY(EOMONTH(D545,0)) / 43560</f>
        <v>2927.3594361172172</v>
      </c>
      <c r="H545" s="3"/>
    </row>
    <row r="546" spans="1:8" x14ac:dyDescent="0.25">
      <c r="A546" s="2">
        <v>539</v>
      </c>
      <c r="B546" s="2">
        <f t="shared" si="24"/>
        <v>1966</v>
      </c>
      <c r="C546" s="2">
        <f t="shared" si="25"/>
        <v>8</v>
      </c>
      <c r="D546" s="4">
        <v>24350</v>
      </c>
      <c r="E546" s="3">
        <v>281.64601106700837</v>
      </c>
      <c r="F546" s="14">
        <v>1</v>
      </c>
      <c r="G546" s="3">
        <f>'Monthly CFS'!C546 * 86400 * DAY(EOMONTH(D546,0)) / 43560</f>
        <v>3200.6349224128971</v>
      </c>
      <c r="H546" s="3"/>
    </row>
    <row r="547" spans="1:8" x14ac:dyDescent="0.25">
      <c r="A547" s="2">
        <v>540</v>
      </c>
      <c r="B547" s="2">
        <f t="shared" si="24"/>
        <v>1966</v>
      </c>
      <c r="C547" s="2">
        <f t="shared" si="25"/>
        <v>9</v>
      </c>
      <c r="D547" s="4">
        <v>24380</v>
      </c>
      <c r="E547" s="3">
        <v>247.80503551638381</v>
      </c>
      <c r="F547" s="14">
        <v>1</v>
      </c>
      <c r="G547" s="3">
        <f>'Monthly CFS'!C547 * 86400 * DAY(EOMONTH(D547,0)) / 43560</f>
        <v>2699.6298847704197</v>
      </c>
      <c r="H547" s="3"/>
    </row>
    <row r="548" spans="1:8" x14ac:dyDescent="0.25">
      <c r="A548" s="2">
        <v>541</v>
      </c>
      <c r="B548" s="2">
        <f t="shared" si="24"/>
        <v>1966</v>
      </c>
      <c r="C548" s="2">
        <f t="shared" si="25"/>
        <v>10</v>
      </c>
      <c r="D548" s="4">
        <v>24411</v>
      </c>
      <c r="E548" s="3">
        <v>213.68325149262245</v>
      </c>
      <c r="F548" s="14">
        <v>1</v>
      </c>
      <c r="G548" s="3">
        <f>'Monthly CFS'!C548 * 86400 * DAY(EOMONTH(D548,0)) / 43560</f>
        <v>1838.398282879512</v>
      </c>
      <c r="H548" s="3"/>
    </row>
    <row r="549" spans="1:8" x14ac:dyDescent="0.25">
      <c r="A549" s="2">
        <v>542</v>
      </c>
      <c r="B549" s="2">
        <f t="shared" si="24"/>
        <v>1966</v>
      </c>
      <c r="C549" s="2">
        <f t="shared" si="25"/>
        <v>11</v>
      </c>
      <c r="D549" s="4">
        <v>24441</v>
      </c>
      <c r="E549" s="3">
        <v>158.89264570494973</v>
      </c>
      <c r="F549" s="14">
        <v>1</v>
      </c>
      <c r="G549" s="3">
        <f>'Monthly CFS'!C549 * 86400 * DAY(EOMONTH(D549,0)) / 43560</f>
        <v>1167.6313876860997</v>
      </c>
      <c r="H549" s="3"/>
    </row>
    <row r="550" spans="1:8" x14ac:dyDescent="0.25">
      <c r="A550" s="2">
        <v>543</v>
      </c>
      <c r="B550" s="2">
        <f t="shared" si="24"/>
        <v>1966</v>
      </c>
      <c r="C550" s="2">
        <f t="shared" si="25"/>
        <v>12</v>
      </c>
      <c r="D550" s="4">
        <v>24472</v>
      </c>
      <c r="E550" s="3">
        <v>140.7197017834973</v>
      </c>
      <c r="F550" s="14">
        <v>1</v>
      </c>
      <c r="G550" s="3">
        <f>'Monthly CFS'!C550 * 86400 * DAY(EOMONTH(D550,0)) / 43560</f>
        <v>960.60453123884793</v>
      </c>
      <c r="H550" s="3"/>
    </row>
    <row r="551" spans="1:8" x14ac:dyDescent="0.25">
      <c r="A551" s="2">
        <v>544</v>
      </c>
      <c r="B551" s="2">
        <f t="shared" si="24"/>
        <v>1967</v>
      </c>
      <c r="C551" s="2">
        <f t="shared" si="25"/>
        <v>1</v>
      </c>
      <c r="D551" s="4">
        <v>24503</v>
      </c>
      <c r="E551" s="3">
        <v>120.71654124454039</v>
      </c>
      <c r="F551" s="14">
        <v>1</v>
      </c>
      <c r="G551" s="3">
        <f>'Monthly CFS'!C551 * 86400 * DAY(EOMONTH(D551,0)) / 43560</f>
        <v>819.49926909370186</v>
      </c>
      <c r="H551" s="3"/>
    </row>
    <row r="552" spans="1:8" x14ac:dyDescent="0.25">
      <c r="A552" s="2">
        <v>545</v>
      </c>
      <c r="B552" s="2">
        <f t="shared" si="24"/>
        <v>1967</v>
      </c>
      <c r="C552" s="2">
        <f t="shared" si="25"/>
        <v>2</v>
      </c>
      <c r="D552" s="4">
        <v>24531</v>
      </c>
      <c r="E552" s="3">
        <v>114.45563578137684</v>
      </c>
      <c r="F552" s="14">
        <v>1</v>
      </c>
      <c r="G552" s="3">
        <f>'Monthly CFS'!C552 * 86400 * DAY(EOMONTH(D552,0)) / 43560</f>
        <v>1083.2833765738274</v>
      </c>
      <c r="H552" s="3"/>
    </row>
    <row r="553" spans="1:8" x14ac:dyDescent="0.25">
      <c r="A553" s="2">
        <v>546</v>
      </c>
      <c r="B553" s="2">
        <f t="shared" si="24"/>
        <v>1967</v>
      </c>
      <c r="C553" s="2">
        <f t="shared" si="25"/>
        <v>3</v>
      </c>
      <c r="D553" s="4">
        <v>24562</v>
      </c>
      <c r="E553" s="3">
        <v>96.914806888134024</v>
      </c>
      <c r="F553" s="14">
        <v>1</v>
      </c>
      <c r="G553" s="3">
        <f>'Monthly CFS'!C553 * 86400 * DAY(EOMONTH(D553,0)) / 43560</f>
        <v>1314.2371232294161</v>
      </c>
      <c r="H553" s="3"/>
    </row>
    <row r="554" spans="1:8" x14ac:dyDescent="0.25">
      <c r="A554" s="2">
        <v>547</v>
      </c>
      <c r="B554" s="2">
        <f t="shared" si="24"/>
        <v>1967</v>
      </c>
      <c r="C554" s="2">
        <f t="shared" si="25"/>
        <v>4</v>
      </c>
      <c r="D554" s="4">
        <v>24592</v>
      </c>
      <c r="E554" s="3">
        <v>127.84175342511904</v>
      </c>
      <c r="F554" s="14">
        <v>1</v>
      </c>
      <c r="G554" s="3">
        <f>'Monthly CFS'!C554 * 86400 * DAY(EOMONTH(D554,0)) / 43560</f>
        <v>1561.687686058259</v>
      </c>
      <c r="H554" s="3"/>
    </row>
    <row r="555" spans="1:8" x14ac:dyDescent="0.25">
      <c r="A555" s="2">
        <v>548</v>
      </c>
      <c r="B555" s="2">
        <f t="shared" si="24"/>
        <v>1967</v>
      </c>
      <c r="C555" s="2">
        <f t="shared" si="25"/>
        <v>5</v>
      </c>
      <c r="D555" s="4">
        <v>24623</v>
      </c>
      <c r="E555" s="3">
        <v>173.69722718890347</v>
      </c>
      <c r="F555" s="14">
        <v>1</v>
      </c>
      <c r="G555" s="3">
        <f>'Monthly CFS'!C555 * 86400 * DAY(EOMONTH(D555,0)) / 43560</f>
        <v>2304.0392106647905</v>
      </c>
      <c r="H555" s="3"/>
    </row>
    <row r="556" spans="1:8" x14ac:dyDescent="0.25">
      <c r="A556" s="2">
        <v>549</v>
      </c>
      <c r="B556" s="2">
        <f t="shared" si="24"/>
        <v>1967</v>
      </c>
      <c r="C556" s="2">
        <f t="shared" si="25"/>
        <v>6</v>
      </c>
      <c r="D556" s="4">
        <v>24653</v>
      </c>
      <c r="E556" s="3">
        <v>230.63820084858213</v>
      </c>
      <c r="F556" s="14">
        <v>1</v>
      </c>
      <c r="G556" s="3">
        <f>'Monthly CFS'!C556 * 86400 * DAY(EOMONTH(D556,0)) / 43560</f>
        <v>3029.8940420080662</v>
      </c>
      <c r="H556" s="3"/>
    </row>
    <row r="557" spans="1:8" x14ac:dyDescent="0.25">
      <c r="A557" s="2">
        <v>550</v>
      </c>
      <c r="B557" s="2">
        <f t="shared" si="24"/>
        <v>1967</v>
      </c>
      <c r="C557" s="2">
        <f t="shared" si="25"/>
        <v>7</v>
      </c>
      <c r="D557" s="4">
        <v>24684</v>
      </c>
      <c r="E557" s="3">
        <v>271.71188667119026</v>
      </c>
      <c r="F557" s="14">
        <v>1</v>
      </c>
      <c r="G557" s="3">
        <f>'Monthly CFS'!C557 * 86400 * DAY(EOMONTH(D557,0)) / 43560</f>
        <v>3887.7224194573919</v>
      </c>
      <c r="H557" s="3"/>
    </row>
    <row r="558" spans="1:8" x14ac:dyDescent="0.25">
      <c r="A558" s="2">
        <v>551</v>
      </c>
      <c r="B558" s="2">
        <f t="shared" si="24"/>
        <v>1967</v>
      </c>
      <c r="C558" s="2">
        <f t="shared" si="25"/>
        <v>8</v>
      </c>
      <c r="D558" s="4">
        <v>24715</v>
      </c>
      <c r="E558" s="3">
        <v>282.21761897027193</v>
      </c>
      <c r="F558" s="14">
        <v>0.99999999999999989</v>
      </c>
      <c r="G558" s="3">
        <f>'Monthly CFS'!C558 * 86400 * DAY(EOMONTH(D558,0)) / 43560</f>
        <v>4250.6499170690267</v>
      </c>
      <c r="H558" s="3"/>
    </row>
    <row r="559" spans="1:8" x14ac:dyDescent="0.25">
      <c r="A559" s="2">
        <v>552</v>
      </c>
      <c r="B559" s="2">
        <f t="shared" si="24"/>
        <v>1967</v>
      </c>
      <c r="C559" s="2">
        <f t="shared" si="25"/>
        <v>9</v>
      </c>
      <c r="D559" s="4">
        <v>24745</v>
      </c>
      <c r="E559" s="3">
        <v>245.18670139121073</v>
      </c>
      <c r="F559" s="14">
        <v>1</v>
      </c>
      <c r="G559" s="3">
        <f>'Monthly CFS'!C559 * 86400 * DAY(EOMONTH(D559,0)) / 43560</f>
        <v>3585.2828654276932</v>
      </c>
      <c r="H559" s="3"/>
    </row>
    <row r="560" spans="1:8" x14ac:dyDescent="0.25">
      <c r="A560" s="2">
        <v>553</v>
      </c>
      <c r="B560" s="2">
        <f t="shared" si="24"/>
        <v>1967</v>
      </c>
      <c r="C560" s="2">
        <f t="shared" si="25"/>
        <v>10</v>
      </c>
      <c r="D560" s="4">
        <v>24776</v>
      </c>
      <c r="E560" s="3">
        <v>208.40764336055321</v>
      </c>
      <c r="F560" s="14">
        <v>1</v>
      </c>
      <c r="G560" s="3">
        <f>'Monthly CFS'!C560 * 86400 * DAY(EOMONTH(D560,0)) / 43560</f>
        <v>2441.5116681819263</v>
      </c>
      <c r="H560" s="3"/>
    </row>
    <row r="561" spans="1:8" x14ac:dyDescent="0.25">
      <c r="A561" s="2">
        <v>554</v>
      </c>
      <c r="B561" s="2">
        <f t="shared" si="24"/>
        <v>1967</v>
      </c>
      <c r="C561" s="2">
        <f t="shared" si="25"/>
        <v>11</v>
      </c>
      <c r="D561" s="4">
        <v>24806</v>
      </c>
      <c r="E561" s="3">
        <v>139.9081154259168</v>
      </c>
      <c r="F561" s="14">
        <v>1</v>
      </c>
      <c r="G561" s="3">
        <f>'Monthly CFS'!C561 * 86400 * DAY(EOMONTH(D561,0)) / 43560</f>
        <v>1550.6899042060875</v>
      </c>
      <c r="H561" s="3"/>
    </row>
    <row r="562" spans="1:8" x14ac:dyDescent="0.25">
      <c r="A562" s="2">
        <v>555</v>
      </c>
      <c r="B562" s="2">
        <f t="shared" si="24"/>
        <v>1967</v>
      </c>
      <c r="C562" s="2">
        <f t="shared" si="25"/>
        <v>12</v>
      </c>
      <c r="D562" s="4">
        <v>24837</v>
      </c>
      <c r="E562" s="3">
        <v>100.09781597435999</v>
      </c>
      <c r="F562" s="14">
        <v>1</v>
      </c>
      <c r="G562" s="3">
        <f>'Monthly CFS'!C562 * 86400 * DAY(EOMONTH(D562,0)) / 43560</f>
        <v>1275.7448662618169</v>
      </c>
      <c r="H562" s="3"/>
    </row>
    <row r="563" spans="1:8" x14ac:dyDescent="0.25">
      <c r="A563" s="2">
        <v>556</v>
      </c>
      <c r="B563" s="2">
        <f t="shared" si="24"/>
        <v>1968</v>
      </c>
      <c r="C563" s="2">
        <f t="shared" si="25"/>
        <v>1</v>
      </c>
      <c r="D563" s="4">
        <v>24868</v>
      </c>
      <c r="E563" s="3">
        <v>94.480039683665979</v>
      </c>
      <c r="F563" s="14">
        <v>1</v>
      </c>
      <c r="G563" s="3">
        <f>'Monthly CFS'!C563 * 86400 * DAY(EOMONTH(D563,0)) / 43560</f>
        <v>1215.256922679878</v>
      </c>
      <c r="H563" s="3"/>
    </row>
    <row r="564" spans="1:8" x14ac:dyDescent="0.25">
      <c r="A564" s="2">
        <v>557</v>
      </c>
      <c r="B564" s="2">
        <f t="shared" si="24"/>
        <v>1968</v>
      </c>
      <c r="C564" s="2">
        <f t="shared" si="25"/>
        <v>2</v>
      </c>
      <c r="D564" s="4">
        <v>24897</v>
      </c>
      <c r="E564" s="3">
        <v>104.89011216210731</v>
      </c>
      <c r="F564" s="14">
        <v>1</v>
      </c>
      <c r="G564" s="3">
        <f>'Monthly CFS'!C564 * 86400 * DAY(EOMONTH(D564,0)) / 43560</f>
        <v>907.2613549480742</v>
      </c>
      <c r="H564" s="3"/>
    </row>
    <row r="565" spans="1:8" x14ac:dyDescent="0.25">
      <c r="A565" s="2">
        <v>558</v>
      </c>
      <c r="B565" s="2">
        <f t="shared" si="24"/>
        <v>1968</v>
      </c>
      <c r="C565" s="2">
        <f t="shared" si="25"/>
        <v>3</v>
      </c>
      <c r="D565" s="4">
        <v>24928</v>
      </c>
      <c r="E565" s="3">
        <v>106.88716825976071</v>
      </c>
      <c r="F565" s="14">
        <v>0.74999999999999989</v>
      </c>
      <c r="G565" s="3">
        <f>'Monthly CFS'!C565 * 86400 * DAY(EOMONTH(D565,0)) / 43560</f>
        <v>1093.4222964042119</v>
      </c>
      <c r="H565" s="3"/>
    </row>
    <row r="566" spans="1:8" x14ac:dyDescent="0.25">
      <c r="A566" s="2">
        <v>559</v>
      </c>
      <c r="B566" s="2">
        <f t="shared" si="24"/>
        <v>1968</v>
      </c>
      <c r="C566" s="2">
        <f t="shared" si="25"/>
        <v>4</v>
      </c>
      <c r="D566" s="4">
        <v>24958</v>
      </c>
      <c r="E566" s="3">
        <v>155.35965745471617</v>
      </c>
      <c r="F566" s="14">
        <v>0.90875023265189947</v>
      </c>
      <c r="G566" s="3">
        <f>'Monthly CFS'!C566 * 86400 * DAY(EOMONTH(D566,0)) / 43560</f>
        <v>1542.0566967576124</v>
      </c>
      <c r="H566" s="3"/>
    </row>
    <row r="567" spans="1:8" x14ac:dyDescent="0.25">
      <c r="A567" s="2">
        <v>560</v>
      </c>
      <c r="B567" s="2">
        <f t="shared" si="24"/>
        <v>1968</v>
      </c>
      <c r="C567" s="2">
        <f t="shared" si="25"/>
        <v>5</v>
      </c>
      <c r="D567" s="4">
        <v>24989</v>
      </c>
      <c r="E567" s="3">
        <v>189.91672423298658</v>
      </c>
      <c r="F567" s="14">
        <v>0.92632289614658658</v>
      </c>
      <c r="G567" s="3">
        <f>'Monthly CFS'!C567 * 86400 * DAY(EOMONTH(D567,0)) / 43560</f>
        <v>2275.0765893310745</v>
      </c>
      <c r="H567" s="3"/>
    </row>
    <row r="568" spans="1:8" x14ac:dyDescent="0.25">
      <c r="A568" s="2">
        <v>561</v>
      </c>
      <c r="B568" s="2">
        <f t="shared" si="24"/>
        <v>1968</v>
      </c>
      <c r="C568" s="2">
        <f t="shared" si="25"/>
        <v>6</v>
      </c>
      <c r="D568" s="4">
        <v>25019</v>
      </c>
      <c r="E568" s="3">
        <v>249.94227532208063</v>
      </c>
      <c r="F568" s="14">
        <v>0.92632289614658658</v>
      </c>
      <c r="G568" s="3">
        <f>'Monthly CFS'!C568 * 86400 * DAY(EOMONTH(D568,0)) / 43560</f>
        <v>2991.8071581504601</v>
      </c>
      <c r="H568" s="3"/>
    </row>
    <row r="569" spans="1:8" x14ac:dyDescent="0.25">
      <c r="A569" s="2">
        <v>562</v>
      </c>
      <c r="B569" s="2">
        <f t="shared" si="24"/>
        <v>1968</v>
      </c>
      <c r="C569" s="2">
        <f t="shared" si="25"/>
        <v>7</v>
      </c>
      <c r="D569" s="4">
        <v>25050</v>
      </c>
      <c r="E569" s="3">
        <v>278.83348316359661</v>
      </c>
      <c r="F569" s="14">
        <v>0.92632289614658669</v>
      </c>
      <c r="G569" s="3">
        <f>'Monthly CFS'!C569 * 86400 * DAY(EOMONTH(D569,0)) / 43560</f>
        <v>3838.8523170024705</v>
      </c>
      <c r="H569" s="3"/>
    </row>
    <row r="570" spans="1:8" x14ac:dyDescent="0.25">
      <c r="A570" s="2">
        <v>563</v>
      </c>
      <c r="B570" s="2">
        <f t="shared" si="24"/>
        <v>1968</v>
      </c>
      <c r="C570" s="2">
        <f t="shared" si="25"/>
        <v>8</v>
      </c>
      <c r="D570" s="4">
        <v>25081</v>
      </c>
      <c r="E570" s="3">
        <v>281.64601106700837</v>
      </c>
      <c r="F570" s="14">
        <v>0.92632289614658658</v>
      </c>
      <c r="G570" s="3">
        <f>'Monthly CFS'!C570 * 86400 * DAY(EOMONTH(D570,0)) / 43560</f>
        <v>4197.217682322148</v>
      </c>
      <c r="H570" s="3"/>
    </row>
    <row r="571" spans="1:8" x14ac:dyDescent="0.25">
      <c r="A571" s="2">
        <v>564</v>
      </c>
      <c r="B571" s="2">
        <f t="shared" si="24"/>
        <v>1968</v>
      </c>
      <c r="C571" s="2">
        <f t="shared" si="25"/>
        <v>9</v>
      </c>
      <c r="D571" s="4">
        <v>25111</v>
      </c>
      <c r="E571" s="3">
        <v>247.80503551638381</v>
      </c>
      <c r="F571" s="14">
        <v>0.92632289614658658</v>
      </c>
      <c r="G571" s="3">
        <f>'Monthly CFS'!C571 * 86400 * DAY(EOMONTH(D571,0)) / 43560</f>
        <v>3540.2145395394023</v>
      </c>
      <c r="H571" s="3"/>
    </row>
    <row r="572" spans="1:8" x14ac:dyDescent="0.25">
      <c r="A572" s="2">
        <v>565</v>
      </c>
      <c r="B572" s="2">
        <f t="shared" si="24"/>
        <v>1968</v>
      </c>
      <c r="C572" s="2">
        <f t="shared" si="25"/>
        <v>10</v>
      </c>
      <c r="D572" s="4">
        <v>25142</v>
      </c>
      <c r="E572" s="3">
        <v>213.68325149262245</v>
      </c>
      <c r="F572" s="14">
        <v>0.92632289614658658</v>
      </c>
      <c r="G572" s="3">
        <f>'Monthly CFS'!C572 * 86400 * DAY(EOMONTH(D572,0)) / 43560</f>
        <v>2410.8209674333921</v>
      </c>
      <c r="H572" s="3"/>
    </row>
    <row r="573" spans="1:8" x14ac:dyDescent="0.25">
      <c r="A573" s="2">
        <v>566</v>
      </c>
      <c r="B573" s="2">
        <f t="shared" si="24"/>
        <v>1968</v>
      </c>
      <c r="C573" s="2">
        <f t="shared" si="25"/>
        <v>11</v>
      </c>
      <c r="D573" s="4">
        <v>25172</v>
      </c>
      <c r="E573" s="3">
        <v>158.8926457049497</v>
      </c>
      <c r="F573" s="14">
        <v>0.92632289614658658</v>
      </c>
      <c r="G573" s="3">
        <f>'Monthly CFS'!C573 * 86400 * DAY(EOMONTH(D573,0)) / 43560</f>
        <v>1531.1971610732228</v>
      </c>
      <c r="H573" s="3"/>
    </row>
    <row r="574" spans="1:8" x14ac:dyDescent="0.25">
      <c r="A574" s="2">
        <v>567</v>
      </c>
      <c r="B574" s="2">
        <f t="shared" si="24"/>
        <v>1968</v>
      </c>
      <c r="C574" s="2">
        <f t="shared" si="25"/>
        <v>12</v>
      </c>
      <c r="D574" s="4">
        <v>25203</v>
      </c>
      <c r="E574" s="3">
        <v>140.7197017834973</v>
      </c>
      <c r="F574" s="14">
        <v>0.92632289614658658</v>
      </c>
      <c r="G574" s="3">
        <f>'Monthly CFS'!C574 * 86400 * DAY(EOMONTH(D574,0)) / 43560</f>
        <v>1259.7082835036133</v>
      </c>
      <c r="H574" s="3"/>
    </row>
    <row r="575" spans="1:8" x14ac:dyDescent="0.25">
      <c r="A575" s="2">
        <v>568</v>
      </c>
      <c r="B575" s="2">
        <f t="shared" si="24"/>
        <v>1969</v>
      </c>
      <c r="C575" s="2">
        <f t="shared" si="25"/>
        <v>1</v>
      </c>
      <c r="D575" s="4">
        <v>25234</v>
      </c>
      <c r="E575" s="3">
        <v>120.71654124454039</v>
      </c>
      <c r="F575" s="14">
        <v>0.92632289614658658</v>
      </c>
      <c r="G575" s="3">
        <f>'Monthly CFS'!C575 * 86400 * DAY(EOMONTH(D575,0)) / 43560</f>
        <v>718.66140789686665</v>
      </c>
      <c r="H575" s="3"/>
    </row>
    <row r="576" spans="1:8" x14ac:dyDescent="0.25">
      <c r="A576" s="2">
        <v>569</v>
      </c>
      <c r="B576" s="2">
        <f t="shared" si="24"/>
        <v>1969</v>
      </c>
      <c r="C576" s="2">
        <f t="shared" si="25"/>
        <v>2</v>
      </c>
      <c r="D576" s="4">
        <v>25262</v>
      </c>
      <c r="E576" s="3">
        <v>114.45563578137684</v>
      </c>
      <c r="F576" s="14">
        <v>0.92632289614658658</v>
      </c>
      <c r="G576" s="3">
        <f>'Monthly CFS'!C576 * 86400 * DAY(EOMONTH(D576,0)) / 43560</f>
        <v>1083.2833765738271</v>
      </c>
      <c r="H576" s="3"/>
    </row>
    <row r="577" spans="1:8" x14ac:dyDescent="0.25">
      <c r="A577" s="2">
        <v>570</v>
      </c>
      <c r="B577" s="2">
        <f t="shared" si="24"/>
        <v>1969</v>
      </c>
      <c r="C577" s="2">
        <f t="shared" si="25"/>
        <v>3</v>
      </c>
      <c r="D577" s="4">
        <v>25293</v>
      </c>
      <c r="E577" s="3">
        <v>95.988743796674683</v>
      </c>
      <c r="F577" s="14">
        <v>1</v>
      </c>
      <c r="G577" s="3">
        <f>'Monthly CFS'!C577 * 86400 * DAY(EOMONTH(D577,0)) / 43560</f>
        <v>1314.2371232294147</v>
      </c>
      <c r="H577" s="3"/>
    </row>
    <row r="578" spans="1:8" x14ac:dyDescent="0.25">
      <c r="A578" s="2">
        <v>571</v>
      </c>
      <c r="B578" s="2">
        <f t="shared" si="24"/>
        <v>1969</v>
      </c>
      <c r="C578" s="2">
        <f t="shared" si="25"/>
        <v>4</v>
      </c>
      <c r="D578" s="4">
        <v>25323</v>
      </c>
      <c r="E578" s="3">
        <v>127.84175342511905</v>
      </c>
      <c r="F578" s="14">
        <v>1</v>
      </c>
      <c r="G578" s="3">
        <f>'Monthly CFS'!C578 * 86400 * DAY(EOMONTH(D578,0)) / 43560</f>
        <v>1561.6876860582588</v>
      </c>
      <c r="H578" s="3"/>
    </row>
    <row r="579" spans="1:8" x14ac:dyDescent="0.25">
      <c r="A579" s="2">
        <v>572</v>
      </c>
      <c r="B579" s="2">
        <f t="shared" si="24"/>
        <v>1969</v>
      </c>
      <c r="C579" s="2">
        <f t="shared" si="25"/>
        <v>5</v>
      </c>
      <c r="D579" s="4">
        <v>25354</v>
      </c>
      <c r="E579" s="3">
        <v>173.69722718890347</v>
      </c>
      <c r="F579" s="14">
        <v>1</v>
      </c>
      <c r="G579" s="3">
        <f>'Monthly CFS'!C579 * 86400 * DAY(EOMONTH(D579,0)) / 43560</f>
        <v>2304.0392106647892</v>
      </c>
      <c r="H579" s="3"/>
    </row>
    <row r="580" spans="1:8" x14ac:dyDescent="0.25">
      <c r="A580" s="2">
        <v>573</v>
      </c>
      <c r="B580" s="2">
        <f t="shared" si="24"/>
        <v>1969</v>
      </c>
      <c r="C580" s="2">
        <f t="shared" si="25"/>
        <v>6</v>
      </c>
      <c r="D580" s="4">
        <v>25384</v>
      </c>
      <c r="E580" s="3">
        <v>230.63820084858216</v>
      </c>
      <c r="F580" s="14">
        <v>1</v>
      </c>
      <c r="G580" s="3">
        <f>'Monthly CFS'!C580 * 86400 * DAY(EOMONTH(D580,0)) / 43560</f>
        <v>3029.8940420080635</v>
      </c>
      <c r="H580" s="3"/>
    </row>
    <row r="581" spans="1:8" x14ac:dyDescent="0.25">
      <c r="A581" s="2">
        <v>574</v>
      </c>
      <c r="B581" s="2">
        <f t="shared" si="24"/>
        <v>1969</v>
      </c>
      <c r="C581" s="2">
        <f t="shared" si="25"/>
        <v>7</v>
      </c>
      <c r="D581" s="4">
        <v>25415</v>
      </c>
      <c r="E581" s="3">
        <v>271.71188667119026</v>
      </c>
      <c r="F581" s="14">
        <v>1</v>
      </c>
      <c r="G581" s="3">
        <f>'Monthly CFS'!C581 * 86400 * DAY(EOMONTH(D581,0)) / 43560</f>
        <v>3887.7224194573901</v>
      </c>
      <c r="H581" s="3"/>
    </row>
    <row r="582" spans="1:8" x14ac:dyDescent="0.25">
      <c r="A582" s="2">
        <v>575</v>
      </c>
      <c r="B582" s="2">
        <f t="shared" si="24"/>
        <v>1969</v>
      </c>
      <c r="C582" s="2">
        <f t="shared" si="25"/>
        <v>8</v>
      </c>
      <c r="D582" s="4">
        <v>25446</v>
      </c>
      <c r="E582" s="3">
        <v>282.21761897027193</v>
      </c>
      <c r="F582" s="14">
        <v>1</v>
      </c>
      <c r="G582" s="3">
        <f>'Monthly CFS'!C582 * 86400 * DAY(EOMONTH(D582,0)) / 43560</f>
        <v>4250.6499170690286</v>
      </c>
      <c r="H582" s="3"/>
    </row>
    <row r="583" spans="1:8" x14ac:dyDescent="0.25">
      <c r="A583" s="2">
        <v>576</v>
      </c>
      <c r="B583" s="2">
        <f t="shared" si="24"/>
        <v>1969</v>
      </c>
      <c r="C583" s="2">
        <f t="shared" si="25"/>
        <v>9</v>
      </c>
      <c r="D583" s="4">
        <v>25476</v>
      </c>
      <c r="E583" s="3">
        <v>245.18670139121073</v>
      </c>
      <c r="F583" s="14">
        <v>1</v>
      </c>
      <c r="G583" s="3">
        <f>'Monthly CFS'!C583 * 86400 * DAY(EOMONTH(D583,0)) / 43560</f>
        <v>3585.2828654276918</v>
      </c>
      <c r="H583" s="3"/>
    </row>
    <row r="584" spans="1:8" x14ac:dyDescent="0.25">
      <c r="A584" s="2">
        <v>577</v>
      </c>
      <c r="B584" s="2">
        <f t="shared" si="24"/>
        <v>1969</v>
      </c>
      <c r="C584" s="2">
        <f t="shared" si="25"/>
        <v>10</v>
      </c>
      <c r="D584" s="4">
        <v>25507</v>
      </c>
      <c r="E584" s="3">
        <v>208.40764336055321</v>
      </c>
      <c r="F584" s="14">
        <v>1</v>
      </c>
      <c r="G584" s="3">
        <f>'Monthly CFS'!C584 * 86400 * DAY(EOMONTH(D584,0)) / 43560</f>
        <v>2441.5116681819259</v>
      </c>
      <c r="H584" s="3"/>
    </row>
    <row r="585" spans="1:8" x14ac:dyDescent="0.25">
      <c r="A585" s="2">
        <v>578</v>
      </c>
      <c r="B585" s="2">
        <f t="shared" ref="B585:B648" si="26">YEAR(D585)</f>
        <v>1969</v>
      </c>
      <c r="C585" s="2">
        <f t="shared" ref="C585:C648" si="27">MONTH(D585)</f>
        <v>11</v>
      </c>
      <c r="D585" s="4">
        <v>25537</v>
      </c>
      <c r="E585" s="3">
        <v>139.9081154259168</v>
      </c>
      <c r="F585" s="14">
        <v>1</v>
      </c>
      <c r="G585" s="3">
        <f>'Monthly CFS'!C585 * 86400 * DAY(EOMONTH(D585,0)) / 43560</f>
        <v>1550.6899042060877</v>
      </c>
      <c r="H585" s="3"/>
    </row>
    <row r="586" spans="1:8" x14ac:dyDescent="0.25">
      <c r="A586" s="2">
        <v>579</v>
      </c>
      <c r="B586" s="2">
        <f t="shared" si="26"/>
        <v>1969</v>
      </c>
      <c r="C586" s="2">
        <f t="shared" si="27"/>
        <v>12</v>
      </c>
      <c r="D586" s="4">
        <v>25568</v>
      </c>
      <c r="E586" s="3">
        <v>100.09781597436</v>
      </c>
      <c r="F586" s="14">
        <v>1</v>
      </c>
      <c r="G586" s="3">
        <f>'Monthly CFS'!C586 * 86400 * DAY(EOMONTH(D586,0)) / 43560</f>
        <v>1275.7448662618172</v>
      </c>
      <c r="H586" s="3"/>
    </row>
    <row r="587" spans="1:8" x14ac:dyDescent="0.25">
      <c r="A587" s="2">
        <v>580</v>
      </c>
      <c r="B587" s="2">
        <f t="shared" si="26"/>
        <v>1970</v>
      </c>
      <c r="C587" s="2">
        <f t="shared" si="27"/>
        <v>1</v>
      </c>
      <c r="D587" s="4">
        <v>25599</v>
      </c>
      <c r="E587" s="3">
        <v>94.480039683665979</v>
      </c>
      <c r="F587" s="14">
        <v>1</v>
      </c>
      <c r="G587" s="3">
        <f>'Monthly CFS'!C587 * 86400 * DAY(EOMONTH(D587,0)) / 43560</f>
        <v>1215.2569226798776</v>
      </c>
      <c r="H587" s="3"/>
    </row>
    <row r="588" spans="1:8" x14ac:dyDescent="0.25">
      <c r="A588" s="2">
        <v>581</v>
      </c>
      <c r="B588" s="2">
        <f t="shared" si="26"/>
        <v>1970</v>
      </c>
      <c r="C588" s="2">
        <f t="shared" si="27"/>
        <v>2</v>
      </c>
      <c r="D588" s="4">
        <v>25627</v>
      </c>
      <c r="E588" s="3">
        <v>108.63618759646828</v>
      </c>
      <c r="F588" s="14">
        <v>1</v>
      </c>
      <c r="G588" s="3">
        <f>'Monthly CFS'!C588 * 86400 * DAY(EOMONTH(D588,0)) / 43560</f>
        <v>1083.2833765738274</v>
      </c>
      <c r="H588" s="3"/>
    </row>
    <row r="589" spans="1:8" x14ac:dyDescent="0.25">
      <c r="A589" s="2">
        <v>582</v>
      </c>
      <c r="B589" s="2">
        <f t="shared" si="26"/>
        <v>1970</v>
      </c>
      <c r="C589" s="2">
        <f t="shared" si="27"/>
        <v>3</v>
      </c>
      <c r="D589" s="4">
        <v>25658</v>
      </c>
      <c r="E589" s="3">
        <v>95.988743796675507</v>
      </c>
      <c r="F589" s="14">
        <v>1</v>
      </c>
      <c r="G589" s="3">
        <f>'Monthly CFS'!C589 * 86400 * DAY(EOMONTH(D589,0)) / 43560</f>
        <v>1314.2371232294149</v>
      </c>
      <c r="H589" s="3"/>
    </row>
    <row r="590" spans="1:8" x14ac:dyDescent="0.25">
      <c r="A590" s="2">
        <v>583</v>
      </c>
      <c r="B590" s="2">
        <f t="shared" si="26"/>
        <v>1970</v>
      </c>
      <c r="C590" s="2">
        <f t="shared" si="27"/>
        <v>4</v>
      </c>
      <c r="D590" s="4">
        <v>25688</v>
      </c>
      <c r="E590" s="3">
        <v>127.84175342511904</v>
      </c>
      <c r="F590" s="14">
        <v>1</v>
      </c>
      <c r="G590" s="3">
        <f>'Monthly CFS'!C590 * 86400 * DAY(EOMONTH(D590,0)) / 43560</f>
        <v>1561.6876860582595</v>
      </c>
      <c r="H590" s="3"/>
    </row>
    <row r="591" spans="1:8" x14ac:dyDescent="0.25">
      <c r="A591" s="2">
        <v>584</v>
      </c>
      <c r="B591" s="2">
        <f t="shared" si="26"/>
        <v>1970</v>
      </c>
      <c r="C591" s="2">
        <f t="shared" si="27"/>
        <v>5</v>
      </c>
      <c r="D591" s="4">
        <v>25719</v>
      </c>
      <c r="E591" s="3">
        <v>173.69722718890347</v>
      </c>
      <c r="F591" s="14">
        <v>1</v>
      </c>
      <c r="G591" s="3">
        <f>'Monthly CFS'!C591 * 86400 * DAY(EOMONTH(D591,0)) / 43560</f>
        <v>2304.0392106647896</v>
      </c>
      <c r="H591" s="3"/>
    </row>
    <row r="592" spans="1:8" x14ac:dyDescent="0.25">
      <c r="A592" s="2">
        <v>585</v>
      </c>
      <c r="B592" s="2">
        <f t="shared" si="26"/>
        <v>1970</v>
      </c>
      <c r="C592" s="2">
        <f t="shared" si="27"/>
        <v>6</v>
      </c>
      <c r="D592" s="4">
        <v>25749</v>
      </c>
      <c r="E592" s="3">
        <v>230.63820084858213</v>
      </c>
      <c r="F592" s="14">
        <v>0.99999999999999989</v>
      </c>
      <c r="G592" s="3">
        <f>'Monthly CFS'!C592 * 86400 * DAY(EOMONTH(D592,0)) / 43560</f>
        <v>3029.8940420080658</v>
      </c>
      <c r="H592" s="3"/>
    </row>
    <row r="593" spans="1:8" x14ac:dyDescent="0.25">
      <c r="A593" s="2">
        <v>586</v>
      </c>
      <c r="B593" s="2">
        <f t="shared" si="26"/>
        <v>1970</v>
      </c>
      <c r="C593" s="2">
        <f t="shared" si="27"/>
        <v>7</v>
      </c>
      <c r="D593" s="4">
        <v>25780</v>
      </c>
      <c r="E593" s="3">
        <v>271.71188667119026</v>
      </c>
      <c r="F593" s="14">
        <v>1</v>
      </c>
      <c r="G593" s="3">
        <f>'Monthly CFS'!C593 * 86400 * DAY(EOMONTH(D593,0)) / 43560</f>
        <v>3887.7224194573932</v>
      </c>
      <c r="H593" s="3"/>
    </row>
    <row r="594" spans="1:8" x14ac:dyDescent="0.25">
      <c r="A594" s="2">
        <v>587</v>
      </c>
      <c r="B594" s="2">
        <f t="shared" si="26"/>
        <v>1970</v>
      </c>
      <c r="C594" s="2">
        <f t="shared" si="27"/>
        <v>8</v>
      </c>
      <c r="D594" s="4">
        <v>25811</v>
      </c>
      <c r="E594" s="3">
        <v>282.21761897027187</v>
      </c>
      <c r="F594" s="14">
        <v>1</v>
      </c>
      <c r="G594" s="3">
        <f>'Monthly CFS'!C594 * 86400 * DAY(EOMONTH(D594,0)) / 43560</f>
        <v>4250.6499170690295</v>
      </c>
      <c r="H594" s="3"/>
    </row>
    <row r="595" spans="1:8" x14ac:dyDescent="0.25">
      <c r="A595" s="2">
        <v>588</v>
      </c>
      <c r="B595" s="2">
        <f t="shared" si="26"/>
        <v>1970</v>
      </c>
      <c r="C595" s="2">
        <f t="shared" si="27"/>
        <v>9</v>
      </c>
      <c r="D595" s="4">
        <v>25841</v>
      </c>
      <c r="E595" s="3">
        <v>245.1867013912107</v>
      </c>
      <c r="F595" s="14">
        <v>1</v>
      </c>
      <c r="G595" s="3">
        <f>'Monthly CFS'!C595 * 86400 * DAY(EOMONTH(D595,0)) / 43560</f>
        <v>3585.2828654276946</v>
      </c>
      <c r="H595" s="3"/>
    </row>
    <row r="596" spans="1:8" x14ac:dyDescent="0.25">
      <c r="A596" s="2">
        <v>589</v>
      </c>
      <c r="B596" s="2">
        <f t="shared" si="26"/>
        <v>1970</v>
      </c>
      <c r="C596" s="2">
        <f t="shared" si="27"/>
        <v>10</v>
      </c>
      <c r="D596" s="4">
        <v>25872</v>
      </c>
      <c r="E596" s="3">
        <v>208.40764336055321</v>
      </c>
      <c r="F596" s="14">
        <v>1</v>
      </c>
      <c r="G596" s="3">
        <f>'Monthly CFS'!C596 * 86400 * DAY(EOMONTH(D596,0)) / 43560</f>
        <v>2441.5116681819263</v>
      </c>
      <c r="H596" s="3"/>
    </row>
    <row r="597" spans="1:8" x14ac:dyDescent="0.25">
      <c r="A597" s="2">
        <v>590</v>
      </c>
      <c r="B597" s="2">
        <f t="shared" si="26"/>
        <v>1970</v>
      </c>
      <c r="C597" s="2">
        <f t="shared" si="27"/>
        <v>11</v>
      </c>
      <c r="D597" s="4">
        <v>25902</v>
      </c>
      <c r="E597" s="3">
        <v>139.9081154259168</v>
      </c>
      <c r="F597" s="14">
        <v>1</v>
      </c>
      <c r="G597" s="3">
        <f>'Monthly CFS'!C597 * 86400 * DAY(EOMONTH(D597,0)) / 43560</f>
        <v>1550.6899042060877</v>
      </c>
      <c r="H597" s="3"/>
    </row>
    <row r="598" spans="1:8" x14ac:dyDescent="0.25">
      <c r="A598" s="2">
        <v>591</v>
      </c>
      <c r="B598" s="2">
        <f t="shared" si="26"/>
        <v>1970</v>
      </c>
      <c r="C598" s="2">
        <f t="shared" si="27"/>
        <v>12</v>
      </c>
      <c r="D598" s="4">
        <v>25933</v>
      </c>
      <c r="E598" s="3">
        <v>100.09781597435997</v>
      </c>
      <c r="F598" s="14">
        <v>0.99999999999999989</v>
      </c>
      <c r="G598" s="3">
        <f>'Monthly CFS'!C598 * 86400 * DAY(EOMONTH(D598,0)) / 43560</f>
        <v>1275.7448662618176</v>
      </c>
      <c r="H598" s="3"/>
    </row>
    <row r="599" spans="1:8" x14ac:dyDescent="0.25">
      <c r="A599" s="2">
        <v>592</v>
      </c>
      <c r="B599" s="2">
        <f t="shared" si="26"/>
        <v>1971</v>
      </c>
      <c r="C599" s="2">
        <f t="shared" si="27"/>
        <v>1</v>
      </c>
      <c r="D599" s="4">
        <v>25964</v>
      </c>
      <c r="E599" s="3">
        <v>94.480039683665979</v>
      </c>
      <c r="F599" s="14">
        <v>1</v>
      </c>
      <c r="G599" s="3">
        <f>'Monthly CFS'!C599 * 86400 * DAY(EOMONTH(D599,0)) / 43560</f>
        <v>1215.256922679878</v>
      </c>
      <c r="H599" s="3"/>
    </row>
    <row r="600" spans="1:8" x14ac:dyDescent="0.25">
      <c r="A600" s="2">
        <v>593</v>
      </c>
      <c r="B600" s="2">
        <f t="shared" si="26"/>
        <v>1971</v>
      </c>
      <c r="C600" s="2">
        <f t="shared" si="27"/>
        <v>2</v>
      </c>
      <c r="D600" s="4">
        <v>25992</v>
      </c>
      <c r="E600" s="3">
        <v>108.63618759646826</v>
      </c>
      <c r="F600" s="14">
        <v>1</v>
      </c>
      <c r="G600" s="3">
        <f>'Monthly CFS'!C600 * 86400 * DAY(EOMONTH(D600,0)) / 43560</f>
        <v>1011.6988808042437</v>
      </c>
      <c r="H600" s="3"/>
    </row>
    <row r="601" spans="1:8" x14ac:dyDescent="0.25">
      <c r="A601" s="2">
        <v>594</v>
      </c>
      <c r="B601" s="2">
        <f t="shared" si="26"/>
        <v>1971</v>
      </c>
      <c r="C601" s="2">
        <f t="shared" si="27"/>
        <v>3</v>
      </c>
      <c r="D601" s="4">
        <v>26023</v>
      </c>
      <c r="E601" s="3">
        <v>95.988743796674797</v>
      </c>
      <c r="F601" s="14">
        <v>1</v>
      </c>
      <c r="G601" s="3">
        <f>'Monthly CFS'!C601 * 86400 * DAY(EOMONTH(D601,0)) / 43560</f>
        <v>1033.0123075371423</v>
      </c>
      <c r="H601" s="3"/>
    </row>
    <row r="602" spans="1:8" x14ac:dyDescent="0.25">
      <c r="A602" s="2">
        <v>595</v>
      </c>
      <c r="B602" s="2">
        <f t="shared" si="26"/>
        <v>1971</v>
      </c>
      <c r="C602" s="2">
        <f t="shared" si="27"/>
        <v>4</v>
      </c>
      <c r="D602" s="4">
        <v>26053</v>
      </c>
      <c r="E602" s="3">
        <v>127.84175342511904</v>
      </c>
      <c r="F602" s="14">
        <v>1</v>
      </c>
      <c r="G602" s="3">
        <f>'Monthly CFS'!C602 * 86400 * DAY(EOMONTH(D602,0)) / 43560</f>
        <v>1136.0722085584769</v>
      </c>
      <c r="H602" s="3"/>
    </row>
    <row r="603" spans="1:8" x14ac:dyDescent="0.25">
      <c r="A603" s="2">
        <v>596</v>
      </c>
      <c r="B603" s="2">
        <f t="shared" si="26"/>
        <v>1971</v>
      </c>
      <c r="C603" s="2">
        <f t="shared" si="27"/>
        <v>5</v>
      </c>
      <c r="D603" s="4">
        <v>26084</v>
      </c>
      <c r="E603" s="3">
        <v>173.69722718890341</v>
      </c>
      <c r="F603" s="14">
        <v>1</v>
      </c>
      <c r="G603" s="3">
        <f>'Monthly CFS'!C603 * 86400 * DAY(EOMONTH(D603,0)) / 43560</f>
        <v>1798.8181793271292</v>
      </c>
      <c r="H603" s="3"/>
    </row>
    <row r="604" spans="1:8" x14ac:dyDescent="0.25">
      <c r="A604" s="2">
        <v>597</v>
      </c>
      <c r="B604" s="2">
        <f t="shared" si="26"/>
        <v>1971</v>
      </c>
      <c r="C604" s="2">
        <f t="shared" si="27"/>
        <v>6</v>
      </c>
      <c r="D604" s="4">
        <v>26114</v>
      </c>
      <c r="E604" s="3">
        <v>230.63820084858216</v>
      </c>
      <c r="F604" s="14">
        <v>1</v>
      </c>
      <c r="G604" s="3">
        <f>'Monthly CFS'!C604 * 86400 * DAY(EOMONTH(D604,0)) / 43560</f>
        <v>2365.5102998991488</v>
      </c>
      <c r="H604" s="3"/>
    </row>
    <row r="605" spans="1:8" x14ac:dyDescent="0.25">
      <c r="A605" s="2">
        <v>598</v>
      </c>
      <c r="B605" s="2">
        <f t="shared" si="26"/>
        <v>1971</v>
      </c>
      <c r="C605" s="2">
        <f t="shared" si="27"/>
        <v>7</v>
      </c>
      <c r="D605" s="4">
        <v>26145</v>
      </c>
      <c r="E605" s="3">
        <v>271.71188667119026</v>
      </c>
      <c r="F605" s="14">
        <v>1</v>
      </c>
      <c r="G605" s="3">
        <f>'Monthly CFS'!C605 * 86400 * DAY(EOMONTH(D605,0)) / 43560</f>
        <v>3035.2373049588036</v>
      </c>
      <c r="H605" s="3"/>
    </row>
    <row r="606" spans="1:8" x14ac:dyDescent="0.25">
      <c r="A606" s="2">
        <v>599</v>
      </c>
      <c r="B606" s="2">
        <f t="shared" si="26"/>
        <v>1971</v>
      </c>
      <c r="C606" s="2">
        <f t="shared" si="27"/>
        <v>8</v>
      </c>
      <c r="D606" s="4">
        <v>26176</v>
      </c>
      <c r="E606" s="3">
        <v>282.21761897027193</v>
      </c>
      <c r="F606" s="14">
        <v>1</v>
      </c>
      <c r="G606" s="3">
        <f>'Monthly CFS'!C606 * 86400 * DAY(EOMONTH(D606,0)) / 43560</f>
        <v>3318.5834292173186</v>
      </c>
      <c r="H606" s="3"/>
    </row>
    <row r="607" spans="1:8" x14ac:dyDescent="0.25">
      <c r="A607" s="2">
        <v>600</v>
      </c>
      <c r="B607" s="2">
        <f t="shared" si="26"/>
        <v>1971</v>
      </c>
      <c r="C607" s="2">
        <f t="shared" si="27"/>
        <v>9</v>
      </c>
      <c r="D607" s="4">
        <v>26206</v>
      </c>
      <c r="E607" s="3">
        <v>245.18670139121073</v>
      </c>
      <c r="F607" s="14">
        <v>1</v>
      </c>
      <c r="G607" s="3">
        <f>'Monthly CFS'!C607 * 86400 * DAY(EOMONTH(D607,0)) / 43560</f>
        <v>2799.1155560675438</v>
      </c>
      <c r="H607" s="3"/>
    </row>
    <row r="608" spans="1:8" x14ac:dyDescent="0.25">
      <c r="A608" s="2">
        <v>601</v>
      </c>
      <c r="B608" s="2">
        <f t="shared" si="26"/>
        <v>1971</v>
      </c>
      <c r="C608" s="2">
        <f t="shared" si="27"/>
        <v>10</v>
      </c>
      <c r="D608" s="4">
        <v>26237</v>
      </c>
      <c r="E608" s="3">
        <v>208.40764336055321</v>
      </c>
      <c r="F608" s="14">
        <v>1</v>
      </c>
      <c r="G608" s="3">
        <f>'Monthly CFS'!C608 * 86400 * DAY(EOMONTH(D608,0)) / 43560</f>
        <v>1906.1461946638346</v>
      </c>
      <c r="H608" s="3"/>
    </row>
    <row r="609" spans="1:8" x14ac:dyDescent="0.25">
      <c r="A609" s="2">
        <v>602</v>
      </c>
      <c r="B609" s="2">
        <f t="shared" si="26"/>
        <v>1971</v>
      </c>
      <c r="C609" s="2">
        <f t="shared" si="27"/>
        <v>11</v>
      </c>
      <c r="D609" s="4">
        <v>26267</v>
      </c>
      <c r="E609" s="3">
        <v>139.9081154259168</v>
      </c>
      <c r="F609" s="14">
        <v>1</v>
      </c>
      <c r="G609" s="3">
        <f>'Monthly CFS'!C609 * 86400 * DAY(EOMONTH(D609,0)) / 43560</f>
        <v>1210.6604684822705</v>
      </c>
      <c r="H609" s="3"/>
    </row>
    <row r="610" spans="1:8" x14ac:dyDescent="0.25">
      <c r="A610" s="2">
        <v>603</v>
      </c>
      <c r="B610" s="2">
        <f t="shared" si="26"/>
        <v>1971</v>
      </c>
      <c r="C610" s="2">
        <f t="shared" si="27"/>
        <v>12</v>
      </c>
      <c r="D610" s="4">
        <v>26298</v>
      </c>
      <c r="E610" s="3">
        <v>100.09781597435997</v>
      </c>
      <c r="F610" s="14">
        <v>1</v>
      </c>
      <c r="G610" s="3">
        <f>'Monthly CFS'!C610 * 86400 * DAY(EOMONTH(D610,0)) / 43560</f>
        <v>996.00434185010272</v>
      </c>
      <c r="H610" s="3"/>
    </row>
    <row r="611" spans="1:8" x14ac:dyDescent="0.25">
      <c r="A611" s="2">
        <v>604</v>
      </c>
      <c r="B611" s="2">
        <f t="shared" si="26"/>
        <v>1972</v>
      </c>
      <c r="C611" s="2">
        <f t="shared" si="27"/>
        <v>1</v>
      </c>
      <c r="D611" s="4">
        <v>26329</v>
      </c>
      <c r="E611" s="3">
        <v>94.480039683665979</v>
      </c>
      <c r="F611" s="14">
        <v>1</v>
      </c>
      <c r="G611" s="3">
        <f>'Monthly CFS'!C611 * 86400 * DAY(EOMONTH(D611,0)) / 43560</f>
        <v>715.7868028322838</v>
      </c>
      <c r="H611" s="3"/>
    </row>
    <row r="612" spans="1:8" x14ac:dyDescent="0.25">
      <c r="A612" s="2">
        <v>605</v>
      </c>
      <c r="B612" s="2">
        <f t="shared" si="26"/>
        <v>1972</v>
      </c>
      <c r="C612" s="2">
        <f t="shared" si="27"/>
        <v>2</v>
      </c>
      <c r="D612" s="4">
        <v>26358</v>
      </c>
      <c r="E612" s="3">
        <v>104.89011216210731</v>
      </c>
      <c r="F612" s="14">
        <v>1</v>
      </c>
      <c r="G612" s="3">
        <f>'Monthly CFS'!C612 * 86400 * DAY(EOMONTH(D612,0)) / 43560</f>
        <v>603.27693252496181</v>
      </c>
      <c r="H612" s="3"/>
    </row>
    <row r="613" spans="1:8" x14ac:dyDescent="0.25">
      <c r="A613" s="2">
        <v>606</v>
      </c>
      <c r="B613" s="2">
        <f t="shared" si="26"/>
        <v>1972</v>
      </c>
      <c r="C613" s="2">
        <f t="shared" si="27"/>
        <v>3</v>
      </c>
      <c r="D613" s="4">
        <v>26389</v>
      </c>
      <c r="E613" s="3">
        <v>106.88716825976059</v>
      </c>
      <c r="F613" s="14">
        <v>0.98018702265048774</v>
      </c>
      <c r="G613" s="3">
        <f>'Monthly CFS'!C613 * 86400 * DAY(EOMONTH(D613,0)) / 43560</f>
        <v>781.06391845859252</v>
      </c>
      <c r="H613" s="3"/>
    </row>
    <row r="614" spans="1:8" x14ac:dyDescent="0.25">
      <c r="A614" s="2">
        <v>607</v>
      </c>
      <c r="B614" s="2">
        <f t="shared" si="26"/>
        <v>1972</v>
      </c>
      <c r="C614" s="2">
        <f t="shared" si="27"/>
        <v>4</v>
      </c>
      <c r="D614" s="4">
        <v>26419</v>
      </c>
      <c r="E614" s="3">
        <v>155.35965745471614</v>
      </c>
      <c r="F614" s="14">
        <v>0.91525587408665054</v>
      </c>
      <c r="G614" s="3">
        <f>'Monthly CFS'!C614 * 86400 * DAY(EOMONTH(D614,0)) / 43560</f>
        <v>1050.6815055652937</v>
      </c>
      <c r="H614" s="3"/>
    </row>
    <row r="615" spans="1:8" x14ac:dyDescent="0.25">
      <c r="A615" s="2">
        <v>608</v>
      </c>
      <c r="B615" s="2">
        <f t="shared" si="26"/>
        <v>1972</v>
      </c>
      <c r="C615" s="2">
        <f t="shared" si="27"/>
        <v>5</v>
      </c>
      <c r="D615" s="4">
        <v>26450</v>
      </c>
      <c r="E615" s="3">
        <v>189.91672423298658</v>
      </c>
      <c r="F615" s="14">
        <v>1</v>
      </c>
      <c r="G615" s="3">
        <f>'Monthly CFS'!C615 * 86400 * DAY(EOMONTH(D615,0)) / 43560</f>
        <v>1596.2623500920513</v>
      </c>
      <c r="H615" s="3"/>
    </row>
    <row r="616" spans="1:8" x14ac:dyDescent="0.25">
      <c r="A616" s="2">
        <v>609</v>
      </c>
      <c r="B616" s="2">
        <f t="shared" si="26"/>
        <v>1972</v>
      </c>
      <c r="C616" s="2">
        <f t="shared" si="27"/>
        <v>6</v>
      </c>
      <c r="D616" s="4">
        <v>26480</v>
      </c>
      <c r="E616" s="3">
        <v>249.9422753220806</v>
      </c>
      <c r="F616" s="14">
        <v>0.99999999999999989</v>
      </c>
      <c r="G616" s="3">
        <f>'Monthly CFS'!C616 * 86400 * DAY(EOMONTH(D616,0)) / 43560</f>
        <v>2099.142133362483</v>
      </c>
      <c r="H616" s="3"/>
    </row>
    <row r="617" spans="1:8" x14ac:dyDescent="0.25">
      <c r="A617" s="2">
        <v>610</v>
      </c>
      <c r="B617" s="2">
        <f t="shared" si="26"/>
        <v>1972</v>
      </c>
      <c r="C617" s="2">
        <f t="shared" si="27"/>
        <v>7</v>
      </c>
      <c r="D617" s="4">
        <v>26511</v>
      </c>
      <c r="E617" s="3">
        <v>278.83348316359661</v>
      </c>
      <c r="F617" s="14">
        <v>1</v>
      </c>
      <c r="G617" s="3">
        <f>'Monthly CFS'!C617 * 86400 * DAY(EOMONTH(D617,0)) / 43560</f>
        <v>2693.4545632138033</v>
      </c>
      <c r="H617" s="3"/>
    </row>
    <row r="618" spans="1:8" x14ac:dyDescent="0.25">
      <c r="A618" s="2">
        <v>611</v>
      </c>
      <c r="B618" s="2">
        <f t="shared" si="26"/>
        <v>1972</v>
      </c>
      <c r="C618" s="2">
        <f t="shared" si="27"/>
        <v>8</v>
      </c>
      <c r="D618" s="4">
        <v>26542</v>
      </c>
      <c r="E618" s="3">
        <v>281.64601106700832</v>
      </c>
      <c r="F618" s="14">
        <v>1</v>
      </c>
      <c r="G618" s="3">
        <f>'Monthly CFS'!C618 * 86400 * DAY(EOMONTH(D618,0)) / 43560</f>
        <v>2944.8945116179043</v>
      </c>
      <c r="H618" s="3"/>
    </row>
    <row r="619" spans="1:8" x14ac:dyDescent="0.25">
      <c r="A619" s="2">
        <v>612</v>
      </c>
      <c r="B619" s="2">
        <f t="shared" si="26"/>
        <v>1972</v>
      </c>
      <c r="C619" s="2">
        <f t="shared" si="27"/>
        <v>9</v>
      </c>
      <c r="D619" s="4">
        <v>26572</v>
      </c>
      <c r="E619" s="3">
        <v>247.80503551638381</v>
      </c>
      <c r="F619" s="14">
        <v>1</v>
      </c>
      <c r="G619" s="3">
        <f>'Monthly CFS'!C619 * 86400 * DAY(EOMONTH(D619,0)) / 43560</f>
        <v>2483.9212918000153</v>
      </c>
      <c r="H619" s="3"/>
    </row>
    <row r="620" spans="1:8" x14ac:dyDescent="0.25">
      <c r="A620" s="2">
        <v>613</v>
      </c>
      <c r="B620" s="2">
        <f t="shared" si="26"/>
        <v>1972</v>
      </c>
      <c r="C620" s="2">
        <f t="shared" si="27"/>
        <v>10</v>
      </c>
      <c r="D620" s="4">
        <v>26603</v>
      </c>
      <c r="E620" s="3">
        <v>213.68325149262247</v>
      </c>
      <c r="F620" s="14">
        <v>1</v>
      </c>
      <c r="G620" s="3">
        <f>'Monthly CFS'!C620 * 86400 * DAY(EOMONTH(D620,0)) / 43560</f>
        <v>1691.5046997419593</v>
      </c>
      <c r="H620" s="3"/>
    </row>
    <row r="621" spans="1:8" x14ac:dyDescent="0.25">
      <c r="A621" s="2">
        <v>614</v>
      </c>
      <c r="B621" s="2">
        <f t="shared" si="26"/>
        <v>1972</v>
      </c>
      <c r="C621" s="2">
        <f t="shared" si="27"/>
        <v>11</v>
      </c>
      <c r="D621" s="4">
        <v>26633</v>
      </c>
      <c r="E621" s="3">
        <v>158.89264570494973</v>
      </c>
      <c r="F621" s="14">
        <v>1</v>
      </c>
      <c r="G621" s="3">
        <f>'Monthly CFS'!C621 * 86400 * DAY(EOMONTH(D621,0)) / 43560</f>
        <v>1074.3341082454147</v>
      </c>
      <c r="H621" s="3"/>
    </row>
    <row r="622" spans="1:8" x14ac:dyDescent="0.25">
      <c r="A622" s="2">
        <v>615</v>
      </c>
      <c r="B622" s="2">
        <f t="shared" si="26"/>
        <v>1972</v>
      </c>
      <c r="C622" s="2">
        <f t="shared" si="27"/>
        <v>12</v>
      </c>
      <c r="D622" s="4">
        <v>26664</v>
      </c>
      <c r="E622" s="3">
        <v>140.71970178349727</v>
      </c>
      <c r="F622" s="14">
        <v>0.99999999999999989</v>
      </c>
      <c r="G622" s="3">
        <f>'Monthly CFS'!C622 * 86400 * DAY(EOMONTH(D622,0)) / 43560</f>
        <v>883.84932379227359</v>
      </c>
      <c r="H622" s="3"/>
    </row>
    <row r="623" spans="1:8" x14ac:dyDescent="0.25">
      <c r="A623" s="2">
        <v>616</v>
      </c>
      <c r="B623" s="2">
        <f t="shared" si="26"/>
        <v>1973</v>
      </c>
      <c r="C623" s="2">
        <f t="shared" si="27"/>
        <v>1</v>
      </c>
      <c r="D623" s="4">
        <v>26695</v>
      </c>
      <c r="E623" s="3">
        <v>120.71654124454039</v>
      </c>
      <c r="F623" s="14">
        <v>1</v>
      </c>
      <c r="G623" s="3">
        <f>'Monthly CFS'!C623 * 86400 * DAY(EOMONTH(D623,0)) / 43560</f>
        <v>993.52483512627589</v>
      </c>
      <c r="H623" s="3"/>
    </row>
    <row r="624" spans="1:8" x14ac:dyDescent="0.25">
      <c r="A624" s="2">
        <v>617</v>
      </c>
      <c r="B624" s="2">
        <f t="shared" si="26"/>
        <v>1973</v>
      </c>
      <c r="C624" s="2">
        <f t="shared" si="27"/>
        <v>2</v>
      </c>
      <c r="D624" s="4">
        <v>26723</v>
      </c>
      <c r="E624" s="3">
        <v>114.45563578137683</v>
      </c>
      <c r="F624" s="14">
        <v>1</v>
      </c>
      <c r="G624" s="3">
        <f>'Monthly CFS'!C624 * 86400 * DAY(EOMONTH(D624,0)) / 43560</f>
        <v>1083.2833765738274</v>
      </c>
      <c r="H624" s="3"/>
    </row>
    <row r="625" spans="1:8" x14ac:dyDescent="0.25">
      <c r="A625" s="2">
        <v>618</v>
      </c>
      <c r="B625" s="2">
        <f t="shared" si="26"/>
        <v>1973</v>
      </c>
      <c r="C625" s="2">
        <f t="shared" si="27"/>
        <v>3</v>
      </c>
      <c r="D625" s="4">
        <v>26754</v>
      </c>
      <c r="E625" s="3">
        <v>96.914806888134805</v>
      </c>
      <c r="F625" s="14">
        <v>1</v>
      </c>
      <c r="G625" s="3">
        <f>'Monthly CFS'!C625 * 86400 * DAY(EOMONTH(D625,0)) / 43560</f>
        <v>1314.2371232294154</v>
      </c>
      <c r="H625" s="3"/>
    </row>
    <row r="626" spans="1:8" x14ac:dyDescent="0.25">
      <c r="A626" s="2">
        <v>619</v>
      </c>
      <c r="B626" s="2">
        <f t="shared" si="26"/>
        <v>1973</v>
      </c>
      <c r="C626" s="2">
        <f t="shared" si="27"/>
        <v>4</v>
      </c>
      <c r="D626" s="4">
        <v>26784</v>
      </c>
      <c r="E626" s="3">
        <v>127.84175342511905</v>
      </c>
      <c r="F626" s="14">
        <v>1</v>
      </c>
      <c r="G626" s="3">
        <f>'Monthly CFS'!C626 * 86400 * DAY(EOMONTH(D626,0)) / 43560</f>
        <v>1561.6876860582588</v>
      </c>
      <c r="H626" s="3"/>
    </row>
    <row r="627" spans="1:8" x14ac:dyDescent="0.25">
      <c r="A627" s="2">
        <v>620</v>
      </c>
      <c r="B627" s="2">
        <f t="shared" si="26"/>
        <v>1973</v>
      </c>
      <c r="C627" s="2">
        <f t="shared" si="27"/>
        <v>5</v>
      </c>
      <c r="D627" s="4">
        <v>26815</v>
      </c>
      <c r="E627" s="3">
        <v>172.19561393611602</v>
      </c>
      <c r="F627" s="14">
        <v>1</v>
      </c>
      <c r="G627" s="3">
        <f>'Monthly CFS'!C627 * 86400 * DAY(EOMONTH(D627,0)) / 43560</f>
        <v>2304.0392106647896</v>
      </c>
      <c r="H627" s="3"/>
    </row>
    <row r="628" spans="1:8" x14ac:dyDescent="0.25">
      <c r="A628" s="2">
        <v>621</v>
      </c>
      <c r="B628" s="2">
        <f t="shared" si="26"/>
        <v>1973</v>
      </c>
      <c r="C628" s="2">
        <f t="shared" si="27"/>
        <v>6</v>
      </c>
      <c r="D628" s="4">
        <v>26845</v>
      </c>
      <c r="E628" s="3">
        <v>249.30857479426103</v>
      </c>
      <c r="F628" s="14">
        <v>1</v>
      </c>
      <c r="G628" s="3">
        <f>'Monthly CFS'!C628 * 86400 * DAY(EOMONTH(D628,0)) / 43560</f>
        <v>3029.8940420080662</v>
      </c>
      <c r="H628" s="3"/>
    </row>
    <row r="629" spans="1:8" x14ac:dyDescent="0.25">
      <c r="A629" s="2">
        <v>622</v>
      </c>
      <c r="B629" s="2">
        <f t="shared" si="26"/>
        <v>1973</v>
      </c>
      <c r="C629" s="2">
        <f t="shared" si="27"/>
        <v>7</v>
      </c>
      <c r="D629" s="4">
        <v>26876</v>
      </c>
      <c r="E629" s="3">
        <v>274.69602802891444</v>
      </c>
      <c r="F629" s="14">
        <v>1</v>
      </c>
      <c r="G629" s="3">
        <f>'Monthly CFS'!C629 * 86400 * DAY(EOMONTH(D629,0)) / 43560</f>
        <v>3887.7224194573919</v>
      </c>
      <c r="H629" s="3"/>
    </row>
    <row r="630" spans="1:8" x14ac:dyDescent="0.25">
      <c r="A630" s="2">
        <v>623</v>
      </c>
      <c r="B630" s="2">
        <f t="shared" si="26"/>
        <v>1973</v>
      </c>
      <c r="C630" s="2">
        <f t="shared" si="27"/>
        <v>8</v>
      </c>
      <c r="D630" s="4">
        <v>26907</v>
      </c>
      <c r="E630" s="3">
        <v>284.25012948115898</v>
      </c>
      <c r="F630" s="14">
        <v>1</v>
      </c>
      <c r="G630" s="3">
        <f>'Monthly CFS'!C630 * 86400 * DAY(EOMONTH(D630,0)) / 43560</f>
        <v>4250.6499170690313</v>
      </c>
      <c r="H630" s="3"/>
    </row>
    <row r="631" spans="1:8" x14ac:dyDescent="0.25">
      <c r="A631" s="2">
        <v>624</v>
      </c>
      <c r="B631" s="2">
        <f t="shared" si="26"/>
        <v>1973</v>
      </c>
      <c r="C631" s="2">
        <f t="shared" si="27"/>
        <v>9</v>
      </c>
      <c r="D631" s="4">
        <v>26937</v>
      </c>
      <c r="E631" s="3">
        <v>251.09751946104598</v>
      </c>
      <c r="F631" s="14">
        <v>1</v>
      </c>
      <c r="G631" s="3">
        <f>'Monthly CFS'!C631 * 86400 * DAY(EOMONTH(D631,0)) / 43560</f>
        <v>3585.2828654276946</v>
      </c>
      <c r="H631" s="3"/>
    </row>
    <row r="632" spans="1:8" x14ac:dyDescent="0.25">
      <c r="A632" s="2">
        <v>625</v>
      </c>
      <c r="B632" s="2">
        <f t="shared" si="26"/>
        <v>1973</v>
      </c>
      <c r="C632" s="2">
        <f t="shared" si="27"/>
        <v>10</v>
      </c>
      <c r="D632" s="4">
        <v>26968</v>
      </c>
      <c r="E632" s="3">
        <v>215.12985528304065</v>
      </c>
      <c r="F632" s="14">
        <v>0.99999999999999989</v>
      </c>
      <c r="G632" s="3">
        <f>'Monthly CFS'!C632 * 86400 * DAY(EOMONTH(D632,0)) / 43560</f>
        <v>2441.5116681819263</v>
      </c>
      <c r="H632" s="3"/>
    </row>
    <row r="633" spans="1:8" x14ac:dyDescent="0.25">
      <c r="A633" s="2">
        <v>626</v>
      </c>
      <c r="B633" s="2">
        <f t="shared" si="26"/>
        <v>1973</v>
      </c>
      <c r="C633" s="2">
        <f t="shared" si="27"/>
        <v>11</v>
      </c>
      <c r="D633" s="4">
        <v>26998</v>
      </c>
      <c r="E633" s="3">
        <v>152.24052617673215</v>
      </c>
      <c r="F633" s="14">
        <v>1</v>
      </c>
      <c r="G633" s="3">
        <f>'Monthly CFS'!C633 * 86400 * DAY(EOMONTH(D633,0)) / 43560</f>
        <v>1550.6899042060882</v>
      </c>
      <c r="H633" s="3"/>
    </row>
    <row r="634" spans="1:8" x14ac:dyDescent="0.25">
      <c r="A634" s="2">
        <v>627</v>
      </c>
      <c r="B634" s="2">
        <f t="shared" si="26"/>
        <v>1973</v>
      </c>
      <c r="C634" s="2">
        <f t="shared" si="27"/>
        <v>12</v>
      </c>
      <c r="D634" s="4">
        <v>27029</v>
      </c>
      <c r="E634" s="3">
        <v>138.92959785864781</v>
      </c>
      <c r="F634" s="14">
        <v>1</v>
      </c>
      <c r="G634" s="3">
        <f>'Monthly CFS'!C634 * 86400 * DAY(EOMONTH(D634,0)) / 43560</f>
        <v>1275.7448662618172</v>
      </c>
      <c r="H634" s="3"/>
    </row>
    <row r="635" spans="1:8" x14ac:dyDescent="0.25">
      <c r="A635" s="2">
        <v>628</v>
      </c>
      <c r="B635" s="2">
        <f t="shared" si="26"/>
        <v>1974</v>
      </c>
      <c r="C635" s="2">
        <f t="shared" si="27"/>
        <v>1</v>
      </c>
      <c r="D635" s="4">
        <v>27060</v>
      </c>
      <c r="E635" s="3">
        <v>110.24576070621374</v>
      </c>
      <c r="F635" s="14">
        <v>1</v>
      </c>
      <c r="G635" s="3">
        <f>'Monthly CFS'!C635 * 86400 * DAY(EOMONTH(D635,0)) / 43560</f>
        <v>1215.2569226798778</v>
      </c>
      <c r="H635" s="3"/>
    </row>
    <row r="636" spans="1:8" x14ac:dyDescent="0.25">
      <c r="A636" s="2">
        <v>629</v>
      </c>
      <c r="B636" s="2">
        <f t="shared" si="26"/>
        <v>1974</v>
      </c>
      <c r="C636" s="2">
        <f t="shared" si="27"/>
        <v>2</v>
      </c>
      <c r="D636" s="4">
        <v>27088</v>
      </c>
      <c r="E636" s="3">
        <v>102.91438209013761</v>
      </c>
      <c r="F636" s="14">
        <v>1</v>
      </c>
      <c r="G636" s="3">
        <f>'Monthly CFS'!C636 * 86400 * DAY(EOMONTH(D636,0)) / 43560</f>
        <v>1083.2833765738274</v>
      </c>
      <c r="H636" s="3"/>
    </row>
    <row r="637" spans="1:8" x14ac:dyDescent="0.25">
      <c r="A637" s="2">
        <v>630</v>
      </c>
      <c r="B637" s="2">
        <f t="shared" si="26"/>
        <v>1974</v>
      </c>
      <c r="C637" s="2">
        <f t="shared" si="27"/>
        <v>3</v>
      </c>
      <c r="D637" s="4">
        <v>27119</v>
      </c>
      <c r="E637" s="3">
        <v>95.988743796676502</v>
      </c>
      <c r="F637" s="14">
        <v>1</v>
      </c>
      <c r="G637" s="3">
        <f>'Monthly CFS'!C637 * 86400 * DAY(EOMONTH(D637,0)) / 43560</f>
        <v>1215.3926959409916</v>
      </c>
      <c r="H637" s="3"/>
    </row>
    <row r="638" spans="1:8" x14ac:dyDescent="0.25">
      <c r="A638" s="2">
        <v>631</v>
      </c>
      <c r="B638" s="2">
        <f t="shared" si="26"/>
        <v>1974</v>
      </c>
      <c r="C638" s="2">
        <f t="shared" si="27"/>
        <v>4</v>
      </c>
      <c r="D638" s="4">
        <v>27149</v>
      </c>
      <c r="E638" s="3">
        <v>127.84175342511904</v>
      </c>
      <c r="F638" s="14">
        <v>1</v>
      </c>
      <c r="G638" s="3">
        <f>'Monthly CFS'!C638 * 86400 * DAY(EOMONTH(D638,0)) / 43560</f>
        <v>1506.9310031029063</v>
      </c>
      <c r="H638" s="3"/>
    </row>
    <row r="639" spans="1:8" x14ac:dyDescent="0.25">
      <c r="A639" s="2">
        <v>632</v>
      </c>
      <c r="B639" s="2">
        <f t="shared" si="26"/>
        <v>1974</v>
      </c>
      <c r="C639" s="2">
        <f t="shared" si="27"/>
        <v>5</v>
      </c>
      <c r="D639" s="4">
        <v>27180</v>
      </c>
      <c r="E639" s="3">
        <v>173.69722718890347</v>
      </c>
      <c r="F639" s="14">
        <v>1</v>
      </c>
      <c r="G639" s="3">
        <f>'Monthly CFS'!C639 * 86400 * DAY(EOMONTH(D639,0)) / 43560</f>
        <v>2304.0392106647905</v>
      </c>
      <c r="H639" s="3"/>
    </row>
    <row r="640" spans="1:8" x14ac:dyDescent="0.25">
      <c r="A640" s="2">
        <v>633</v>
      </c>
      <c r="B640" s="2">
        <f t="shared" si="26"/>
        <v>1974</v>
      </c>
      <c r="C640" s="2">
        <f t="shared" si="27"/>
        <v>6</v>
      </c>
      <c r="D640" s="4">
        <v>27210</v>
      </c>
      <c r="E640" s="3">
        <v>230.63820084858216</v>
      </c>
      <c r="F640" s="14">
        <v>1</v>
      </c>
      <c r="G640" s="3">
        <f>'Monthly CFS'!C640 * 86400 * DAY(EOMONTH(D640,0)) / 43560</f>
        <v>3029.8940420080662</v>
      </c>
      <c r="H640" s="3"/>
    </row>
    <row r="641" spans="1:8" x14ac:dyDescent="0.25">
      <c r="A641" s="2">
        <v>634</v>
      </c>
      <c r="B641" s="2">
        <f t="shared" si="26"/>
        <v>1974</v>
      </c>
      <c r="C641" s="2">
        <f t="shared" si="27"/>
        <v>7</v>
      </c>
      <c r="D641" s="4">
        <v>27241</v>
      </c>
      <c r="E641" s="3">
        <v>271.71188667119026</v>
      </c>
      <c r="F641" s="14">
        <v>1</v>
      </c>
      <c r="G641" s="3">
        <f>'Monthly CFS'!C641 * 86400 * DAY(EOMONTH(D641,0)) / 43560</f>
        <v>3887.7224194573905</v>
      </c>
      <c r="H641" s="3"/>
    </row>
    <row r="642" spans="1:8" x14ac:dyDescent="0.25">
      <c r="A642" s="2">
        <v>635</v>
      </c>
      <c r="B642" s="2">
        <f t="shared" si="26"/>
        <v>1974</v>
      </c>
      <c r="C642" s="2">
        <f t="shared" si="27"/>
        <v>8</v>
      </c>
      <c r="D642" s="4">
        <v>27272</v>
      </c>
      <c r="E642" s="3">
        <v>282.21761897027193</v>
      </c>
      <c r="F642" s="14">
        <v>1</v>
      </c>
      <c r="G642" s="3">
        <f>'Monthly CFS'!C642 * 86400 * DAY(EOMONTH(D642,0)) / 43560</f>
        <v>4250.6499170690313</v>
      </c>
      <c r="H642" s="3"/>
    </row>
    <row r="643" spans="1:8" x14ac:dyDescent="0.25">
      <c r="A643" s="2">
        <v>636</v>
      </c>
      <c r="B643" s="2">
        <f t="shared" si="26"/>
        <v>1974</v>
      </c>
      <c r="C643" s="2">
        <f t="shared" si="27"/>
        <v>9</v>
      </c>
      <c r="D643" s="4">
        <v>27302</v>
      </c>
      <c r="E643" s="3">
        <v>245.18670139121076</v>
      </c>
      <c r="F643" s="14">
        <v>1</v>
      </c>
      <c r="G643" s="3">
        <f>'Monthly CFS'!C643 * 86400 * DAY(EOMONTH(D643,0)) / 43560</f>
        <v>3585.2828654276946</v>
      </c>
      <c r="H643" s="3"/>
    </row>
    <row r="644" spans="1:8" x14ac:dyDescent="0.25">
      <c r="A644" s="2">
        <v>637</v>
      </c>
      <c r="B644" s="2">
        <f t="shared" si="26"/>
        <v>1974</v>
      </c>
      <c r="C644" s="2">
        <f t="shared" si="27"/>
        <v>10</v>
      </c>
      <c r="D644" s="4">
        <v>27333</v>
      </c>
      <c r="E644" s="3">
        <v>208.40764336055321</v>
      </c>
      <c r="F644" s="14">
        <v>1</v>
      </c>
      <c r="G644" s="3">
        <f>'Monthly CFS'!C644 * 86400 * DAY(EOMONTH(D644,0)) / 43560</f>
        <v>2441.5116681819263</v>
      </c>
      <c r="H644" s="3"/>
    </row>
    <row r="645" spans="1:8" x14ac:dyDescent="0.25">
      <c r="A645" s="2">
        <v>638</v>
      </c>
      <c r="B645" s="2">
        <f t="shared" si="26"/>
        <v>1974</v>
      </c>
      <c r="C645" s="2">
        <f t="shared" si="27"/>
        <v>11</v>
      </c>
      <c r="D645" s="4">
        <v>27363</v>
      </c>
      <c r="E645" s="3">
        <v>139.90811542591678</v>
      </c>
      <c r="F645" s="14">
        <v>1</v>
      </c>
      <c r="G645" s="3">
        <f>'Monthly CFS'!C645 * 86400 * DAY(EOMONTH(D645,0)) / 43560</f>
        <v>1550.6899042060882</v>
      </c>
      <c r="H645" s="3"/>
    </row>
    <row r="646" spans="1:8" x14ac:dyDescent="0.25">
      <c r="A646" s="2">
        <v>639</v>
      </c>
      <c r="B646" s="2">
        <f t="shared" si="26"/>
        <v>1974</v>
      </c>
      <c r="C646" s="2">
        <f t="shared" si="27"/>
        <v>12</v>
      </c>
      <c r="D646" s="4">
        <v>27394</v>
      </c>
      <c r="E646" s="3">
        <v>100.09781597435999</v>
      </c>
      <c r="F646" s="14">
        <v>1</v>
      </c>
      <c r="G646" s="3">
        <f>'Monthly CFS'!C646 * 86400 * DAY(EOMONTH(D646,0)) / 43560</f>
        <v>1275.7448662618174</v>
      </c>
      <c r="H646" s="3"/>
    </row>
    <row r="647" spans="1:8" x14ac:dyDescent="0.25">
      <c r="A647" s="2">
        <v>640</v>
      </c>
      <c r="B647" s="2">
        <f t="shared" si="26"/>
        <v>1975</v>
      </c>
      <c r="C647" s="2">
        <f t="shared" si="27"/>
        <v>1</v>
      </c>
      <c r="D647" s="4">
        <v>27425</v>
      </c>
      <c r="E647" s="3">
        <v>94.480039683665979</v>
      </c>
      <c r="F647" s="14">
        <v>1</v>
      </c>
      <c r="G647" s="3">
        <f>'Monthly CFS'!C647 * 86400 * DAY(EOMONTH(D647,0)) / 43560</f>
        <v>1215.256922679878</v>
      </c>
      <c r="H647" s="3"/>
    </row>
    <row r="648" spans="1:8" x14ac:dyDescent="0.25">
      <c r="A648" s="2">
        <v>641</v>
      </c>
      <c r="B648" s="2">
        <f t="shared" si="26"/>
        <v>1975</v>
      </c>
      <c r="C648" s="2">
        <f t="shared" si="27"/>
        <v>2</v>
      </c>
      <c r="D648" s="4">
        <v>27453</v>
      </c>
      <c r="E648" s="3">
        <v>108.63618759646828</v>
      </c>
      <c r="F648" s="14">
        <v>0.81403963900489162</v>
      </c>
      <c r="G648" s="3">
        <f>'Monthly CFS'!C648 * 86400 * DAY(EOMONTH(D648,0)) / 43560</f>
        <v>1083.2833765738274</v>
      </c>
      <c r="H648" s="3"/>
    </row>
    <row r="649" spans="1:8" x14ac:dyDescent="0.25">
      <c r="A649" s="2">
        <v>642</v>
      </c>
      <c r="B649" s="2">
        <f t="shared" ref="B649:B712" si="28">YEAR(D649)</f>
        <v>1975</v>
      </c>
      <c r="C649" s="2">
        <f t="shared" ref="C649:C712" si="29">MONTH(D649)</f>
        <v>3</v>
      </c>
      <c r="D649" s="4">
        <v>27484</v>
      </c>
      <c r="E649" s="3">
        <v>106.88716825976286</v>
      </c>
      <c r="F649" s="14">
        <v>0.92066328228898664</v>
      </c>
      <c r="G649" s="3">
        <f>'Monthly CFS'!C649 * 86400 * DAY(EOMONTH(D649,0)) / 43560</f>
        <v>1314.2371232294156</v>
      </c>
      <c r="H649" s="3"/>
    </row>
    <row r="650" spans="1:8" x14ac:dyDescent="0.25">
      <c r="A650" s="2">
        <v>643</v>
      </c>
      <c r="B650" s="2">
        <f t="shared" si="28"/>
        <v>1975</v>
      </c>
      <c r="C650" s="2">
        <f t="shared" si="29"/>
        <v>4</v>
      </c>
      <c r="D650" s="4">
        <v>27514</v>
      </c>
      <c r="E650" s="3">
        <v>140.91721845376131</v>
      </c>
      <c r="F650" s="14">
        <v>1</v>
      </c>
      <c r="G650" s="3">
        <f>'Monthly CFS'!C650 * 86400 * DAY(EOMONTH(D650,0)) / 43560</f>
        <v>1561.6876860582595</v>
      </c>
      <c r="H650" s="3"/>
    </row>
    <row r="651" spans="1:8" x14ac:dyDescent="0.25">
      <c r="A651" s="2">
        <v>644</v>
      </c>
      <c r="B651" s="2">
        <f t="shared" si="28"/>
        <v>1975</v>
      </c>
      <c r="C651" s="2">
        <f t="shared" si="29"/>
        <v>5</v>
      </c>
      <c r="D651" s="4">
        <v>27545</v>
      </c>
      <c r="E651" s="3">
        <v>173.69722718890347</v>
      </c>
      <c r="F651" s="14">
        <v>1</v>
      </c>
      <c r="G651" s="3">
        <f>'Monthly CFS'!C651 * 86400 * DAY(EOMONTH(D651,0)) / 43560</f>
        <v>2304.0392106647901</v>
      </c>
      <c r="H651" s="3"/>
    </row>
    <row r="652" spans="1:8" x14ac:dyDescent="0.25">
      <c r="A652" s="2">
        <v>645</v>
      </c>
      <c r="B652" s="2">
        <f t="shared" si="28"/>
        <v>1975</v>
      </c>
      <c r="C652" s="2">
        <f t="shared" si="29"/>
        <v>6</v>
      </c>
      <c r="D652" s="4">
        <v>27575</v>
      </c>
      <c r="E652" s="3">
        <v>230.63820084858213</v>
      </c>
      <c r="F652" s="14">
        <v>1</v>
      </c>
      <c r="G652" s="3">
        <f>'Monthly CFS'!C652 * 86400 * DAY(EOMONTH(D652,0)) / 43560</f>
        <v>3029.8940420080671</v>
      </c>
      <c r="H652" s="3"/>
    </row>
    <row r="653" spans="1:8" x14ac:dyDescent="0.25">
      <c r="A653" s="2">
        <v>646</v>
      </c>
      <c r="B653" s="2">
        <f t="shared" si="28"/>
        <v>1975</v>
      </c>
      <c r="C653" s="2">
        <f t="shared" si="29"/>
        <v>7</v>
      </c>
      <c r="D653" s="4">
        <v>27606</v>
      </c>
      <c r="E653" s="3">
        <v>271.71188667119026</v>
      </c>
      <c r="F653" s="14">
        <v>1</v>
      </c>
      <c r="G653" s="3">
        <f>'Monthly CFS'!C653 * 86400 * DAY(EOMONTH(D653,0)) / 43560</f>
        <v>3887.7224194573932</v>
      </c>
      <c r="H653" s="3"/>
    </row>
    <row r="654" spans="1:8" x14ac:dyDescent="0.25">
      <c r="A654" s="2">
        <v>647</v>
      </c>
      <c r="B654" s="2">
        <f t="shared" si="28"/>
        <v>1975</v>
      </c>
      <c r="C654" s="2">
        <f t="shared" si="29"/>
        <v>8</v>
      </c>
      <c r="D654" s="4">
        <v>27637</v>
      </c>
      <c r="E654" s="3">
        <v>282.21761897027193</v>
      </c>
      <c r="F654" s="14">
        <v>1</v>
      </c>
      <c r="G654" s="3">
        <f>'Monthly CFS'!C654 * 86400 * DAY(EOMONTH(D654,0)) / 43560</f>
        <v>4250.6499170690286</v>
      </c>
      <c r="H654" s="3"/>
    </row>
    <row r="655" spans="1:8" x14ac:dyDescent="0.25">
      <c r="A655" s="2">
        <v>648</v>
      </c>
      <c r="B655" s="2">
        <f t="shared" si="28"/>
        <v>1975</v>
      </c>
      <c r="C655" s="2">
        <f t="shared" si="29"/>
        <v>9</v>
      </c>
      <c r="D655" s="4">
        <v>27667</v>
      </c>
      <c r="E655" s="3">
        <v>245.18670139121073</v>
      </c>
      <c r="F655" s="14">
        <v>1</v>
      </c>
      <c r="G655" s="3">
        <f>'Monthly CFS'!C655 * 86400 * DAY(EOMONTH(D655,0)) / 43560</f>
        <v>3585.282865427695</v>
      </c>
      <c r="H655" s="3"/>
    </row>
    <row r="656" spans="1:8" x14ac:dyDescent="0.25">
      <c r="A656" s="2">
        <v>649</v>
      </c>
      <c r="B656" s="2">
        <f t="shared" si="28"/>
        <v>1975</v>
      </c>
      <c r="C656" s="2">
        <f t="shared" si="29"/>
        <v>10</v>
      </c>
      <c r="D656" s="4">
        <v>27698</v>
      </c>
      <c r="E656" s="3">
        <v>208.40764336055324</v>
      </c>
      <c r="F656" s="14">
        <v>1</v>
      </c>
      <c r="G656" s="3">
        <f>'Monthly CFS'!C656 * 86400 * DAY(EOMONTH(D656,0)) / 43560</f>
        <v>2441.5116681819263</v>
      </c>
      <c r="H656" s="3"/>
    </row>
    <row r="657" spans="1:8" x14ac:dyDescent="0.25">
      <c r="A657" s="2">
        <v>650</v>
      </c>
      <c r="B657" s="2">
        <f t="shared" si="28"/>
        <v>1975</v>
      </c>
      <c r="C657" s="2">
        <f t="shared" si="29"/>
        <v>11</v>
      </c>
      <c r="D657" s="4">
        <v>27728</v>
      </c>
      <c r="E657" s="3">
        <v>139.9081154259168</v>
      </c>
      <c r="F657" s="14">
        <v>1</v>
      </c>
      <c r="G657" s="3">
        <f>'Monthly CFS'!C657 * 86400 * DAY(EOMONTH(D657,0)) / 43560</f>
        <v>1550.6899042060884</v>
      </c>
      <c r="H657" s="3"/>
    </row>
    <row r="658" spans="1:8" x14ac:dyDescent="0.25">
      <c r="A658" s="2">
        <v>651</v>
      </c>
      <c r="B658" s="2">
        <f t="shared" si="28"/>
        <v>1975</v>
      </c>
      <c r="C658" s="2">
        <f t="shared" si="29"/>
        <v>12</v>
      </c>
      <c r="D658" s="4">
        <v>27759</v>
      </c>
      <c r="E658" s="3">
        <v>100.09781597436</v>
      </c>
      <c r="F658" s="14">
        <v>1</v>
      </c>
      <c r="G658" s="3">
        <f>'Monthly CFS'!C658 * 86400 * DAY(EOMONTH(D658,0)) / 43560</f>
        <v>1275.7448662618172</v>
      </c>
      <c r="H658" s="3"/>
    </row>
    <row r="659" spans="1:8" x14ac:dyDescent="0.25">
      <c r="A659" s="2">
        <v>652</v>
      </c>
      <c r="B659" s="2">
        <f t="shared" si="28"/>
        <v>1976</v>
      </c>
      <c r="C659" s="2">
        <f t="shared" si="29"/>
        <v>1</v>
      </c>
      <c r="D659" s="4">
        <v>27790</v>
      </c>
      <c r="E659" s="3">
        <v>94.480039683665964</v>
      </c>
      <c r="F659" s="14">
        <v>1</v>
      </c>
      <c r="G659" s="3">
        <f>'Monthly CFS'!C659 * 86400 * DAY(EOMONTH(D659,0)) / 43560</f>
        <v>229.37475107111194</v>
      </c>
      <c r="H659" s="3"/>
    </row>
    <row r="660" spans="1:8" x14ac:dyDescent="0.25">
      <c r="A660" s="2">
        <v>653</v>
      </c>
      <c r="B660" s="2">
        <f t="shared" si="28"/>
        <v>1976</v>
      </c>
      <c r="C660" s="2">
        <f t="shared" si="29"/>
        <v>2</v>
      </c>
      <c r="D660" s="4">
        <v>27819</v>
      </c>
      <c r="E660" s="3">
        <v>104.89011216210731</v>
      </c>
      <c r="F660" s="14">
        <v>0.93774171186622501</v>
      </c>
      <c r="G660" s="3">
        <f>'Monthly CFS'!C660 * 86400 * DAY(EOMONTH(D660,0)) / 43560</f>
        <v>134.40677980195477</v>
      </c>
      <c r="H660" s="3"/>
    </row>
    <row r="661" spans="1:8" x14ac:dyDescent="0.25">
      <c r="A661" s="2">
        <v>654</v>
      </c>
      <c r="B661" s="2">
        <f t="shared" si="28"/>
        <v>1976</v>
      </c>
      <c r="C661" s="2">
        <f t="shared" si="29"/>
        <v>3</v>
      </c>
      <c r="D661" s="4">
        <v>27850</v>
      </c>
      <c r="E661" s="3">
        <v>123.59371307269335</v>
      </c>
      <c r="F661" s="14">
        <v>0.5</v>
      </c>
      <c r="G661" s="3">
        <f>'Monthly CFS'!C661 * 86400 * DAY(EOMONTH(D661,0)) / 43560</f>
        <v>289.86781576411812</v>
      </c>
      <c r="H661" s="3"/>
    </row>
    <row r="662" spans="1:8" x14ac:dyDescent="0.25">
      <c r="A662" s="2">
        <v>655</v>
      </c>
      <c r="B662" s="2">
        <f t="shared" si="28"/>
        <v>1976</v>
      </c>
      <c r="C662" s="2">
        <f t="shared" si="29"/>
        <v>4</v>
      </c>
      <c r="D662" s="4">
        <v>27880</v>
      </c>
      <c r="E662" s="3">
        <v>196.32088667964658</v>
      </c>
      <c r="F662" s="14">
        <v>0.62677827358959626</v>
      </c>
      <c r="G662" s="3">
        <f>'Monthly CFS'!C662 * 86400 * DAY(EOMONTH(D662,0)) / 43560</f>
        <v>832.55739302699487</v>
      </c>
      <c r="H662" s="3"/>
    </row>
    <row r="663" spans="1:8" x14ac:dyDescent="0.25">
      <c r="A663" s="2">
        <v>656</v>
      </c>
      <c r="B663" s="2">
        <f t="shared" si="28"/>
        <v>1976</v>
      </c>
      <c r="C663" s="2">
        <f t="shared" si="29"/>
        <v>5</v>
      </c>
      <c r="D663" s="4">
        <v>27911</v>
      </c>
      <c r="E663" s="3">
        <v>239.89165958575308</v>
      </c>
      <c r="F663" s="14">
        <v>0.70609282339699719</v>
      </c>
      <c r="G663" s="3">
        <f>'Monthly CFS'!C663 * 86400 * DAY(EOMONTH(D663,0)) / 43560</f>
        <v>1228.3153000359216</v>
      </c>
      <c r="H663" s="3"/>
    </row>
    <row r="664" spans="1:8" x14ac:dyDescent="0.25">
      <c r="A664" s="2">
        <v>657</v>
      </c>
      <c r="B664" s="2">
        <f t="shared" si="28"/>
        <v>1976</v>
      </c>
      <c r="C664" s="2">
        <f t="shared" si="29"/>
        <v>6</v>
      </c>
      <c r="D664" s="4">
        <v>27941</v>
      </c>
      <c r="E664" s="3">
        <v>275.36306112931697</v>
      </c>
      <c r="F664" s="14">
        <v>0.70609282339699708</v>
      </c>
      <c r="G664" s="3">
        <f>'Monthly CFS'!C664 * 86400 * DAY(EOMONTH(D664,0)) / 43560</f>
        <v>1615.2785907720581</v>
      </c>
      <c r="H664" s="3"/>
    </row>
    <row r="665" spans="1:8" x14ac:dyDescent="0.25">
      <c r="A665" s="2">
        <v>658</v>
      </c>
      <c r="B665" s="2">
        <f t="shared" si="28"/>
        <v>1976</v>
      </c>
      <c r="C665" s="2">
        <f t="shared" si="29"/>
        <v>7</v>
      </c>
      <c r="D665" s="4">
        <v>27972</v>
      </c>
      <c r="E665" s="3">
        <v>287.21574840608633</v>
      </c>
      <c r="F665" s="14">
        <v>0.70609282339699719</v>
      </c>
      <c r="G665" s="3">
        <f>'Monthly CFS'!C665 * 86400 * DAY(EOMONTH(D665,0)) / 43560</f>
        <v>2072.5988116905096</v>
      </c>
      <c r="H665" s="3"/>
    </row>
    <row r="666" spans="1:8" x14ac:dyDescent="0.25">
      <c r="A666" s="2">
        <v>659</v>
      </c>
      <c r="B666" s="2">
        <f t="shared" si="28"/>
        <v>1976</v>
      </c>
      <c r="C666" s="2">
        <f t="shared" si="29"/>
        <v>8</v>
      </c>
      <c r="D666" s="4">
        <v>28003</v>
      </c>
      <c r="E666" s="3">
        <v>278.99732431952134</v>
      </c>
      <c r="F666" s="14">
        <v>0.70609282339699719</v>
      </c>
      <c r="G666" s="3">
        <f>'Monthly CFS'!C666 * 86400 * DAY(EOMONTH(D666,0)) / 43560</f>
        <v>2266.0805007419299</v>
      </c>
      <c r="H666" s="3"/>
    </row>
    <row r="667" spans="1:8" x14ac:dyDescent="0.25">
      <c r="A667" s="2">
        <v>660</v>
      </c>
      <c r="B667" s="2">
        <f t="shared" si="28"/>
        <v>1976</v>
      </c>
      <c r="C667" s="2">
        <f t="shared" si="29"/>
        <v>9</v>
      </c>
      <c r="D667" s="4">
        <v>28033</v>
      </c>
      <c r="E667" s="3">
        <v>254.31992423903674</v>
      </c>
      <c r="F667" s="14">
        <v>0.70609282339699719</v>
      </c>
      <c r="G667" s="3">
        <f>'Monthly CFS'!C667 * 86400 * DAY(EOMONTH(D667,0)) / 43560</f>
        <v>1911.3640853754441</v>
      </c>
      <c r="H667" s="3"/>
    </row>
    <row r="668" spans="1:8" x14ac:dyDescent="0.25">
      <c r="A668" s="2">
        <v>661</v>
      </c>
      <c r="B668" s="2">
        <f t="shared" si="28"/>
        <v>1976</v>
      </c>
      <c r="C668" s="2">
        <f t="shared" si="29"/>
        <v>10</v>
      </c>
      <c r="D668" s="4">
        <v>28064</v>
      </c>
      <c r="E668" s="3">
        <v>214.84262990667756</v>
      </c>
      <c r="F668" s="14">
        <v>0.70609282339699708</v>
      </c>
      <c r="G668" s="3">
        <f>'Monthly CFS'!C668 * 86400 * DAY(EOMONTH(D668,0)) / 43560</f>
        <v>1301.6037762563913</v>
      </c>
      <c r="H668" s="3"/>
    </row>
    <row r="669" spans="1:8" x14ac:dyDescent="0.25">
      <c r="A669" s="2">
        <v>662</v>
      </c>
      <c r="B669" s="2">
        <f t="shared" si="28"/>
        <v>1976</v>
      </c>
      <c r="C669" s="2">
        <f t="shared" si="29"/>
        <v>11</v>
      </c>
      <c r="D669" s="4">
        <v>28094</v>
      </c>
      <c r="E669" s="3">
        <v>177.10611356726511</v>
      </c>
      <c r="F669" s="14">
        <v>0.70609282339699719</v>
      </c>
      <c r="G669" s="3">
        <f>'Monthly CFS'!C669 * 86400 * DAY(EOMONTH(D669,0)) / 43560</f>
        <v>826.6943227923615</v>
      </c>
      <c r="H669" s="3"/>
    </row>
    <row r="670" spans="1:8" x14ac:dyDescent="0.25">
      <c r="A670" s="2">
        <v>663</v>
      </c>
      <c r="B670" s="2">
        <f t="shared" si="28"/>
        <v>1976</v>
      </c>
      <c r="C670" s="2">
        <f t="shared" si="29"/>
        <v>12</v>
      </c>
      <c r="D670" s="4">
        <v>28125</v>
      </c>
      <c r="E670" s="3">
        <v>161.98826861286051</v>
      </c>
      <c r="F670" s="14">
        <v>0.70609282339699708</v>
      </c>
      <c r="G670" s="3">
        <f>'Monthly CFS'!C670 * 86400 * DAY(EOMONTH(D670,0)) / 43560</f>
        <v>680.11730482639416</v>
      </c>
      <c r="H670" s="3"/>
    </row>
    <row r="671" spans="1:8" x14ac:dyDescent="0.25">
      <c r="A671" s="2">
        <v>664</v>
      </c>
      <c r="B671" s="2">
        <f t="shared" si="28"/>
        <v>1977</v>
      </c>
      <c r="C671" s="2">
        <f t="shared" si="29"/>
        <v>1</v>
      </c>
      <c r="D671" s="4">
        <v>28156</v>
      </c>
      <c r="E671" s="3">
        <v>157.69227420397434</v>
      </c>
      <c r="F671" s="14">
        <v>0.70609282339699719</v>
      </c>
      <c r="G671" s="3">
        <f>'Monthly CFS'!C671 * 86400 * DAY(EOMONTH(D671,0)) / 43560</f>
        <v>133.67826149478654</v>
      </c>
      <c r="H671" s="3"/>
    </row>
    <row r="672" spans="1:8" x14ac:dyDescent="0.25">
      <c r="A672" s="2">
        <v>665</v>
      </c>
      <c r="B672" s="2">
        <f t="shared" si="28"/>
        <v>1977</v>
      </c>
      <c r="C672" s="2">
        <f t="shared" si="29"/>
        <v>2</v>
      </c>
      <c r="D672" s="4">
        <v>28184</v>
      </c>
      <c r="E672" s="3">
        <v>173.74392882101691</v>
      </c>
      <c r="F672" s="14">
        <v>0.24999999999999997</v>
      </c>
      <c r="G672" s="3">
        <f>'Monthly CFS'!C672 * 86400 * DAY(EOMONTH(D672,0)) / 43560</f>
        <v>119.16117142312099</v>
      </c>
      <c r="H672" s="3"/>
    </row>
    <row r="673" spans="1:8" x14ac:dyDescent="0.25">
      <c r="A673" s="2">
        <v>666</v>
      </c>
      <c r="B673" s="2">
        <f t="shared" si="28"/>
        <v>1977</v>
      </c>
      <c r="C673" s="2">
        <f t="shared" si="29"/>
        <v>3</v>
      </c>
      <c r="D673" s="4">
        <v>28215</v>
      </c>
      <c r="E673" s="3">
        <v>152.55323506385554</v>
      </c>
      <c r="F673" s="14">
        <v>0.25</v>
      </c>
      <c r="G673" s="3">
        <f>'Monthly CFS'!C673 * 86400 * DAY(EOMONTH(D673,0)) / 43560</f>
        <v>172.90393430908588</v>
      </c>
      <c r="H673" s="3"/>
    </row>
    <row r="674" spans="1:8" x14ac:dyDescent="0.25">
      <c r="A674" s="2">
        <v>667</v>
      </c>
      <c r="B674" s="2">
        <f t="shared" si="28"/>
        <v>1977</v>
      </c>
      <c r="C674" s="2">
        <f t="shared" si="29"/>
        <v>4</v>
      </c>
      <c r="D674" s="4">
        <v>28245</v>
      </c>
      <c r="E674" s="3">
        <v>196.32088667964658</v>
      </c>
      <c r="F674" s="14">
        <v>0.25</v>
      </c>
      <c r="G674" s="3">
        <f>'Monthly CFS'!C674 * 86400 * DAY(EOMONTH(D674,0)) / 43560</f>
        <v>171.78564546640848</v>
      </c>
      <c r="H674" s="3"/>
    </row>
    <row r="675" spans="1:8" x14ac:dyDescent="0.25">
      <c r="A675" s="2">
        <v>668</v>
      </c>
      <c r="B675" s="2">
        <f t="shared" si="28"/>
        <v>1977</v>
      </c>
      <c r="C675" s="2">
        <f t="shared" si="29"/>
        <v>5</v>
      </c>
      <c r="D675" s="4">
        <v>28276</v>
      </c>
      <c r="E675" s="3">
        <v>239.89165958575308</v>
      </c>
      <c r="F675" s="14">
        <v>0.25</v>
      </c>
      <c r="G675" s="3">
        <f>'Monthly CFS'!C675 * 86400 * DAY(EOMONTH(D675,0)) / 43560</f>
        <v>253.44431317312686</v>
      </c>
      <c r="H675" s="3"/>
    </row>
    <row r="676" spans="1:8" x14ac:dyDescent="0.25">
      <c r="A676" s="2">
        <v>669</v>
      </c>
      <c r="B676" s="2">
        <f t="shared" si="28"/>
        <v>1977</v>
      </c>
      <c r="C676" s="2">
        <f t="shared" si="29"/>
        <v>6</v>
      </c>
      <c r="D676" s="4">
        <v>28306</v>
      </c>
      <c r="E676" s="3">
        <v>275.36306112931697</v>
      </c>
      <c r="F676" s="14">
        <v>0.25</v>
      </c>
      <c r="G676" s="3">
        <f>'Monthly CFS'!C676 * 86400 * DAY(EOMONTH(D676,0)) / 43560</f>
        <v>333.2883446208873</v>
      </c>
      <c r="H676" s="3"/>
    </row>
    <row r="677" spans="1:8" x14ac:dyDescent="0.25">
      <c r="A677" s="2">
        <v>670</v>
      </c>
      <c r="B677" s="2">
        <f t="shared" si="28"/>
        <v>1977</v>
      </c>
      <c r="C677" s="2">
        <f t="shared" si="29"/>
        <v>7</v>
      </c>
      <c r="D677" s="4">
        <v>28337</v>
      </c>
      <c r="E677" s="3">
        <v>287.21574840608633</v>
      </c>
      <c r="F677" s="14">
        <v>0.25</v>
      </c>
      <c r="G677" s="3">
        <f>'Monthly CFS'!C677 * 86400 * DAY(EOMONTH(D677,0)) / 43560</f>
        <v>427.64946614031305</v>
      </c>
      <c r="H677" s="3"/>
    </row>
    <row r="678" spans="1:8" x14ac:dyDescent="0.25">
      <c r="A678" s="2">
        <v>671</v>
      </c>
      <c r="B678" s="2">
        <f t="shared" si="28"/>
        <v>1977</v>
      </c>
      <c r="C678" s="2">
        <f t="shared" si="29"/>
        <v>8</v>
      </c>
      <c r="D678" s="4">
        <v>28368</v>
      </c>
      <c r="E678" s="3">
        <v>278.99732431952134</v>
      </c>
      <c r="F678" s="14">
        <v>0.25</v>
      </c>
      <c r="G678" s="3">
        <f>'Monthly CFS'!C678 * 86400 * DAY(EOMONTH(D678,0)) / 43560</f>
        <v>467.57149087759342</v>
      </c>
      <c r="H678" s="3"/>
    </row>
    <row r="679" spans="1:8" x14ac:dyDescent="0.25">
      <c r="A679" s="2">
        <v>672</v>
      </c>
      <c r="B679" s="2">
        <f t="shared" si="28"/>
        <v>1977</v>
      </c>
      <c r="C679" s="2">
        <f t="shared" si="29"/>
        <v>9</v>
      </c>
      <c r="D679" s="4">
        <v>28398</v>
      </c>
      <c r="E679" s="3">
        <v>254.31992423903674</v>
      </c>
      <c r="F679" s="14">
        <v>0.25</v>
      </c>
      <c r="G679" s="3">
        <f>'Monthly CFS'!C679 * 86400 * DAY(EOMONTH(D679,0)) / 43560</f>
        <v>394.38111519704643</v>
      </c>
      <c r="H679" s="3"/>
    </row>
    <row r="680" spans="1:8" x14ac:dyDescent="0.25">
      <c r="A680" s="2">
        <v>673</v>
      </c>
      <c r="B680" s="2">
        <f t="shared" si="28"/>
        <v>1977</v>
      </c>
      <c r="C680" s="2">
        <f t="shared" si="29"/>
        <v>10</v>
      </c>
      <c r="D680" s="4">
        <v>28429</v>
      </c>
      <c r="E680" s="3">
        <v>214.84262990667759</v>
      </c>
      <c r="F680" s="14">
        <v>0.25</v>
      </c>
      <c r="G680" s="3">
        <f>'Monthly CFS'!C680 * 86400 * DAY(EOMONTH(D680,0)) / 43560</f>
        <v>268.56628350001193</v>
      </c>
      <c r="H680" s="3"/>
    </row>
    <row r="681" spans="1:8" x14ac:dyDescent="0.25">
      <c r="A681" s="2">
        <v>674</v>
      </c>
      <c r="B681" s="2">
        <f t="shared" si="28"/>
        <v>1977</v>
      </c>
      <c r="C681" s="2">
        <f t="shared" si="29"/>
        <v>11</v>
      </c>
      <c r="D681" s="4">
        <v>28459</v>
      </c>
      <c r="E681" s="3">
        <v>177.10611356726508</v>
      </c>
      <c r="F681" s="14">
        <v>0.25</v>
      </c>
      <c r="G681" s="3">
        <f>'Monthly CFS'!C681 * 86400 * DAY(EOMONTH(D681,0)) / 43560</f>
        <v>170.57588946266972</v>
      </c>
      <c r="H681" s="3"/>
    </row>
    <row r="682" spans="1:8" x14ac:dyDescent="0.25">
      <c r="A682" s="2">
        <v>675</v>
      </c>
      <c r="B682" s="2">
        <f t="shared" si="28"/>
        <v>1977</v>
      </c>
      <c r="C682" s="2">
        <f t="shared" si="29"/>
        <v>12</v>
      </c>
      <c r="D682" s="4">
        <v>28490</v>
      </c>
      <c r="E682" s="3">
        <v>161.98826861286051</v>
      </c>
      <c r="F682" s="14">
        <v>0.25</v>
      </c>
      <c r="G682" s="3">
        <f>'Monthly CFS'!C682 * 86400 * DAY(EOMONTH(D682,0)) / 43560</f>
        <v>140.33193528879991</v>
      </c>
      <c r="H682" s="3"/>
    </row>
    <row r="683" spans="1:8" x14ac:dyDescent="0.25">
      <c r="A683" s="2">
        <v>676</v>
      </c>
      <c r="B683" s="2">
        <f t="shared" si="28"/>
        <v>1978</v>
      </c>
      <c r="C683" s="2">
        <f t="shared" si="29"/>
        <v>1</v>
      </c>
      <c r="D683" s="4">
        <v>28521</v>
      </c>
      <c r="E683" s="3">
        <v>157.69227420397434</v>
      </c>
      <c r="F683" s="14">
        <v>0.25</v>
      </c>
      <c r="G683" s="3">
        <f>'Monthly CFS'!C683 * 86400 * DAY(EOMONTH(D683,0)) / 43560</f>
        <v>133.67826149478657</v>
      </c>
      <c r="H683" s="3"/>
    </row>
    <row r="684" spans="1:8" x14ac:dyDescent="0.25">
      <c r="A684" s="2">
        <v>677</v>
      </c>
      <c r="B684" s="2">
        <f t="shared" si="28"/>
        <v>1978</v>
      </c>
      <c r="C684" s="2">
        <f t="shared" si="29"/>
        <v>2</v>
      </c>
      <c r="D684" s="4">
        <v>28549</v>
      </c>
      <c r="E684" s="3">
        <v>173.743928821011</v>
      </c>
      <c r="F684" s="14">
        <v>0.5</v>
      </c>
      <c r="G684" s="3">
        <f>'Monthly CFS'!C684 * 86400 * DAY(EOMONTH(D684,0)) / 43560</f>
        <v>628.54632851595625</v>
      </c>
      <c r="H684" s="3"/>
    </row>
    <row r="685" spans="1:8" x14ac:dyDescent="0.25">
      <c r="A685" s="2">
        <v>678</v>
      </c>
      <c r="B685" s="2">
        <f t="shared" si="28"/>
        <v>1978</v>
      </c>
      <c r="C685" s="2">
        <f t="shared" si="29"/>
        <v>3</v>
      </c>
      <c r="D685" s="4">
        <v>28580</v>
      </c>
      <c r="E685" s="3">
        <v>96.914806888128012</v>
      </c>
      <c r="F685" s="14">
        <v>0.99999999999999989</v>
      </c>
      <c r="G685" s="3">
        <f>'Monthly CFS'!C685 * 86400 * DAY(EOMONTH(D685,0)) / 43560</f>
        <v>1094.3172492060544</v>
      </c>
      <c r="H685" s="3"/>
    </row>
    <row r="686" spans="1:8" x14ac:dyDescent="0.25">
      <c r="A686" s="2">
        <v>679</v>
      </c>
      <c r="B686" s="2">
        <f t="shared" si="28"/>
        <v>1978</v>
      </c>
      <c r="C686" s="2">
        <f t="shared" si="29"/>
        <v>4</v>
      </c>
      <c r="D686" s="4">
        <v>28610</v>
      </c>
      <c r="E686" s="3">
        <v>140.91721845376131</v>
      </c>
      <c r="F686" s="14">
        <v>1</v>
      </c>
      <c r="G686" s="3">
        <f>'Monthly CFS'!C686 * 86400 * DAY(EOMONTH(D686,0)) / 43560</f>
        <v>1561.6876860582588</v>
      </c>
      <c r="H686" s="3"/>
    </row>
    <row r="687" spans="1:8" x14ac:dyDescent="0.25">
      <c r="A687" s="2">
        <v>680</v>
      </c>
      <c r="B687" s="2">
        <f t="shared" si="28"/>
        <v>1978</v>
      </c>
      <c r="C687" s="2">
        <f t="shared" si="29"/>
        <v>5</v>
      </c>
      <c r="D687" s="4">
        <v>28641</v>
      </c>
      <c r="E687" s="3">
        <v>172.19561393611605</v>
      </c>
      <c r="F687" s="14">
        <v>1</v>
      </c>
      <c r="G687" s="3">
        <f>'Monthly CFS'!C687 * 86400 * DAY(EOMONTH(D687,0)) / 43560</f>
        <v>2304.0392106647901</v>
      </c>
      <c r="H687" s="3"/>
    </row>
    <row r="688" spans="1:8" x14ac:dyDescent="0.25">
      <c r="A688" s="2">
        <v>681</v>
      </c>
      <c r="B688" s="2">
        <f t="shared" si="28"/>
        <v>1978</v>
      </c>
      <c r="C688" s="2">
        <f t="shared" si="29"/>
        <v>6</v>
      </c>
      <c r="D688" s="4">
        <v>28671</v>
      </c>
      <c r="E688" s="3">
        <v>249.30857479426103</v>
      </c>
      <c r="F688" s="14">
        <v>1</v>
      </c>
      <c r="G688" s="3">
        <f>'Monthly CFS'!C688 * 86400 * DAY(EOMONTH(D688,0)) / 43560</f>
        <v>3029.8940420080671</v>
      </c>
      <c r="H688" s="3"/>
    </row>
    <row r="689" spans="1:8" x14ac:dyDescent="0.25">
      <c r="A689" s="2">
        <v>682</v>
      </c>
      <c r="B689" s="2">
        <f t="shared" si="28"/>
        <v>1978</v>
      </c>
      <c r="C689" s="2">
        <f t="shared" si="29"/>
        <v>7</v>
      </c>
      <c r="D689" s="4">
        <v>28702</v>
      </c>
      <c r="E689" s="3">
        <v>274.69602802891444</v>
      </c>
      <c r="F689" s="14">
        <v>1</v>
      </c>
      <c r="G689" s="3">
        <f>'Monthly CFS'!C689 * 86400 * DAY(EOMONTH(D689,0)) / 43560</f>
        <v>3887.7224194573919</v>
      </c>
      <c r="H689" s="3"/>
    </row>
    <row r="690" spans="1:8" x14ac:dyDescent="0.25">
      <c r="A690" s="2">
        <v>683</v>
      </c>
      <c r="B690" s="2">
        <f t="shared" si="28"/>
        <v>1978</v>
      </c>
      <c r="C690" s="2">
        <f t="shared" si="29"/>
        <v>8</v>
      </c>
      <c r="D690" s="4">
        <v>28733</v>
      </c>
      <c r="E690" s="3">
        <v>284.25012948115892</v>
      </c>
      <c r="F690" s="14">
        <v>1</v>
      </c>
      <c r="G690" s="3">
        <f>'Monthly CFS'!C690 * 86400 * DAY(EOMONTH(D690,0)) / 43560</f>
        <v>4250.6499170690286</v>
      </c>
      <c r="H690" s="3"/>
    </row>
    <row r="691" spans="1:8" x14ac:dyDescent="0.25">
      <c r="A691" s="2">
        <v>684</v>
      </c>
      <c r="B691" s="2">
        <f t="shared" si="28"/>
        <v>1978</v>
      </c>
      <c r="C691" s="2">
        <f t="shared" si="29"/>
        <v>9</v>
      </c>
      <c r="D691" s="4">
        <v>28763</v>
      </c>
      <c r="E691" s="3">
        <v>251.09751946104601</v>
      </c>
      <c r="F691" s="14">
        <v>1</v>
      </c>
      <c r="G691" s="3">
        <f>'Monthly CFS'!C691 * 86400 * DAY(EOMONTH(D691,0)) / 43560</f>
        <v>3585.2828654276937</v>
      </c>
      <c r="H691" s="3"/>
    </row>
    <row r="692" spans="1:8" x14ac:dyDescent="0.25">
      <c r="A692" s="2">
        <v>685</v>
      </c>
      <c r="B692" s="2">
        <f t="shared" si="28"/>
        <v>1978</v>
      </c>
      <c r="C692" s="2">
        <f t="shared" si="29"/>
        <v>10</v>
      </c>
      <c r="D692" s="4">
        <v>28794</v>
      </c>
      <c r="E692" s="3">
        <v>215.12985528304065</v>
      </c>
      <c r="F692" s="14">
        <v>0.99999999999999989</v>
      </c>
      <c r="G692" s="3">
        <f>'Monthly CFS'!C692 * 86400 * DAY(EOMONTH(D692,0)) / 43560</f>
        <v>2441.5116681819263</v>
      </c>
      <c r="H692" s="3"/>
    </row>
    <row r="693" spans="1:8" x14ac:dyDescent="0.25">
      <c r="A693" s="2">
        <v>686</v>
      </c>
      <c r="B693" s="2">
        <f t="shared" si="28"/>
        <v>1978</v>
      </c>
      <c r="C693" s="2">
        <f t="shared" si="29"/>
        <v>11</v>
      </c>
      <c r="D693" s="4">
        <v>28824</v>
      </c>
      <c r="E693" s="3">
        <v>152.24052617673215</v>
      </c>
      <c r="F693" s="14">
        <v>1</v>
      </c>
      <c r="G693" s="3">
        <f>'Monthly CFS'!C693 * 86400 * DAY(EOMONTH(D693,0)) / 43560</f>
        <v>1550.6899042060888</v>
      </c>
      <c r="H693" s="3"/>
    </row>
    <row r="694" spans="1:8" x14ac:dyDescent="0.25">
      <c r="A694" s="2">
        <v>687</v>
      </c>
      <c r="B694" s="2">
        <f t="shared" si="28"/>
        <v>1978</v>
      </c>
      <c r="C694" s="2">
        <f t="shared" si="29"/>
        <v>12</v>
      </c>
      <c r="D694" s="4">
        <v>28855</v>
      </c>
      <c r="E694" s="3">
        <v>138.92959785864781</v>
      </c>
      <c r="F694" s="14">
        <v>1</v>
      </c>
      <c r="G694" s="3">
        <f>'Monthly CFS'!C694 * 86400 * DAY(EOMONTH(D694,0)) / 43560</f>
        <v>1275.7448662618172</v>
      </c>
      <c r="H694" s="3"/>
    </row>
    <row r="695" spans="1:8" x14ac:dyDescent="0.25">
      <c r="A695" s="2">
        <v>688</v>
      </c>
      <c r="B695" s="2">
        <f t="shared" si="28"/>
        <v>1979</v>
      </c>
      <c r="C695" s="2">
        <f t="shared" si="29"/>
        <v>1</v>
      </c>
      <c r="D695" s="4">
        <v>28886</v>
      </c>
      <c r="E695" s="3">
        <v>110.24576070621373</v>
      </c>
      <c r="F695" s="14">
        <v>1</v>
      </c>
      <c r="G695" s="3">
        <f>'Monthly CFS'!C695 * 86400 * DAY(EOMONTH(D695,0)) / 43560</f>
        <v>133.67826149478657</v>
      </c>
      <c r="H695" s="3"/>
    </row>
    <row r="696" spans="1:8" x14ac:dyDescent="0.25">
      <c r="A696" s="2">
        <v>689</v>
      </c>
      <c r="B696" s="2">
        <f t="shared" si="28"/>
        <v>1979</v>
      </c>
      <c r="C696" s="2">
        <f t="shared" si="29"/>
        <v>2</v>
      </c>
      <c r="D696" s="4">
        <v>28914</v>
      </c>
      <c r="E696" s="3">
        <v>102.91438209013761</v>
      </c>
      <c r="F696" s="14">
        <v>0.90108843440286268</v>
      </c>
      <c r="G696" s="3">
        <f>'Monthly CFS'!C696 * 86400 * DAY(EOMONTH(D696,0)) / 43560</f>
        <v>157.59103140000636</v>
      </c>
      <c r="H696" s="3"/>
    </row>
    <row r="697" spans="1:8" x14ac:dyDescent="0.25">
      <c r="A697" s="2">
        <v>690</v>
      </c>
      <c r="B697" s="2">
        <f t="shared" si="28"/>
        <v>1979</v>
      </c>
      <c r="C697" s="2">
        <f t="shared" si="29"/>
        <v>3</v>
      </c>
      <c r="D697" s="4">
        <v>28945</v>
      </c>
      <c r="E697" s="3">
        <v>106.88716825976169</v>
      </c>
      <c r="F697" s="14">
        <v>0.69476810679145518</v>
      </c>
      <c r="G697" s="3">
        <f>'Monthly CFS'!C697 * 86400 * DAY(EOMONTH(D697,0)) / 43560</f>
        <v>733.93791838673417</v>
      </c>
      <c r="H697" s="3"/>
    </row>
    <row r="698" spans="1:8" x14ac:dyDescent="0.25">
      <c r="A698" s="2">
        <v>691</v>
      </c>
      <c r="B698" s="2">
        <f t="shared" si="28"/>
        <v>1979</v>
      </c>
      <c r="C698" s="2">
        <f t="shared" si="29"/>
        <v>4</v>
      </c>
      <c r="D698" s="4">
        <v>28975</v>
      </c>
      <c r="E698" s="3">
        <v>181.23525201198254</v>
      </c>
      <c r="F698" s="14">
        <v>0.92563338509066329</v>
      </c>
      <c r="G698" s="3">
        <f>'Monthly CFS'!C698 * 86400 * DAY(EOMONTH(D698,0)) / 43560</f>
        <v>1561.6876860582588</v>
      </c>
      <c r="H698" s="3"/>
    </row>
    <row r="699" spans="1:8" x14ac:dyDescent="0.25">
      <c r="A699" s="2">
        <v>692</v>
      </c>
      <c r="B699" s="2">
        <f t="shared" si="28"/>
        <v>1979</v>
      </c>
      <c r="C699" s="2">
        <f t="shared" si="29"/>
        <v>5</v>
      </c>
      <c r="D699" s="4">
        <v>29006</v>
      </c>
      <c r="E699" s="3">
        <v>189.91672423298655</v>
      </c>
      <c r="F699" s="14">
        <v>1</v>
      </c>
      <c r="G699" s="3">
        <f>'Monthly CFS'!C699 * 86400 * DAY(EOMONTH(D699,0)) / 43560</f>
        <v>2304.0392106647914</v>
      </c>
      <c r="H699" s="3"/>
    </row>
    <row r="700" spans="1:8" x14ac:dyDescent="0.25">
      <c r="A700" s="2">
        <v>693</v>
      </c>
      <c r="B700" s="2">
        <f t="shared" si="28"/>
        <v>1979</v>
      </c>
      <c r="C700" s="2">
        <f t="shared" si="29"/>
        <v>6</v>
      </c>
      <c r="D700" s="4">
        <v>29036</v>
      </c>
      <c r="E700" s="3">
        <v>249.94227532208063</v>
      </c>
      <c r="F700" s="14">
        <v>1</v>
      </c>
      <c r="G700" s="3">
        <f>'Monthly CFS'!C700 * 86400 * DAY(EOMONTH(D700,0)) / 43560</f>
        <v>3029.8940420080671</v>
      </c>
      <c r="H700" s="3"/>
    </row>
    <row r="701" spans="1:8" x14ac:dyDescent="0.25">
      <c r="A701" s="2">
        <v>694</v>
      </c>
      <c r="B701" s="2">
        <f t="shared" si="28"/>
        <v>1979</v>
      </c>
      <c r="C701" s="2">
        <f t="shared" si="29"/>
        <v>7</v>
      </c>
      <c r="D701" s="4">
        <v>29067</v>
      </c>
      <c r="E701" s="3">
        <v>278.83348316359661</v>
      </c>
      <c r="F701" s="14">
        <v>1</v>
      </c>
      <c r="G701" s="3">
        <f>'Monthly CFS'!C701 * 86400 * DAY(EOMONTH(D701,0)) / 43560</f>
        <v>3887.7224194573905</v>
      </c>
      <c r="H701" s="3"/>
    </row>
    <row r="702" spans="1:8" x14ac:dyDescent="0.25">
      <c r="A702" s="2">
        <v>695</v>
      </c>
      <c r="B702" s="2">
        <f t="shared" si="28"/>
        <v>1979</v>
      </c>
      <c r="C702" s="2">
        <f t="shared" si="29"/>
        <v>8</v>
      </c>
      <c r="D702" s="4">
        <v>29098</v>
      </c>
      <c r="E702" s="3">
        <v>281.64601106700832</v>
      </c>
      <c r="F702" s="14">
        <v>0.99999999999999989</v>
      </c>
      <c r="G702" s="3">
        <f>'Monthly CFS'!C702 * 86400 * DAY(EOMONTH(D702,0)) / 43560</f>
        <v>4250.6499170690258</v>
      </c>
      <c r="H702" s="3"/>
    </row>
    <row r="703" spans="1:8" x14ac:dyDescent="0.25">
      <c r="A703" s="2">
        <v>696</v>
      </c>
      <c r="B703" s="2">
        <f t="shared" si="28"/>
        <v>1979</v>
      </c>
      <c r="C703" s="2">
        <f t="shared" si="29"/>
        <v>9</v>
      </c>
      <c r="D703" s="4">
        <v>29128</v>
      </c>
      <c r="E703" s="3">
        <v>247.80503551638381</v>
      </c>
      <c r="F703" s="14">
        <v>1</v>
      </c>
      <c r="G703" s="3">
        <f>'Monthly CFS'!C703 * 86400 * DAY(EOMONTH(D703,0)) / 43560</f>
        <v>3585.2828654276946</v>
      </c>
      <c r="H703" s="3"/>
    </row>
    <row r="704" spans="1:8" x14ac:dyDescent="0.25">
      <c r="A704" s="2">
        <v>697</v>
      </c>
      <c r="B704" s="2">
        <f t="shared" si="28"/>
        <v>1979</v>
      </c>
      <c r="C704" s="2">
        <f t="shared" si="29"/>
        <v>10</v>
      </c>
      <c r="D704" s="4">
        <v>29159</v>
      </c>
      <c r="E704" s="3">
        <v>213.68325149262245</v>
      </c>
      <c r="F704" s="14">
        <v>1</v>
      </c>
      <c r="G704" s="3">
        <f>'Monthly CFS'!C704 * 86400 * DAY(EOMONTH(D704,0)) / 43560</f>
        <v>2441.5116681819259</v>
      </c>
      <c r="H704" s="3"/>
    </row>
    <row r="705" spans="1:8" x14ac:dyDescent="0.25">
      <c r="A705" s="2">
        <v>698</v>
      </c>
      <c r="B705" s="2">
        <f t="shared" si="28"/>
        <v>1979</v>
      </c>
      <c r="C705" s="2">
        <f t="shared" si="29"/>
        <v>11</v>
      </c>
      <c r="D705" s="4">
        <v>29189</v>
      </c>
      <c r="E705" s="3">
        <v>158.89264570494973</v>
      </c>
      <c r="F705" s="14">
        <v>1</v>
      </c>
      <c r="G705" s="3">
        <f>'Monthly CFS'!C705 * 86400 * DAY(EOMONTH(D705,0)) / 43560</f>
        <v>1550.6899042060877</v>
      </c>
      <c r="H705" s="3"/>
    </row>
    <row r="706" spans="1:8" x14ac:dyDescent="0.25">
      <c r="A706" s="2">
        <v>699</v>
      </c>
      <c r="B706" s="2">
        <f t="shared" si="28"/>
        <v>1979</v>
      </c>
      <c r="C706" s="2">
        <f t="shared" si="29"/>
        <v>12</v>
      </c>
      <c r="D706" s="4">
        <v>29220</v>
      </c>
      <c r="E706" s="3">
        <v>140.7197017834973</v>
      </c>
      <c r="F706" s="14">
        <v>1</v>
      </c>
      <c r="G706" s="3">
        <f>'Monthly CFS'!C706 * 86400 * DAY(EOMONTH(D706,0)) / 43560</f>
        <v>1275.7448662618174</v>
      </c>
      <c r="H706" s="3"/>
    </row>
    <row r="707" spans="1:8" x14ac:dyDescent="0.25">
      <c r="A707" s="2">
        <v>700</v>
      </c>
      <c r="B707" s="2">
        <f t="shared" si="28"/>
        <v>1980</v>
      </c>
      <c r="C707" s="2">
        <f t="shared" si="29"/>
        <v>1</v>
      </c>
      <c r="D707" s="4">
        <v>29251</v>
      </c>
      <c r="E707" s="3">
        <v>120.71654124454041</v>
      </c>
      <c r="F707" s="14">
        <v>1</v>
      </c>
      <c r="G707" s="3">
        <f>'Monthly CFS'!C707 * 86400 * DAY(EOMONTH(D707,0)) / 43560</f>
        <v>887.10998360026827</v>
      </c>
      <c r="H707" s="3"/>
    </row>
    <row r="708" spans="1:8" x14ac:dyDescent="0.25">
      <c r="A708" s="2">
        <v>701</v>
      </c>
      <c r="B708" s="2">
        <f t="shared" si="28"/>
        <v>1980</v>
      </c>
      <c r="C708" s="2">
        <f t="shared" si="29"/>
        <v>2</v>
      </c>
      <c r="D708" s="4">
        <v>29280</v>
      </c>
      <c r="E708" s="3">
        <v>110.50888971995006</v>
      </c>
      <c r="F708" s="14">
        <v>1</v>
      </c>
      <c r="G708" s="3">
        <f>'Monthly CFS'!C708 * 86400 * DAY(EOMONTH(D708,0)) / 43560</f>
        <v>1083.2833765738276</v>
      </c>
      <c r="H708" s="3"/>
    </row>
    <row r="709" spans="1:8" x14ac:dyDescent="0.25">
      <c r="A709" s="2">
        <v>702</v>
      </c>
      <c r="B709" s="2">
        <f t="shared" si="28"/>
        <v>1980</v>
      </c>
      <c r="C709" s="2">
        <f t="shared" si="29"/>
        <v>3</v>
      </c>
      <c r="D709" s="4">
        <v>29311</v>
      </c>
      <c r="E709" s="3">
        <v>95.988743796675948</v>
      </c>
      <c r="F709" s="14">
        <v>1</v>
      </c>
      <c r="G709" s="3">
        <f>'Monthly CFS'!C709 * 86400 * DAY(EOMONTH(D709,0)) / 43560</f>
        <v>1314.2371232294154</v>
      </c>
      <c r="H709" s="3"/>
    </row>
    <row r="710" spans="1:8" x14ac:dyDescent="0.25">
      <c r="A710" s="2">
        <v>703</v>
      </c>
      <c r="B710" s="2">
        <f t="shared" si="28"/>
        <v>1980</v>
      </c>
      <c r="C710" s="2">
        <f t="shared" si="29"/>
        <v>4</v>
      </c>
      <c r="D710" s="4">
        <v>29341</v>
      </c>
      <c r="E710" s="3">
        <v>127.84175342511902</v>
      </c>
      <c r="F710" s="14">
        <v>1</v>
      </c>
      <c r="G710" s="3">
        <f>'Monthly CFS'!C710 * 86400 * DAY(EOMONTH(D710,0)) / 43560</f>
        <v>1561.687686058259</v>
      </c>
      <c r="H710" s="3"/>
    </row>
    <row r="711" spans="1:8" x14ac:dyDescent="0.25">
      <c r="A711" s="2">
        <v>704</v>
      </c>
      <c r="B711" s="2">
        <f t="shared" si="28"/>
        <v>1980</v>
      </c>
      <c r="C711" s="2">
        <f t="shared" si="29"/>
        <v>5</v>
      </c>
      <c r="D711" s="4">
        <v>29372</v>
      </c>
      <c r="E711" s="3">
        <v>173.69722718890347</v>
      </c>
      <c r="F711" s="14">
        <v>1</v>
      </c>
      <c r="G711" s="3">
        <f>'Monthly CFS'!C711 * 86400 * DAY(EOMONTH(D711,0)) / 43560</f>
        <v>2304.039210664791</v>
      </c>
      <c r="H711" s="3"/>
    </row>
    <row r="712" spans="1:8" x14ac:dyDescent="0.25">
      <c r="A712" s="2">
        <v>705</v>
      </c>
      <c r="B712" s="2">
        <f t="shared" si="28"/>
        <v>1980</v>
      </c>
      <c r="C712" s="2">
        <f t="shared" si="29"/>
        <v>6</v>
      </c>
      <c r="D712" s="4">
        <v>29402</v>
      </c>
      <c r="E712" s="3">
        <v>230.63820084858216</v>
      </c>
      <c r="F712" s="14">
        <v>1</v>
      </c>
      <c r="G712" s="3">
        <f>'Monthly CFS'!C712 * 86400 * DAY(EOMONTH(D712,0)) / 43560</f>
        <v>3029.8940420080658</v>
      </c>
      <c r="H712" s="3"/>
    </row>
    <row r="713" spans="1:8" x14ac:dyDescent="0.25">
      <c r="A713" s="2">
        <v>706</v>
      </c>
      <c r="B713" s="2">
        <f t="shared" ref="B713:B776" si="30">YEAR(D713)</f>
        <v>1980</v>
      </c>
      <c r="C713" s="2">
        <f t="shared" ref="C713:C776" si="31">MONTH(D713)</f>
        <v>7</v>
      </c>
      <c r="D713" s="4">
        <v>29433</v>
      </c>
      <c r="E713" s="3">
        <v>271.71188667119026</v>
      </c>
      <c r="F713" s="14">
        <v>1</v>
      </c>
      <c r="G713" s="3">
        <f>'Monthly CFS'!C713 * 86400 * DAY(EOMONTH(D713,0)) / 43560</f>
        <v>3887.7224194573905</v>
      </c>
      <c r="H713" s="3"/>
    </row>
    <row r="714" spans="1:8" x14ac:dyDescent="0.25">
      <c r="A714" s="2">
        <v>707</v>
      </c>
      <c r="B714" s="2">
        <f t="shared" si="30"/>
        <v>1980</v>
      </c>
      <c r="C714" s="2">
        <f t="shared" si="31"/>
        <v>8</v>
      </c>
      <c r="D714" s="4">
        <v>29464</v>
      </c>
      <c r="E714" s="3">
        <v>282.21761897027187</v>
      </c>
      <c r="F714" s="14">
        <v>1</v>
      </c>
      <c r="G714" s="3">
        <f>'Monthly CFS'!C714 * 86400 * DAY(EOMONTH(D714,0)) / 43560</f>
        <v>4250.6499170690267</v>
      </c>
      <c r="H714" s="3"/>
    </row>
    <row r="715" spans="1:8" x14ac:dyDescent="0.25">
      <c r="A715" s="2">
        <v>708</v>
      </c>
      <c r="B715" s="2">
        <f t="shared" si="30"/>
        <v>1980</v>
      </c>
      <c r="C715" s="2">
        <f t="shared" si="31"/>
        <v>9</v>
      </c>
      <c r="D715" s="4">
        <v>29494</v>
      </c>
      <c r="E715" s="3">
        <v>245.18670139121073</v>
      </c>
      <c r="F715" s="14">
        <v>1</v>
      </c>
      <c r="G715" s="3">
        <f>'Monthly CFS'!C715 * 86400 * DAY(EOMONTH(D715,0)) / 43560</f>
        <v>3585.2828654276932</v>
      </c>
      <c r="H715" s="3"/>
    </row>
    <row r="716" spans="1:8" x14ac:dyDescent="0.25">
      <c r="A716" s="2">
        <v>709</v>
      </c>
      <c r="B716" s="2">
        <f t="shared" si="30"/>
        <v>1980</v>
      </c>
      <c r="C716" s="2">
        <f t="shared" si="31"/>
        <v>10</v>
      </c>
      <c r="D716" s="4">
        <v>29525</v>
      </c>
      <c r="E716" s="3">
        <v>208.40764336055324</v>
      </c>
      <c r="F716" s="14">
        <v>1</v>
      </c>
      <c r="G716" s="3">
        <f>'Monthly CFS'!C716 * 86400 * DAY(EOMONTH(D716,0)) / 43560</f>
        <v>2441.5116681819259</v>
      </c>
      <c r="H716" s="3"/>
    </row>
    <row r="717" spans="1:8" x14ac:dyDescent="0.25">
      <c r="A717" s="2">
        <v>710</v>
      </c>
      <c r="B717" s="2">
        <f t="shared" si="30"/>
        <v>1980</v>
      </c>
      <c r="C717" s="2">
        <f t="shared" si="31"/>
        <v>11</v>
      </c>
      <c r="D717" s="4">
        <v>29555</v>
      </c>
      <c r="E717" s="3">
        <v>139.9081154259168</v>
      </c>
      <c r="F717" s="14">
        <v>1</v>
      </c>
      <c r="G717" s="3">
        <f>'Monthly CFS'!C717 * 86400 * DAY(EOMONTH(D717,0)) / 43560</f>
        <v>1550.6899042060882</v>
      </c>
      <c r="H717" s="3"/>
    </row>
    <row r="718" spans="1:8" x14ac:dyDescent="0.25">
      <c r="A718" s="2">
        <v>711</v>
      </c>
      <c r="B718" s="2">
        <f t="shared" si="30"/>
        <v>1980</v>
      </c>
      <c r="C718" s="2">
        <f t="shared" si="31"/>
        <v>12</v>
      </c>
      <c r="D718" s="4">
        <v>29586</v>
      </c>
      <c r="E718" s="3">
        <v>100.09781597435997</v>
      </c>
      <c r="F718" s="14">
        <v>1</v>
      </c>
      <c r="G718" s="3">
        <f>'Monthly CFS'!C718 * 86400 * DAY(EOMONTH(D718,0)) / 43560</f>
        <v>1275.7448662618172</v>
      </c>
      <c r="H718" s="3"/>
    </row>
    <row r="719" spans="1:8" x14ac:dyDescent="0.25">
      <c r="A719" s="2">
        <v>712</v>
      </c>
      <c r="B719" s="2">
        <f t="shared" si="30"/>
        <v>1981</v>
      </c>
      <c r="C719" s="2">
        <f t="shared" si="31"/>
        <v>1</v>
      </c>
      <c r="D719" s="4">
        <v>29617</v>
      </c>
      <c r="E719" s="3">
        <v>94.480039683665979</v>
      </c>
      <c r="F719" s="14">
        <v>1</v>
      </c>
      <c r="G719" s="3">
        <f>'Monthly CFS'!C719 * 86400 * DAY(EOMONTH(D719,0)) / 43560</f>
        <v>133.67826149478657</v>
      </c>
      <c r="H719" s="3"/>
    </row>
    <row r="720" spans="1:8" x14ac:dyDescent="0.25">
      <c r="A720" s="2">
        <v>713</v>
      </c>
      <c r="B720" s="2">
        <f t="shared" si="30"/>
        <v>1981</v>
      </c>
      <c r="C720" s="2">
        <f t="shared" si="31"/>
        <v>2</v>
      </c>
      <c r="D720" s="4">
        <v>29645</v>
      </c>
      <c r="E720" s="3">
        <v>108.63618759646828</v>
      </c>
      <c r="F720" s="14">
        <v>0.88582120778811502</v>
      </c>
      <c r="G720" s="3">
        <f>'Monthly CFS'!C720 * 86400 * DAY(EOMONTH(D720,0)) / 43560</f>
        <v>119.16117142312108</v>
      </c>
      <c r="H720" s="3"/>
    </row>
    <row r="721" spans="1:8" x14ac:dyDescent="0.25">
      <c r="A721" s="2">
        <v>714</v>
      </c>
      <c r="B721" s="2">
        <f t="shared" si="30"/>
        <v>1981</v>
      </c>
      <c r="C721" s="2">
        <f t="shared" si="31"/>
        <v>3</v>
      </c>
      <c r="D721" s="4">
        <v>29676</v>
      </c>
      <c r="E721" s="3">
        <v>123.59371307269473</v>
      </c>
      <c r="F721" s="14">
        <v>0.83284285882935549</v>
      </c>
      <c r="G721" s="3">
        <f>'Monthly CFS'!C721 * 86400 * DAY(EOMONTH(D721,0)) / 43560</f>
        <v>214.72123202124641</v>
      </c>
      <c r="H721" s="3"/>
    </row>
    <row r="722" spans="1:8" x14ac:dyDescent="0.25">
      <c r="A722" s="2">
        <v>715</v>
      </c>
      <c r="B722" s="2">
        <f t="shared" si="30"/>
        <v>1981</v>
      </c>
      <c r="C722" s="2">
        <f t="shared" si="31"/>
        <v>4</v>
      </c>
      <c r="D722" s="4">
        <v>29706</v>
      </c>
      <c r="E722" s="3">
        <v>181.23525201198251</v>
      </c>
      <c r="F722" s="14">
        <v>0.94724028069810318</v>
      </c>
      <c r="G722" s="3">
        <f>'Monthly CFS'!C722 * 86400 * DAY(EOMONTH(D722,0)) / 43560</f>
        <v>922.84756023982322</v>
      </c>
      <c r="H722" s="3"/>
    </row>
    <row r="723" spans="1:8" x14ac:dyDescent="0.25">
      <c r="A723" s="2">
        <v>716</v>
      </c>
      <c r="B723" s="2">
        <f t="shared" si="30"/>
        <v>1981</v>
      </c>
      <c r="C723" s="2">
        <f t="shared" si="31"/>
        <v>5</v>
      </c>
      <c r="D723" s="4">
        <v>29737</v>
      </c>
      <c r="E723" s="3">
        <v>220.07156033713079</v>
      </c>
      <c r="F723" s="14">
        <v>1</v>
      </c>
      <c r="G723" s="3">
        <f>'Monthly CFS'!C723 * 86400 * DAY(EOMONTH(D723,0)) / 43560</f>
        <v>1361.5250880447609</v>
      </c>
      <c r="H723" s="3"/>
    </row>
    <row r="724" spans="1:8" x14ac:dyDescent="0.25">
      <c r="A724" s="2">
        <v>717</v>
      </c>
      <c r="B724" s="2">
        <f t="shared" si="30"/>
        <v>1981</v>
      </c>
      <c r="C724" s="2">
        <f t="shared" si="31"/>
        <v>6</v>
      </c>
      <c r="D724" s="4">
        <v>29767</v>
      </c>
      <c r="E724" s="3">
        <v>257.70906701703865</v>
      </c>
      <c r="F724" s="14">
        <v>1</v>
      </c>
      <c r="G724" s="3">
        <f>'Monthly CFS'!C724 * 86400 * DAY(EOMONTH(D724,0)) / 43560</f>
        <v>1790.4542306469905</v>
      </c>
      <c r="H724" s="3"/>
    </row>
    <row r="725" spans="1:8" x14ac:dyDescent="0.25">
      <c r="A725" s="2">
        <v>718</v>
      </c>
      <c r="B725" s="2">
        <f t="shared" si="30"/>
        <v>1981</v>
      </c>
      <c r="C725" s="2">
        <f t="shared" si="31"/>
        <v>7</v>
      </c>
      <c r="D725" s="4">
        <v>29798</v>
      </c>
      <c r="E725" s="3">
        <v>288.24290179325095</v>
      </c>
      <c r="F725" s="14">
        <v>1</v>
      </c>
      <c r="G725" s="3">
        <f>'Monthly CFS'!C725 * 86400 * DAY(EOMONTH(D725,0)) / 43560</f>
        <v>2297.3704548708815</v>
      </c>
      <c r="H725" s="3"/>
    </row>
    <row r="726" spans="1:8" x14ac:dyDescent="0.25">
      <c r="A726" s="2">
        <v>719</v>
      </c>
      <c r="B726" s="2">
        <f t="shared" si="30"/>
        <v>1981</v>
      </c>
      <c r="C726" s="2">
        <f t="shared" si="31"/>
        <v>8</v>
      </c>
      <c r="D726" s="4">
        <v>29829</v>
      </c>
      <c r="E726" s="3">
        <v>279.99483921206041</v>
      </c>
      <c r="F726" s="14">
        <v>1</v>
      </c>
      <c r="G726" s="3">
        <f>'Monthly CFS'!C726 * 86400 * DAY(EOMONTH(D726,0)) / 43560</f>
        <v>2511.8350745927728</v>
      </c>
      <c r="H726" s="3"/>
    </row>
    <row r="727" spans="1:8" x14ac:dyDescent="0.25">
      <c r="A727" s="2">
        <v>720</v>
      </c>
      <c r="B727" s="2">
        <f t="shared" si="30"/>
        <v>1981</v>
      </c>
      <c r="C727" s="2">
        <f t="shared" si="31"/>
        <v>9</v>
      </c>
      <c r="D727" s="4">
        <v>29859</v>
      </c>
      <c r="E727" s="3">
        <v>253.56663201676474</v>
      </c>
      <c r="F727" s="14">
        <v>1</v>
      </c>
      <c r="G727" s="3">
        <f>'Monthly CFS'!C727 * 86400 * DAY(EOMONTH(D727,0)) / 43560</f>
        <v>2118.6499545762313</v>
      </c>
      <c r="H727" s="3"/>
    </row>
    <row r="728" spans="1:8" x14ac:dyDescent="0.25">
      <c r="A728" s="2">
        <v>721</v>
      </c>
      <c r="B728" s="2">
        <f t="shared" si="30"/>
        <v>1981</v>
      </c>
      <c r="C728" s="2">
        <f t="shared" si="31"/>
        <v>10</v>
      </c>
      <c r="D728" s="4">
        <v>29890</v>
      </c>
      <c r="E728" s="3">
        <v>216.07475469170529</v>
      </c>
      <c r="F728" s="14">
        <v>1</v>
      </c>
      <c r="G728" s="3">
        <f>'Monthly CFS'!C728 * 86400 * DAY(EOMONTH(D728,0)) / 43560</f>
        <v>1442.7616394707861</v>
      </c>
      <c r="H728" s="3"/>
    </row>
    <row r="729" spans="1:8" x14ac:dyDescent="0.25">
      <c r="A729" s="2">
        <v>722</v>
      </c>
      <c r="B729" s="2">
        <f t="shared" si="30"/>
        <v>1981</v>
      </c>
      <c r="C729" s="2">
        <f t="shared" si="31"/>
        <v>11</v>
      </c>
      <c r="D729" s="4">
        <v>29920</v>
      </c>
      <c r="E729" s="3">
        <v>174.85540601156069</v>
      </c>
      <c r="F729" s="14">
        <v>1</v>
      </c>
      <c r="G729" s="3">
        <f>'Monthly CFS'!C729 * 86400 * DAY(EOMONTH(D729,0)) / 43560</f>
        <v>916.34864484148068</v>
      </c>
      <c r="H729" s="3"/>
    </row>
    <row r="730" spans="1:8" x14ac:dyDescent="0.25">
      <c r="A730" s="2">
        <v>723</v>
      </c>
      <c r="B730" s="2">
        <f t="shared" si="30"/>
        <v>1981</v>
      </c>
      <c r="C730" s="2">
        <f t="shared" si="31"/>
        <v>12</v>
      </c>
      <c r="D730" s="4">
        <v>29951</v>
      </c>
      <c r="E730" s="3">
        <v>153.1868782359345</v>
      </c>
      <c r="F730" s="14">
        <v>1</v>
      </c>
      <c r="G730" s="3">
        <f>'Monthly CFS'!C730 * 86400 * DAY(EOMONTH(D730,0)) / 43560</f>
        <v>753.87546935826765</v>
      </c>
      <c r="H730" s="3"/>
    </row>
    <row r="731" spans="1:8" x14ac:dyDescent="0.25">
      <c r="A731" s="2">
        <v>724</v>
      </c>
      <c r="B731" s="2">
        <f t="shared" si="30"/>
        <v>1982</v>
      </c>
      <c r="C731" s="2">
        <f t="shared" si="31"/>
        <v>1</v>
      </c>
      <c r="D731" s="4">
        <v>29982</v>
      </c>
      <c r="E731" s="3">
        <v>148.33069936464571</v>
      </c>
      <c r="F731" s="14">
        <v>1</v>
      </c>
      <c r="G731" s="3">
        <f>'Monthly CFS'!C731 * 86400 * DAY(EOMONTH(D731,0)) / 43560</f>
        <v>1215.256922679878</v>
      </c>
      <c r="H731" s="3"/>
    </row>
    <row r="732" spans="1:8" x14ac:dyDescent="0.25">
      <c r="A732" s="2">
        <v>725</v>
      </c>
      <c r="B732" s="2">
        <f t="shared" si="30"/>
        <v>1982</v>
      </c>
      <c r="C732" s="2">
        <f t="shared" si="31"/>
        <v>2</v>
      </c>
      <c r="D732" s="4">
        <v>30010</v>
      </c>
      <c r="E732" s="3">
        <v>145.70191233106175</v>
      </c>
      <c r="F732" s="14">
        <v>1</v>
      </c>
      <c r="G732" s="3">
        <f>'Monthly CFS'!C732 * 86400 * DAY(EOMONTH(D732,0)) / 43560</f>
        <v>1083.2833765738276</v>
      </c>
      <c r="H732" s="3"/>
    </row>
    <row r="733" spans="1:8" x14ac:dyDescent="0.25">
      <c r="A733" s="2">
        <v>726</v>
      </c>
      <c r="B733" s="2">
        <f t="shared" si="30"/>
        <v>1982</v>
      </c>
      <c r="C733" s="2">
        <f t="shared" si="31"/>
        <v>3</v>
      </c>
      <c r="D733" s="4">
        <v>30041</v>
      </c>
      <c r="E733" s="3">
        <v>95.988743796674854</v>
      </c>
      <c r="F733" s="14">
        <v>1</v>
      </c>
      <c r="G733" s="3">
        <f>'Monthly CFS'!C733 * 86400 * DAY(EOMONTH(D733,0)) / 43560</f>
        <v>1314.2371232294154</v>
      </c>
      <c r="H733" s="3"/>
    </row>
    <row r="734" spans="1:8" x14ac:dyDescent="0.25">
      <c r="A734" s="2">
        <v>727</v>
      </c>
      <c r="B734" s="2">
        <f t="shared" si="30"/>
        <v>1982</v>
      </c>
      <c r="C734" s="2">
        <f t="shared" si="31"/>
        <v>4</v>
      </c>
      <c r="D734" s="4">
        <v>30071</v>
      </c>
      <c r="E734" s="3">
        <v>127.84175342511904</v>
      </c>
      <c r="F734" s="14">
        <v>1</v>
      </c>
      <c r="G734" s="3">
        <f>'Monthly CFS'!C734 * 86400 * DAY(EOMONTH(D734,0)) / 43560</f>
        <v>1561.6876860582584</v>
      </c>
      <c r="H734" s="3"/>
    </row>
    <row r="735" spans="1:8" x14ac:dyDescent="0.25">
      <c r="A735" s="2">
        <v>728</v>
      </c>
      <c r="B735" s="2">
        <f t="shared" si="30"/>
        <v>1982</v>
      </c>
      <c r="C735" s="2">
        <f t="shared" si="31"/>
        <v>5</v>
      </c>
      <c r="D735" s="4">
        <v>30102</v>
      </c>
      <c r="E735" s="3">
        <v>173.69722718890347</v>
      </c>
      <c r="F735" s="14">
        <v>1</v>
      </c>
      <c r="G735" s="3">
        <f>'Monthly CFS'!C735 * 86400 * DAY(EOMONTH(D735,0)) / 43560</f>
        <v>2304.039210664791</v>
      </c>
      <c r="H735" s="3"/>
    </row>
    <row r="736" spans="1:8" x14ac:dyDescent="0.25">
      <c r="A736" s="2">
        <v>729</v>
      </c>
      <c r="B736" s="2">
        <f t="shared" si="30"/>
        <v>1982</v>
      </c>
      <c r="C736" s="2">
        <f t="shared" si="31"/>
        <v>6</v>
      </c>
      <c r="D736" s="4">
        <v>30132</v>
      </c>
      <c r="E736" s="3">
        <v>230.63820084858216</v>
      </c>
      <c r="F736" s="14">
        <v>1</v>
      </c>
      <c r="G736" s="3">
        <f>'Monthly CFS'!C736 * 86400 * DAY(EOMONTH(D736,0)) / 43560</f>
        <v>3029.8940420080662</v>
      </c>
      <c r="H736" s="3"/>
    </row>
    <row r="737" spans="1:8" x14ac:dyDescent="0.25">
      <c r="A737" s="2">
        <v>730</v>
      </c>
      <c r="B737" s="2">
        <f t="shared" si="30"/>
        <v>1982</v>
      </c>
      <c r="C737" s="2">
        <f t="shared" si="31"/>
        <v>7</v>
      </c>
      <c r="D737" s="4">
        <v>30163</v>
      </c>
      <c r="E737" s="3">
        <v>271.7118866711902</v>
      </c>
      <c r="F737" s="14">
        <v>1</v>
      </c>
      <c r="G737" s="3">
        <f>'Monthly CFS'!C737 * 86400 * DAY(EOMONTH(D737,0)) / 43560</f>
        <v>3887.7224194573914</v>
      </c>
      <c r="H737" s="3"/>
    </row>
    <row r="738" spans="1:8" x14ac:dyDescent="0.25">
      <c r="A738" s="2">
        <v>731</v>
      </c>
      <c r="B738" s="2">
        <f t="shared" si="30"/>
        <v>1982</v>
      </c>
      <c r="C738" s="2">
        <f t="shared" si="31"/>
        <v>8</v>
      </c>
      <c r="D738" s="4">
        <v>30194</v>
      </c>
      <c r="E738" s="3">
        <v>282.21761897027193</v>
      </c>
      <c r="F738" s="14">
        <v>1</v>
      </c>
      <c r="G738" s="3">
        <f>'Monthly CFS'!C738 * 86400 * DAY(EOMONTH(D738,0)) / 43560</f>
        <v>4250.6499170690295</v>
      </c>
      <c r="H738" s="3"/>
    </row>
    <row r="739" spans="1:8" x14ac:dyDescent="0.25">
      <c r="A739" s="2">
        <v>732</v>
      </c>
      <c r="B739" s="2">
        <f t="shared" si="30"/>
        <v>1982</v>
      </c>
      <c r="C739" s="2">
        <f t="shared" si="31"/>
        <v>9</v>
      </c>
      <c r="D739" s="4">
        <v>30224</v>
      </c>
      <c r="E739" s="3">
        <v>245.18670139121073</v>
      </c>
      <c r="F739" s="14">
        <v>0.99999999999999989</v>
      </c>
      <c r="G739" s="3">
        <f>'Monthly CFS'!C739 * 86400 * DAY(EOMONTH(D739,0)) / 43560</f>
        <v>3585.2828654276932</v>
      </c>
      <c r="H739" s="3"/>
    </row>
    <row r="740" spans="1:8" x14ac:dyDescent="0.25">
      <c r="A740" s="2">
        <v>733</v>
      </c>
      <c r="B740" s="2">
        <f t="shared" si="30"/>
        <v>1982</v>
      </c>
      <c r="C740" s="2">
        <f t="shared" si="31"/>
        <v>10</v>
      </c>
      <c r="D740" s="4">
        <v>30255</v>
      </c>
      <c r="E740" s="3">
        <v>208.40764336055324</v>
      </c>
      <c r="F740" s="14">
        <v>1</v>
      </c>
      <c r="G740" s="3">
        <f>'Monthly CFS'!C740 * 86400 * DAY(EOMONTH(D740,0)) / 43560</f>
        <v>2441.5116681819272</v>
      </c>
      <c r="H740" s="3"/>
    </row>
    <row r="741" spans="1:8" x14ac:dyDescent="0.25">
      <c r="A741" s="2">
        <v>734</v>
      </c>
      <c r="B741" s="2">
        <f t="shared" si="30"/>
        <v>1982</v>
      </c>
      <c r="C741" s="2">
        <f t="shared" si="31"/>
        <v>11</v>
      </c>
      <c r="D741" s="4">
        <v>30285</v>
      </c>
      <c r="E741" s="3">
        <v>139.9081154259168</v>
      </c>
      <c r="F741" s="14">
        <v>1</v>
      </c>
      <c r="G741" s="3">
        <f>'Monthly CFS'!C741 * 86400 * DAY(EOMONTH(D741,0)) / 43560</f>
        <v>1550.6899042060877</v>
      </c>
      <c r="H741" s="3"/>
    </row>
    <row r="742" spans="1:8" x14ac:dyDescent="0.25">
      <c r="A742" s="2">
        <v>735</v>
      </c>
      <c r="B742" s="2">
        <f t="shared" si="30"/>
        <v>1982</v>
      </c>
      <c r="C742" s="2">
        <f t="shared" si="31"/>
        <v>12</v>
      </c>
      <c r="D742" s="4">
        <v>30316</v>
      </c>
      <c r="E742" s="3">
        <v>100.09781597435999</v>
      </c>
      <c r="F742" s="14">
        <v>1</v>
      </c>
      <c r="G742" s="3">
        <f>'Monthly CFS'!C742 * 86400 * DAY(EOMONTH(D742,0)) / 43560</f>
        <v>1275.7448662618172</v>
      </c>
      <c r="H742" s="3"/>
    </row>
    <row r="743" spans="1:8" x14ac:dyDescent="0.25">
      <c r="A743" s="2">
        <v>736</v>
      </c>
      <c r="B743" s="2">
        <f t="shared" si="30"/>
        <v>1983</v>
      </c>
      <c r="C743" s="2">
        <f t="shared" si="31"/>
        <v>1</v>
      </c>
      <c r="D743" s="4">
        <v>30347</v>
      </c>
      <c r="E743" s="3">
        <v>94.480039683665979</v>
      </c>
      <c r="F743" s="14">
        <v>1</v>
      </c>
      <c r="G743" s="3">
        <f>'Monthly CFS'!C743 * 86400 * DAY(EOMONTH(D743,0)) / 43560</f>
        <v>1215.2569226798778</v>
      </c>
      <c r="H743" s="3"/>
    </row>
    <row r="744" spans="1:8" x14ac:dyDescent="0.25">
      <c r="A744" s="2">
        <v>737</v>
      </c>
      <c r="B744" s="2">
        <f t="shared" si="30"/>
        <v>1983</v>
      </c>
      <c r="C744" s="2">
        <f t="shared" si="31"/>
        <v>2</v>
      </c>
      <c r="D744" s="4">
        <v>30375</v>
      </c>
      <c r="E744" s="3">
        <v>108.63618759646828</v>
      </c>
      <c r="F744" s="14">
        <v>1</v>
      </c>
      <c r="G744" s="3">
        <f>'Monthly CFS'!C744 * 86400 * DAY(EOMONTH(D744,0)) / 43560</f>
        <v>1083.2833765738274</v>
      </c>
      <c r="H744" s="3"/>
    </row>
    <row r="745" spans="1:8" x14ac:dyDescent="0.25">
      <c r="A745" s="2">
        <v>738</v>
      </c>
      <c r="B745" s="2">
        <f t="shared" si="30"/>
        <v>1983</v>
      </c>
      <c r="C745" s="2">
        <f t="shared" si="31"/>
        <v>3</v>
      </c>
      <c r="D745" s="4">
        <v>30406</v>
      </c>
      <c r="E745" s="3">
        <v>95.988743796675095</v>
      </c>
      <c r="F745" s="14">
        <v>1</v>
      </c>
      <c r="G745" s="3">
        <f>'Monthly CFS'!C745 * 86400 * DAY(EOMONTH(D745,0)) / 43560</f>
        <v>1314.2371232294156</v>
      </c>
      <c r="H745" s="3"/>
    </row>
    <row r="746" spans="1:8" x14ac:dyDescent="0.25">
      <c r="A746" s="2">
        <v>739</v>
      </c>
      <c r="B746" s="2">
        <f t="shared" si="30"/>
        <v>1983</v>
      </c>
      <c r="C746" s="2">
        <f t="shared" si="31"/>
        <v>4</v>
      </c>
      <c r="D746" s="4">
        <v>30436</v>
      </c>
      <c r="E746" s="3">
        <v>127.84175342511905</v>
      </c>
      <c r="F746" s="14">
        <v>1</v>
      </c>
      <c r="G746" s="3">
        <f>'Monthly CFS'!C746 * 86400 * DAY(EOMONTH(D746,0)) / 43560</f>
        <v>1561.6876860582588</v>
      </c>
      <c r="H746" s="3"/>
    </row>
    <row r="747" spans="1:8" x14ac:dyDescent="0.25">
      <c r="A747" s="2">
        <v>740</v>
      </c>
      <c r="B747" s="2">
        <f t="shared" si="30"/>
        <v>1983</v>
      </c>
      <c r="C747" s="2">
        <f t="shared" si="31"/>
        <v>5</v>
      </c>
      <c r="D747" s="4">
        <v>30467</v>
      </c>
      <c r="E747" s="3">
        <v>173.69722718890344</v>
      </c>
      <c r="F747" s="14">
        <v>1</v>
      </c>
      <c r="G747" s="3">
        <f>'Monthly CFS'!C747 * 86400 * DAY(EOMONTH(D747,0)) / 43560</f>
        <v>2304.0392106647905</v>
      </c>
      <c r="H747" s="3"/>
    </row>
    <row r="748" spans="1:8" x14ac:dyDescent="0.25">
      <c r="A748" s="2">
        <v>741</v>
      </c>
      <c r="B748" s="2">
        <f t="shared" si="30"/>
        <v>1983</v>
      </c>
      <c r="C748" s="2">
        <f t="shared" si="31"/>
        <v>6</v>
      </c>
      <c r="D748" s="4">
        <v>30497</v>
      </c>
      <c r="E748" s="3">
        <v>230.63820084858219</v>
      </c>
      <c r="F748" s="14">
        <v>1</v>
      </c>
      <c r="G748" s="3">
        <f>'Monthly CFS'!C748 * 86400 * DAY(EOMONTH(D748,0)) / 43560</f>
        <v>3029.8940420080662</v>
      </c>
      <c r="H748" s="3"/>
    </row>
    <row r="749" spans="1:8" x14ac:dyDescent="0.25">
      <c r="A749" s="2">
        <v>742</v>
      </c>
      <c r="B749" s="2">
        <f t="shared" si="30"/>
        <v>1983</v>
      </c>
      <c r="C749" s="2">
        <f t="shared" si="31"/>
        <v>7</v>
      </c>
      <c r="D749" s="4">
        <v>30528</v>
      </c>
      <c r="E749" s="3">
        <v>271.71188667119026</v>
      </c>
      <c r="F749" s="14">
        <v>1</v>
      </c>
      <c r="G749" s="3">
        <f>'Monthly CFS'!C749 * 86400 * DAY(EOMONTH(D749,0)) / 43560</f>
        <v>3887.7224194573919</v>
      </c>
      <c r="H749" s="3"/>
    </row>
    <row r="750" spans="1:8" x14ac:dyDescent="0.25">
      <c r="A750" s="2">
        <v>743</v>
      </c>
      <c r="B750" s="2">
        <f t="shared" si="30"/>
        <v>1983</v>
      </c>
      <c r="C750" s="2">
        <f t="shared" si="31"/>
        <v>8</v>
      </c>
      <c r="D750" s="4">
        <v>30559</v>
      </c>
      <c r="E750" s="3">
        <v>282.21761897027193</v>
      </c>
      <c r="F750" s="14">
        <v>1</v>
      </c>
      <c r="G750" s="3">
        <f>'Monthly CFS'!C750 * 86400 * DAY(EOMONTH(D750,0)) / 43560</f>
        <v>4250.6499170690286</v>
      </c>
      <c r="H750" s="3"/>
    </row>
    <row r="751" spans="1:8" x14ac:dyDescent="0.25">
      <c r="A751" s="2">
        <v>744</v>
      </c>
      <c r="B751" s="2">
        <f t="shared" si="30"/>
        <v>1983</v>
      </c>
      <c r="C751" s="2">
        <f t="shared" si="31"/>
        <v>9</v>
      </c>
      <c r="D751" s="4">
        <v>30589</v>
      </c>
      <c r="E751" s="3">
        <v>245.18670139121073</v>
      </c>
      <c r="F751" s="14">
        <v>1</v>
      </c>
      <c r="G751" s="3">
        <f>'Monthly CFS'!C751 * 86400 * DAY(EOMONTH(D751,0)) / 43560</f>
        <v>3585.2828654276937</v>
      </c>
      <c r="H751" s="3"/>
    </row>
    <row r="752" spans="1:8" x14ac:dyDescent="0.25">
      <c r="A752" s="2">
        <v>745</v>
      </c>
      <c r="B752" s="2">
        <f t="shared" si="30"/>
        <v>1983</v>
      </c>
      <c r="C752" s="2">
        <f t="shared" si="31"/>
        <v>10</v>
      </c>
      <c r="D752" s="4">
        <v>30620</v>
      </c>
      <c r="E752" s="3">
        <v>208.40764336055324</v>
      </c>
      <c r="F752" s="14">
        <v>1</v>
      </c>
      <c r="G752" s="3">
        <f>'Monthly CFS'!C752 * 86400 * DAY(EOMONTH(D752,0)) / 43560</f>
        <v>2441.5116681819263</v>
      </c>
      <c r="H752" s="3"/>
    </row>
    <row r="753" spans="1:8" x14ac:dyDescent="0.25">
      <c r="A753" s="2">
        <v>746</v>
      </c>
      <c r="B753" s="2">
        <f t="shared" si="30"/>
        <v>1983</v>
      </c>
      <c r="C753" s="2">
        <f t="shared" si="31"/>
        <v>11</v>
      </c>
      <c r="D753" s="4">
        <v>30650</v>
      </c>
      <c r="E753" s="3">
        <v>139.9081154259168</v>
      </c>
      <c r="F753" s="14">
        <v>1</v>
      </c>
      <c r="G753" s="3">
        <f>'Monthly CFS'!C753 * 86400 * DAY(EOMONTH(D753,0)) / 43560</f>
        <v>1550.6899042060877</v>
      </c>
      <c r="H753" s="3"/>
    </row>
    <row r="754" spans="1:8" x14ac:dyDescent="0.25">
      <c r="A754" s="2">
        <v>747</v>
      </c>
      <c r="B754" s="2">
        <f t="shared" si="30"/>
        <v>1983</v>
      </c>
      <c r="C754" s="2">
        <f t="shared" si="31"/>
        <v>12</v>
      </c>
      <c r="D754" s="4">
        <v>30681</v>
      </c>
      <c r="E754" s="3">
        <v>100.09781597436</v>
      </c>
      <c r="F754" s="14">
        <v>1</v>
      </c>
      <c r="G754" s="3">
        <f>'Monthly CFS'!C754 * 86400 * DAY(EOMONTH(D754,0)) / 43560</f>
        <v>1275.7448662618172</v>
      </c>
      <c r="H754" s="3"/>
    </row>
    <row r="755" spans="1:8" x14ac:dyDescent="0.25">
      <c r="A755" s="2">
        <v>748</v>
      </c>
      <c r="B755" s="2">
        <f t="shared" si="30"/>
        <v>1984</v>
      </c>
      <c r="C755" s="2">
        <f t="shared" si="31"/>
        <v>1</v>
      </c>
      <c r="D755" s="4">
        <v>30712</v>
      </c>
      <c r="E755" s="3">
        <v>94.480039683665979</v>
      </c>
      <c r="F755" s="14">
        <v>1</v>
      </c>
      <c r="G755" s="3">
        <f>'Monthly CFS'!C755 * 86400 * DAY(EOMONTH(D755,0)) / 43560</f>
        <v>1215.256922679878</v>
      </c>
      <c r="H755" s="3"/>
    </row>
    <row r="756" spans="1:8" x14ac:dyDescent="0.25">
      <c r="A756" s="2">
        <v>749</v>
      </c>
      <c r="B756" s="2">
        <f t="shared" si="30"/>
        <v>1984</v>
      </c>
      <c r="C756" s="2">
        <f t="shared" si="31"/>
        <v>2</v>
      </c>
      <c r="D756" s="4">
        <v>30741</v>
      </c>
      <c r="E756" s="3">
        <v>104.89011216210731</v>
      </c>
      <c r="F756" s="14">
        <v>1</v>
      </c>
      <c r="G756" s="3">
        <f>'Monthly CFS'!C756 * 86400 * DAY(EOMONTH(D756,0)) / 43560</f>
        <v>1083.2833765738274</v>
      </c>
      <c r="H756" s="3"/>
    </row>
    <row r="757" spans="1:8" x14ac:dyDescent="0.25">
      <c r="A757" s="2">
        <v>750</v>
      </c>
      <c r="B757" s="2">
        <f t="shared" si="30"/>
        <v>1984</v>
      </c>
      <c r="C757" s="2">
        <f t="shared" si="31"/>
        <v>3</v>
      </c>
      <c r="D757" s="4">
        <v>30772</v>
      </c>
      <c r="E757" s="3">
        <v>95.988743796674299</v>
      </c>
      <c r="F757" s="14">
        <v>1</v>
      </c>
      <c r="G757" s="3">
        <f>'Monthly CFS'!C757 * 86400 * DAY(EOMONTH(D757,0)) / 43560</f>
        <v>1314.2371232294156</v>
      </c>
      <c r="H757" s="3"/>
    </row>
    <row r="758" spans="1:8" x14ac:dyDescent="0.25">
      <c r="A758" s="2">
        <v>751</v>
      </c>
      <c r="B758" s="2">
        <f t="shared" si="30"/>
        <v>1984</v>
      </c>
      <c r="C758" s="2">
        <f t="shared" si="31"/>
        <v>4</v>
      </c>
      <c r="D758" s="4">
        <v>30802</v>
      </c>
      <c r="E758" s="3">
        <v>127.84175342511904</v>
      </c>
      <c r="F758" s="14">
        <v>1</v>
      </c>
      <c r="G758" s="3">
        <f>'Monthly CFS'!C758 * 86400 * DAY(EOMONTH(D758,0)) / 43560</f>
        <v>1561.6876860582584</v>
      </c>
      <c r="H758" s="3"/>
    </row>
    <row r="759" spans="1:8" x14ac:dyDescent="0.25">
      <c r="A759" s="2">
        <v>752</v>
      </c>
      <c r="B759" s="2">
        <f t="shared" si="30"/>
        <v>1984</v>
      </c>
      <c r="C759" s="2">
        <f t="shared" si="31"/>
        <v>5</v>
      </c>
      <c r="D759" s="4">
        <v>30833</v>
      </c>
      <c r="E759" s="3">
        <v>173.69722718890344</v>
      </c>
      <c r="F759" s="14">
        <v>0.99999999999999989</v>
      </c>
      <c r="G759" s="3">
        <f>'Monthly CFS'!C759 * 86400 * DAY(EOMONTH(D759,0)) / 43560</f>
        <v>2304.039210664791</v>
      </c>
      <c r="H759" s="3"/>
    </row>
    <row r="760" spans="1:8" x14ac:dyDescent="0.25">
      <c r="A760" s="2">
        <v>753</v>
      </c>
      <c r="B760" s="2">
        <f t="shared" si="30"/>
        <v>1984</v>
      </c>
      <c r="C760" s="2">
        <f t="shared" si="31"/>
        <v>6</v>
      </c>
      <c r="D760" s="4">
        <v>30863</v>
      </c>
      <c r="E760" s="3">
        <v>230.63820084858219</v>
      </c>
      <c r="F760" s="14">
        <v>1</v>
      </c>
      <c r="G760" s="3">
        <f>'Monthly CFS'!C760 * 86400 * DAY(EOMONTH(D760,0)) / 43560</f>
        <v>3029.8940420080671</v>
      </c>
      <c r="H760" s="3"/>
    </row>
    <row r="761" spans="1:8" x14ac:dyDescent="0.25">
      <c r="A761" s="2">
        <v>754</v>
      </c>
      <c r="B761" s="2">
        <f t="shared" si="30"/>
        <v>1984</v>
      </c>
      <c r="C761" s="2">
        <f t="shared" si="31"/>
        <v>7</v>
      </c>
      <c r="D761" s="4">
        <v>30894</v>
      </c>
      <c r="E761" s="3">
        <v>271.71188667119026</v>
      </c>
      <c r="F761" s="14">
        <v>1</v>
      </c>
      <c r="G761" s="3">
        <f>'Monthly CFS'!C761 * 86400 * DAY(EOMONTH(D761,0)) / 43560</f>
        <v>3887.7224194573928</v>
      </c>
      <c r="H761" s="3"/>
    </row>
    <row r="762" spans="1:8" x14ac:dyDescent="0.25">
      <c r="A762" s="2">
        <v>755</v>
      </c>
      <c r="B762" s="2">
        <f t="shared" si="30"/>
        <v>1984</v>
      </c>
      <c r="C762" s="2">
        <f t="shared" si="31"/>
        <v>8</v>
      </c>
      <c r="D762" s="4">
        <v>30925</v>
      </c>
      <c r="E762" s="3">
        <v>282.21761897027193</v>
      </c>
      <c r="F762" s="14">
        <v>1</v>
      </c>
      <c r="G762" s="3">
        <f>'Monthly CFS'!C762 * 86400 * DAY(EOMONTH(D762,0)) / 43560</f>
        <v>4250.6499170690295</v>
      </c>
      <c r="H762" s="3"/>
    </row>
    <row r="763" spans="1:8" x14ac:dyDescent="0.25">
      <c r="A763" s="2">
        <v>756</v>
      </c>
      <c r="B763" s="2">
        <f t="shared" si="30"/>
        <v>1984</v>
      </c>
      <c r="C763" s="2">
        <f t="shared" si="31"/>
        <v>9</v>
      </c>
      <c r="D763" s="4">
        <v>30955</v>
      </c>
      <c r="E763" s="3">
        <v>245.18670139121073</v>
      </c>
      <c r="F763" s="14">
        <v>1</v>
      </c>
      <c r="G763" s="3">
        <f>'Monthly CFS'!C763 * 86400 * DAY(EOMONTH(D763,0)) / 43560</f>
        <v>3585.2828654276959</v>
      </c>
      <c r="H763" s="3"/>
    </row>
    <row r="764" spans="1:8" x14ac:dyDescent="0.25">
      <c r="A764" s="2">
        <v>757</v>
      </c>
      <c r="B764" s="2">
        <f t="shared" si="30"/>
        <v>1984</v>
      </c>
      <c r="C764" s="2">
        <f t="shared" si="31"/>
        <v>10</v>
      </c>
      <c r="D764" s="4">
        <v>30986</v>
      </c>
      <c r="E764" s="3">
        <v>208.40764336055321</v>
      </c>
      <c r="F764" s="14">
        <v>1</v>
      </c>
      <c r="G764" s="3">
        <f>'Monthly CFS'!C764 * 86400 * DAY(EOMONTH(D764,0)) / 43560</f>
        <v>2441.5116681819272</v>
      </c>
      <c r="H764" s="3"/>
    </row>
    <row r="765" spans="1:8" x14ac:dyDescent="0.25">
      <c r="A765" s="2">
        <v>758</v>
      </c>
      <c r="B765" s="2">
        <f t="shared" si="30"/>
        <v>1984</v>
      </c>
      <c r="C765" s="2">
        <f t="shared" si="31"/>
        <v>11</v>
      </c>
      <c r="D765" s="4">
        <v>31016</v>
      </c>
      <c r="E765" s="3">
        <v>139.9081154259168</v>
      </c>
      <c r="F765" s="14">
        <v>1</v>
      </c>
      <c r="G765" s="3">
        <f>'Monthly CFS'!C765 * 86400 * DAY(EOMONTH(D765,0)) / 43560</f>
        <v>1550.6899042060884</v>
      </c>
      <c r="H765" s="3"/>
    </row>
    <row r="766" spans="1:8" x14ac:dyDescent="0.25">
      <c r="A766" s="2">
        <v>759</v>
      </c>
      <c r="B766" s="2">
        <f t="shared" si="30"/>
        <v>1984</v>
      </c>
      <c r="C766" s="2">
        <f t="shared" si="31"/>
        <v>12</v>
      </c>
      <c r="D766" s="4">
        <v>31047</v>
      </c>
      <c r="E766" s="3">
        <v>100.09781597435999</v>
      </c>
      <c r="F766" s="14">
        <v>1</v>
      </c>
      <c r="G766" s="3">
        <f>'Monthly CFS'!C766 * 86400 * DAY(EOMONTH(D766,0)) / 43560</f>
        <v>1275.7448662618172</v>
      </c>
      <c r="H766" s="3"/>
    </row>
    <row r="767" spans="1:8" x14ac:dyDescent="0.25">
      <c r="A767" s="2">
        <v>760</v>
      </c>
      <c r="B767" s="2">
        <f t="shared" si="30"/>
        <v>1985</v>
      </c>
      <c r="C767" s="2">
        <f t="shared" si="31"/>
        <v>1</v>
      </c>
      <c r="D767" s="4">
        <v>31078</v>
      </c>
      <c r="E767" s="3">
        <v>94.480039683665979</v>
      </c>
      <c r="F767" s="14">
        <v>1</v>
      </c>
      <c r="G767" s="3">
        <f>'Monthly CFS'!C767 * 86400 * DAY(EOMONTH(D767,0)) / 43560</f>
        <v>837.01665800640171</v>
      </c>
      <c r="H767" s="3"/>
    </row>
    <row r="768" spans="1:8" x14ac:dyDescent="0.25">
      <c r="A768" s="2">
        <v>761</v>
      </c>
      <c r="B768" s="2">
        <f t="shared" si="30"/>
        <v>1985</v>
      </c>
      <c r="C768" s="2">
        <f t="shared" si="31"/>
        <v>2</v>
      </c>
      <c r="D768" s="4">
        <v>31106</v>
      </c>
      <c r="E768" s="3">
        <v>108.63618759646828</v>
      </c>
      <c r="F768" s="14">
        <v>0.948138830516011</v>
      </c>
      <c r="G768" s="3">
        <f>'Monthly CFS'!C768 * 86400 * DAY(EOMONTH(D768,0)) / 43560</f>
        <v>287.79296791486087</v>
      </c>
      <c r="H768" s="3"/>
    </row>
    <row r="769" spans="1:8" x14ac:dyDescent="0.25">
      <c r="A769" s="2">
        <v>762</v>
      </c>
      <c r="B769" s="2">
        <f t="shared" si="30"/>
        <v>1985</v>
      </c>
      <c r="C769" s="2">
        <f t="shared" si="31"/>
        <v>3</v>
      </c>
      <c r="D769" s="4">
        <v>31137</v>
      </c>
      <c r="E769" s="3">
        <v>106.88716825976614</v>
      </c>
      <c r="F769" s="14">
        <v>0.67886270211802258</v>
      </c>
      <c r="G769" s="3">
        <f>'Monthly CFS'!C769 * 86400 * DAY(EOMONTH(D769,0)) / 43560</f>
        <v>282.09119225399417</v>
      </c>
      <c r="H769" s="3"/>
    </row>
    <row r="770" spans="1:8" x14ac:dyDescent="0.25">
      <c r="A770" s="2">
        <v>763</v>
      </c>
      <c r="B770" s="2">
        <f t="shared" si="30"/>
        <v>1985</v>
      </c>
      <c r="C770" s="2">
        <f t="shared" si="31"/>
        <v>4</v>
      </c>
      <c r="D770" s="4">
        <v>31167</v>
      </c>
      <c r="E770" s="3">
        <v>155.35965745471617</v>
      </c>
      <c r="F770" s="14">
        <v>0.76039202403266026</v>
      </c>
      <c r="G770" s="3">
        <f>'Monthly CFS'!C770 * 86400 * DAY(EOMONTH(D770,0)) / 43560</f>
        <v>1278.0812241374886</v>
      </c>
      <c r="H770" s="3"/>
    </row>
    <row r="771" spans="1:8" x14ac:dyDescent="0.25">
      <c r="A771" s="2">
        <v>764</v>
      </c>
      <c r="B771" s="2">
        <f t="shared" si="30"/>
        <v>1985</v>
      </c>
      <c r="C771" s="2">
        <f t="shared" si="31"/>
        <v>5</v>
      </c>
      <c r="D771" s="4">
        <v>31198</v>
      </c>
      <c r="E771" s="3">
        <v>220.07156033713085</v>
      </c>
      <c r="F771" s="14">
        <v>0.75</v>
      </c>
      <c r="G771" s="3">
        <f>'Monthly CFS'!C771 * 86400 * DAY(EOMONTH(D771,0)) / 43560</f>
        <v>1885.6198208617834</v>
      </c>
      <c r="H771" s="3"/>
    </row>
    <row r="772" spans="1:8" x14ac:dyDescent="0.25">
      <c r="A772" s="2">
        <v>765</v>
      </c>
      <c r="B772" s="2">
        <f t="shared" si="30"/>
        <v>1985</v>
      </c>
      <c r="C772" s="2">
        <f t="shared" si="31"/>
        <v>6</v>
      </c>
      <c r="D772" s="4">
        <v>31228</v>
      </c>
      <c r="E772" s="3">
        <v>257.70906701703865</v>
      </c>
      <c r="F772" s="14">
        <v>0.75000000000000011</v>
      </c>
      <c r="G772" s="3">
        <f>'Monthly CFS'!C772 * 86400 * DAY(EOMONTH(D772,0)) / 43560</f>
        <v>2479.6575658419383</v>
      </c>
      <c r="H772" s="3"/>
    </row>
    <row r="773" spans="1:8" x14ac:dyDescent="0.25">
      <c r="A773" s="2">
        <v>766</v>
      </c>
      <c r="B773" s="2">
        <f t="shared" si="30"/>
        <v>1985</v>
      </c>
      <c r="C773" s="2">
        <f t="shared" si="31"/>
        <v>7</v>
      </c>
      <c r="D773" s="4">
        <v>31259</v>
      </c>
      <c r="E773" s="3">
        <v>288.24290179325095</v>
      </c>
      <c r="F773" s="14">
        <v>0.75</v>
      </c>
      <c r="G773" s="3">
        <f>'Monthly CFS'!C773 * 86400 * DAY(EOMONTH(D773,0)) / 43560</f>
        <v>3181.7021247752218</v>
      </c>
      <c r="H773" s="3"/>
    </row>
    <row r="774" spans="1:8" x14ac:dyDescent="0.25">
      <c r="A774" s="2">
        <v>767</v>
      </c>
      <c r="B774" s="2">
        <f t="shared" si="30"/>
        <v>1985</v>
      </c>
      <c r="C774" s="2">
        <f t="shared" si="31"/>
        <v>8</v>
      </c>
      <c r="D774" s="4">
        <v>31290</v>
      </c>
      <c r="E774" s="3">
        <v>279.99483921206041</v>
      </c>
      <c r="F774" s="14">
        <v>0.74999999999999989</v>
      </c>
      <c r="G774" s="3">
        <f>'Monthly CFS'!C774 * 86400 * DAY(EOMONTH(D774,0)) / 43560</f>
        <v>3478.7210643247863</v>
      </c>
      <c r="H774" s="3"/>
    </row>
    <row r="775" spans="1:8" x14ac:dyDescent="0.25">
      <c r="A775" s="2">
        <v>768</v>
      </c>
      <c r="B775" s="2">
        <f t="shared" si="30"/>
        <v>1985</v>
      </c>
      <c r="C775" s="2">
        <f t="shared" si="31"/>
        <v>9</v>
      </c>
      <c r="D775" s="4">
        <v>31320</v>
      </c>
      <c r="E775" s="3">
        <v>253.56663201676471</v>
      </c>
      <c r="F775" s="14">
        <v>0.74999999999999989</v>
      </c>
      <c r="G775" s="3">
        <f>'Monthly CFS'!C775 * 86400 * DAY(EOMONTH(D775,0)) / 43560</f>
        <v>2934.1863641704144</v>
      </c>
      <c r="H775" s="3"/>
    </row>
    <row r="776" spans="1:8" x14ac:dyDescent="0.25">
      <c r="A776" s="2">
        <v>769</v>
      </c>
      <c r="B776" s="2">
        <f t="shared" si="30"/>
        <v>1985</v>
      </c>
      <c r="C776" s="2">
        <f t="shared" si="31"/>
        <v>10</v>
      </c>
      <c r="D776" s="4">
        <v>31351</v>
      </c>
      <c r="E776" s="3">
        <v>216.07475469170529</v>
      </c>
      <c r="F776" s="14">
        <v>0.75</v>
      </c>
      <c r="G776" s="3">
        <f>'Monthly CFS'!C776 * 86400 * DAY(EOMONTH(D776,0)) / 43560</f>
        <v>1998.1269299062083</v>
      </c>
      <c r="H776" s="3"/>
    </row>
    <row r="777" spans="1:8" x14ac:dyDescent="0.25">
      <c r="A777" s="2">
        <v>770</v>
      </c>
      <c r="B777" s="2">
        <f t="shared" ref="B777:B840" si="32">YEAR(D777)</f>
        <v>1985</v>
      </c>
      <c r="C777" s="2">
        <f t="shared" ref="C777:C840" si="33">MONTH(D777)</f>
        <v>11</v>
      </c>
      <c r="D777" s="4">
        <v>31381</v>
      </c>
      <c r="E777" s="3">
        <v>174.85540601156069</v>
      </c>
      <c r="F777" s="14">
        <v>0.75</v>
      </c>
      <c r="G777" s="3">
        <f>'Monthly CFS'!C777 * 86400 * DAY(EOMONTH(D777,0)) / 43560</f>
        <v>1269.0806674846426</v>
      </c>
      <c r="H777" s="3"/>
    </row>
    <row r="778" spans="1:8" x14ac:dyDescent="0.25">
      <c r="A778" s="2">
        <v>771</v>
      </c>
      <c r="B778" s="2">
        <f t="shared" si="32"/>
        <v>1985</v>
      </c>
      <c r="C778" s="2">
        <f t="shared" si="33"/>
        <v>12</v>
      </c>
      <c r="D778" s="4">
        <v>31412</v>
      </c>
      <c r="E778" s="3">
        <v>153.18687823593447</v>
      </c>
      <c r="F778" s="14">
        <v>0.75</v>
      </c>
      <c r="G778" s="3">
        <f>'Monthly CFS'!C778 * 86400 * DAY(EOMONTH(D778,0)) / 43560</f>
        <v>1044.0663488065659</v>
      </c>
      <c r="H778" s="3"/>
    </row>
    <row r="779" spans="1:8" x14ac:dyDescent="0.25">
      <c r="A779" s="2">
        <v>772</v>
      </c>
      <c r="B779" s="2">
        <f t="shared" si="32"/>
        <v>1986</v>
      </c>
      <c r="C779" s="2">
        <f t="shared" si="33"/>
        <v>1</v>
      </c>
      <c r="D779" s="4">
        <v>31443</v>
      </c>
      <c r="E779" s="3">
        <v>148.33069936464568</v>
      </c>
      <c r="F779" s="14">
        <v>0.75</v>
      </c>
      <c r="G779" s="3">
        <f>'Monthly CFS'!C779 * 86400 * DAY(EOMONTH(D779,0)) / 43560</f>
        <v>133.67826149478651</v>
      </c>
      <c r="H779" s="3"/>
    </row>
    <row r="780" spans="1:8" x14ac:dyDescent="0.25">
      <c r="A780" s="2">
        <v>773</v>
      </c>
      <c r="B780" s="2">
        <f t="shared" si="32"/>
        <v>1986</v>
      </c>
      <c r="C780" s="2">
        <f t="shared" si="33"/>
        <v>2</v>
      </c>
      <c r="D780" s="4">
        <v>31471</v>
      </c>
      <c r="E780" s="3">
        <v>145.70191233106172</v>
      </c>
      <c r="F780" s="14">
        <v>0.75</v>
      </c>
      <c r="G780" s="3">
        <f>'Monthly CFS'!C780 * 86400 * DAY(EOMONTH(D780,0)) / 43560</f>
        <v>123.87182162616043</v>
      </c>
      <c r="H780" s="3"/>
    </row>
    <row r="781" spans="1:8" x14ac:dyDescent="0.25">
      <c r="A781" s="2">
        <v>774</v>
      </c>
      <c r="B781" s="2">
        <f t="shared" si="32"/>
        <v>1986</v>
      </c>
      <c r="C781" s="2">
        <f t="shared" si="33"/>
        <v>3</v>
      </c>
      <c r="D781" s="4">
        <v>31502</v>
      </c>
      <c r="E781" s="3">
        <v>95.988743796679074</v>
      </c>
      <c r="F781" s="14">
        <v>0.78525572194600901</v>
      </c>
      <c r="G781" s="3">
        <f>'Monthly CFS'!C781 * 86400 * DAY(EOMONTH(D781,0)) / 43560</f>
        <v>1314.2371232294151</v>
      </c>
      <c r="H781" s="3"/>
    </row>
    <row r="782" spans="1:8" x14ac:dyDescent="0.25">
      <c r="A782" s="2">
        <v>775</v>
      </c>
      <c r="B782" s="2">
        <f t="shared" si="32"/>
        <v>1986</v>
      </c>
      <c r="C782" s="2">
        <f t="shared" si="33"/>
        <v>4</v>
      </c>
      <c r="D782" s="4">
        <v>31532</v>
      </c>
      <c r="E782" s="3">
        <v>127.84175342511904</v>
      </c>
      <c r="F782" s="14">
        <v>1</v>
      </c>
      <c r="G782" s="3">
        <f>'Monthly CFS'!C782 * 86400 * DAY(EOMONTH(D782,0)) / 43560</f>
        <v>1561.6876860582595</v>
      </c>
      <c r="H782" s="3"/>
    </row>
    <row r="783" spans="1:8" x14ac:dyDescent="0.25">
      <c r="A783" s="2">
        <v>776</v>
      </c>
      <c r="B783" s="2">
        <f t="shared" si="32"/>
        <v>1986</v>
      </c>
      <c r="C783" s="2">
        <f t="shared" si="33"/>
        <v>5</v>
      </c>
      <c r="D783" s="4">
        <v>31563</v>
      </c>
      <c r="E783" s="3">
        <v>173.69722718890347</v>
      </c>
      <c r="F783" s="14">
        <v>1</v>
      </c>
      <c r="G783" s="3">
        <f>'Monthly CFS'!C783 * 86400 * DAY(EOMONTH(D783,0)) / 43560</f>
        <v>2304.0392106647892</v>
      </c>
      <c r="H783" s="3"/>
    </row>
    <row r="784" spans="1:8" x14ac:dyDescent="0.25">
      <c r="A784" s="2">
        <v>777</v>
      </c>
      <c r="B784" s="2">
        <f t="shared" si="32"/>
        <v>1986</v>
      </c>
      <c r="C784" s="2">
        <f t="shared" si="33"/>
        <v>6</v>
      </c>
      <c r="D784" s="4">
        <v>31593</v>
      </c>
      <c r="E784" s="3">
        <v>230.63820084858216</v>
      </c>
      <c r="F784" s="14">
        <v>1</v>
      </c>
      <c r="G784" s="3">
        <f>'Monthly CFS'!C784 * 86400 * DAY(EOMONTH(D784,0)) / 43560</f>
        <v>3029.8940420080648</v>
      </c>
      <c r="H784" s="3"/>
    </row>
    <row r="785" spans="1:8" x14ac:dyDescent="0.25">
      <c r="A785" s="2">
        <v>778</v>
      </c>
      <c r="B785" s="2">
        <f t="shared" si="32"/>
        <v>1986</v>
      </c>
      <c r="C785" s="2">
        <f t="shared" si="33"/>
        <v>7</v>
      </c>
      <c r="D785" s="4">
        <v>31624</v>
      </c>
      <c r="E785" s="3">
        <v>271.71188667119026</v>
      </c>
      <c r="F785" s="14">
        <v>1</v>
      </c>
      <c r="G785" s="3">
        <f>'Monthly CFS'!C785 * 86400 * DAY(EOMONTH(D785,0)) / 43560</f>
        <v>3887.7224194573919</v>
      </c>
      <c r="H785" s="3"/>
    </row>
    <row r="786" spans="1:8" x14ac:dyDescent="0.25">
      <c r="A786" s="2">
        <v>779</v>
      </c>
      <c r="B786" s="2">
        <f t="shared" si="32"/>
        <v>1986</v>
      </c>
      <c r="C786" s="2">
        <f t="shared" si="33"/>
        <v>8</v>
      </c>
      <c r="D786" s="4">
        <v>31655</v>
      </c>
      <c r="E786" s="3">
        <v>282.21761897027193</v>
      </c>
      <c r="F786" s="14">
        <v>0.99999999999999989</v>
      </c>
      <c r="G786" s="3">
        <f>'Monthly CFS'!C786 * 86400 * DAY(EOMONTH(D786,0)) / 43560</f>
        <v>4250.6499170690295</v>
      </c>
      <c r="H786" s="3"/>
    </row>
    <row r="787" spans="1:8" x14ac:dyDescent="0.25">
      <c r="A787" s="2">
        <v>780</v>
      </c>
      <c r="B787" s="2">
        <f t="shared" si="32"/>
        <v>1986</v>
      </c>
      <c r="C787" s="2">
        <f t="shared" si="33"/>
        <v>9</v>
      </c>
      <c r="D787" s="4">
        <v>31685</v>
      </c>
      <c r="E787" s="3">
        <v>245.18670139121073</v>
      </c>
      <c r="F787" s="14">
        <v>1</v>
      </c>
      <c r="G787" s="3">
        <f>'Monthly CFS'!C787 * 86400 * DAY(EOMONTH(D787,0)) / 43560</f>
        <v>3585.2828654276946</v>
      </c>
      <c r="H787" s="3"/>
    </row>
    <row r="788" spans="1:8" x14ac:dyDescent="0.25">
      <c r="A788" s="2">
        <v>781</v>
      </c>
      <c r="B788" s="2">
        <f t="shared" si="32"/>
        <v>1986</v>
      </c>
      <c r="C788" s="2">
        <f t="shared" si="33"/>
        <v>10</v>
      </c>
      <c r="D788" s="4">
        <v>31716</v>
      </c>
      <c r="E788" s="3">
        <v>208.40764336055321</v>
      </c>
      <c r="F788" s="14">
        <v>1</v>
      </c>
      <c r="G788" s="3">
        <f>'Monthly CFS'!C788 * 86400 * DAY(EOMONTH(D788,0)) / 43560</f>
        <v>2441.5116681819259</v>
      </c>
      <c r="H788" s="3"/>
    </row>
    <row r="789" spans="1:8" x14ac:dyDescent="0.25">
      <c r="A789" s="2">
        <v>782</v>
      </c>
      <c r="B789" s="2">
        <f t="shared" si="32"/>
        <v>1986</v>
      </c>
      <c r="C789" s="2">
        <f t="shared" si="33"/>
        <v>11</v>
      </c>
      <c r="D789" s="4">
        <v>31746</v>
      </c>
      <c r="E789" s="3">
        <v>139.9081154259168</v>
      </c>
      <c r="F789" s="14">
        <v>1</v>
      </c>
      <c r="G789" s="3">
        <f>'Monthly CFS'!C789 * 86400 * DAY(EOMONTH(D789,0)) / 43560</f>
        <v>1550.6899042060882</v>
      </c>
      <c r="H789" s="3"/>
    </row>
    <row r="790" spans="1:8" x14ac:dyDescent="0.25">
      <c r="A790" s="2">
        <v>783</v>
      </c>
      <c r="B790" s="2">
        <f t="shared" si="32"/>
        <v>1986</v>
      </c>
      <c r="C790" s="2">
        <f t="shared" si="33"/>
        <v>12</v>
      </c>
      <c r="D790" s="4">
        <v>31777</v>
      </c>
      <c r="E790" s="3">
        <v>100.09781597435999</v>
      </c>
      <c r="F790" s="14">
        <v>1</v>
      </c>
      <c r="G790" s="3">
        <f>'Monthly CFS'!C790 * 86400 * DAY(EOMONTH(D790,0)) / 43560</f>
        <v>1275.7448662618169</v>
      </c>
      <c r="H790" s="3"/>
    </row>
    <row r="791" spans="1:8" x14ac:dyDescent="0.25">
      <c r="A791" s="2">
        <v>784</v>
      </c>
      <c r="B791" s="2">
        <f t="shared" si="32"/>
        <v>1987</v>
      </c>
      <c r="C791" s="2">
        <f t="shared" si="33"/>
        <v>1</v>
      </c>
      <c r="D791" s="4">
        <v>31808</v>
      </c>
      <c r="E791" s="3">
        <v>94.480039683665979</v>
      </c>
      <c r="F791" s="14">
        <v>1</v>
      </c>
      <c r="G791" s="3">
        <f>'Monthly CFS'!C791 * 86400 * DAY(EOMONTH(D791,0)) / 43560</f>
        <v>133.67826149478654</v>
      </c>
      <c r="H791" s="3"/>
    </row>
    <row r="792" spans="1:8" x14ac:dyDescent="0.25">
      <c r="A792" s="2">
        <v>785</v>
      </c>
      <c r="B792" s="2">
        <f t="shared" si="32"/>
        <v>1987</v>
      </c>
      <c r="C792" s="2">
        <f t="shared" si="33"/>
        <v>2</v>
      </c>
      <c r="D792" s="4">
        <v>31836</v>
      </c>
      <c r="E792" s="3">
        <v>108.63618759646829</v>
      </c>
      <c r="F792" s="14">
        <v>0.97844400390732966</v>
      </c>
      <c r="G792" s="3">
        <f>'Monthly CFS'!C792 * 86400 * DAY(EOMONTH(D792,0)) / 43560</f>
        <v>119.16117142312106</v>
      </c>
      <c r="H792" s="3"/>
    </row>
    <row r="793" spans="1:8" x14ac:dyDescent="0.25">
      <c r="A793" s="2">
        <v>786</v>
      </c>
      <c r="B793" s="2">
        <f t="shared" si="32"/>
        <v>1987</v>
      </c>
      <c r="C793" s="2">
        <f t="shared" si="33"/>
        <v>3</v>
      </c>
      <c r="D793" s="4">
        <v>31867</v>
      </c>
      <c r="E793" s="3">
        <v>123.59371307269343</v>
      </c>
      <c r="F793" s="14">
        <v>0.50157408775652323</v>
      </c>
      <c r="G793" s="3">
        <f>'Monthly CFS'!C793 * 86400 * DAY(EOMONTH(D793,0)) / 43560</f>
        <v>235.75471330947749</v>
      </c>
      <c r="H793" s="3"/>
    </row>
    <row r="794" spans="1:8" x14ac:dyDescent="0.25">
      <c r="A794" s="2">
        <v>787</v>
      </c>
      <c r="B794" s="2">
        <f t="shared" si="32"/>
        <v>1987</v>
      </c>
      <c r="C794" s="2">
        <f t="shared" si="33"/>
        <v>4</v>
      </c>
      <c r="D794" s="4">
        <v>31897</v>
      </c>
      <c r="E794" s="3">
        <v>181.23525201198254</v>
      </c>
      <c r="F794" s="14">
        <v>0.79976898382721262</v>
      </c>
      <c r="G794" s="3">
        <f>'Monthly CFS'!C794 * 86400 * DAY(EOMONTH(D794,0)) / 43560</f>
        <v>406.64501981945904</v>
      </c>
      <c r="H794" s="3"/>
    </row>
    <row r="795" spans="1:8" x14ac:dyDescent="0.25">
      <c r="A795" s="2">
        <v>788</v>
      </c>
      <c r="B795" s="2">
        <f t="shared" si="32"/>
        <v>1987</v>
      </c>
      <c r="C795" s="2">
        <f t="shared" si="33"/>
        <v>5</v>
      </c>
      <c r="D795" s="4">
        <v>31928</v>
      </c>
      <c r="E795" s="3">
        <v>220.07156033713082</v>
      </c>
      <c r="F795" s="14">
        <v>0.75000000000000011</v>
      </c>
      <c r="G795" s="3">
        <f>'Monthly CFS'!C795 * 86400 * DAY(EOMONTH(D795,0)) / 43560</f>
        <v>599.94458485513223</v>
      </c>
      <c r="H795" s="3"/>
    </row>
    <row r="796" spans="1:8" x14ac:dyDescent="0.25">
      <c r="A796" s="2">
        <v>789</v>
      </c>
      <c r="B796" s="2">
        <f t="shared" si="32"/>
        <v>1987</v>
      </c>
      <c r="C796" s="2">
        <f t="shared" si="33"/>
        <v>6</v>
      </c>
      <c r="D796" s="4">
        <v>31958</v>
      </c>
      <c r="E796" s="3">
        <v>257.70906701703865</v>
      </c>
      <c r="F796" s="14">
        <v>0.75</v>
      </c>
      <c r="G796" s="3">
        <f>'Monthly CFS'!C796 * 86400 * DAY(EOMONTH(D796,0)) / 43560</f>
        <v>788.94860589767598</v>
      </c>
      <c r="H796" s="3"/>
    </row>
    <row r="797" spans="1:8" x14ac:dyDescent="0.25">
      <c r="A797" s="2">
        <v>790</v>
      </c>
      <c r="B797" s="2">
        <f t="shared" si="32"/>
        <v>1987</v>
      </c>
      <c r="C797" s="2">
        <f t="shared" si="33"/>
        <v>7</v>
      </c>
      <c r="D797" s="4">
        <v>31989</v>
      </c>
      <c r="E797" s="3">
        <v>288.24290179325095</v>
      </c>
      <c r="F797" s="14">
        <v>0.75000000000000011</v>
      </c>
      <c r="G797" s="3">
        <f>'Monthly CFS'!C797 * 86400 * DAY(EOMONTH(D797,0)) / 43560</f>
        <v>1012.3169788852587</v>
      </c>
      <c r="H797" s="3"/>
    </row>
    <row r="798" spans="1:8" x14ac:dyDescent="0.25">
      <c r="A798" s="2">
        <v>791</v>
      </c>
      <c r="B798" s="2">
        <f t="shared" si="32"/>
        <v>1987</v>
      </c>
      <c r="C798" s="2">
        <f t="shared" si="33"/>
        <v>8</v>
      </c>
      <c r="D798" s="4">
        <v>32020</v>
      </c>
      <c r="E798" s="3">
        <v>279.99483921206041</v>
      </c>
      <c r="F798" s="14">
        <v>0.75</v>
      </c>
      <c r="G798" s="3">
        <f>'Monthly CFS'!C798 * 86400 * DAY(EOMONTH(D798,0)) / 43560</f>
        <v>1106.8190107427379</v>
      </c>
      <c r="H798" s="3"/>
    </row>
    <row r="799" spans="1:8" x14ac:dyDescent="0.25">
      <c r="A799" s="2">
        <v>792</v>
      </c>
      <c r="B799" s="2">
        <f t="shared" si="32"/>
        <v>1987</v>
      </c>
      <c r="C799" s="2">
        <f t="shared" si="33"/>
        <v>9</v>
      </c>
      <c r="D799" s="4">
        <v>32050</v>
      </c>
      <c r="E799" s="3">
        <v>253.56663201676474</v>
      </c>
      <c r="F799" s="14">
        <v>0.75</v>
      </c>
      <c r="G799" s="3">
        <f>'Monthly CFS'!C799 * 86400 * DAY(EOMONTH(D799,0)) / 43560</f>
        <v>933.56529278276219</v>
      </c>
      <c r="H799" s="3"/>
    </row>
    <row r="800" spans="1:8" x14ac:dyDescent="0.25">
      <c r="A800" s="2">
        <v>793</v>
      </c>
      <c r="B800" s="2">
        <f t="shared" si="32"/>
        <v>1987</v>
      </c>
      <c r="C800" s="2">
        <f t="shared" si="33"/>
        <v>10</v>
      </c>
      <c r="D800" s="4">
        <v>32081</v>
      </c>
      <c r="E800" s="3">
        <v>216.07475469170527</v>
      </c>
      <c r="F800" s="14">
        <v>0.74999999999999989</v>
      </c>
      <c r="G800" s="3">
        <f>'Monthly CFS'!C800 * 86400 * DAY(EOMONTH(D800,0)) / 43560</f>
        <v>635.74078835391617</v>
      </c>
      <c r="H800" s="3"/>
    </row>
    <row r="801" spans="1:8" x14ac:dyDescent="0.25">
      <c r="A801" s="2">
        <v>794</v>
      </c>
      <c r="B801" s="2">
        <f t="shared" si="32"/>
        <v>1987</v>
      </c>
      <c r="C801" s="2">
        <f t="shared" si="33"/>
        <v>11</v>
      </c>
      <c r="D801" s="4">
        <v>32111</v>
      </c>
      <c r="E801" s="3">
        <v>174.85540601156069</v>
      </c>
      <c r="F801" s="14">
        <v>0.75000000000000011</v>
      </c>
      <c r="G801" s="3">
        <f>'Monthly CFS'!C801 * 86400 * DAY(EOMONTH(D801,0)) / 43560</f>
        <v>403.78132738007389</v>
      </c>
      <c r="H801" s="3"/>
    </row>
    <row r="802" spans="1:8" x14ac:dyDescent="0.25">
      <c r="A802" s="2">
        <v>795</v>
      </c>
      <c r="B802" s="2">
        <f t="shared" si="32"/>
        <v>1987</v>
      </c>
      <c r="C802" s="2">
        <f t="shared" si="33"/>
        <v>12</v>
      </c>
      <c r="D802" s="4">
        <v>32142</v>
      </c>
      <c r="E802" s="3">
        <v>153.18687823593447</v>
      </c>
      <c r="F802" s="14">
        <v>0.75</v>
      </c>
      <c r="G802" s="3">
        <f>'Monthly CFS'!C802 * 86400 * DAY(EOMONTH(D802,0)) / 43560</f>
        <v>332.18888837819594</v>
      </c>
      <c r="H802" s="3"/>
    </row>
    <row r="803" spans="1:8" x14ac:dyDescent="0.25">
      <c r="A803" s="2">
        <v>796</v>
      </c>
      <c r="B803" s="2">
        <f t="shared" si="32"/>
        <v>1988</v>
      </c>
      <c r="C803" s="2">
        <f t="shared" si="33"/>
        <v>1</v>
      </c>
      <c r="D803" s="4">
        <v>32173</v>
      </c>
      <c r="E803" s="3">
        <v>148.33069936464571</v>
      </c>
      <c r="F803" s="14">
        <v>0.75000000000000011</v>
      </c>
      <c r="G803" s="3">
        <f>'Monthly CFS'!C803 * 86400 * DAY(EOMONTH(D803,0)) / 43560</f>
        <v>133.67826149478657</v>
      </c>
      <c r="H803" s="3"/>
    </row>
    <row r="804" spans="1:8" x14ac:dyDescent="0.25">
      <c r="A804" s="2">
        <v>797</v>
      </c>
      <c r="B804" s="2">
        <f t="shared" si="32"/>
        <v>1988</v>
      </c>
      <c r="C804" s="2">
        <f t="shared" si="33"/>
        <v>2</v>
      </c>
      <c r="D804" s="4">
        <v>32202</v>
      </c>
      <c r="E804" s="3">
        <v>140.67770845757687</v>
      </c>
      <c r="F804" s="14">
        <v>0.73865582475927338</v>
      </c>
      <c r="G804" s="3">
        <f>'Monthly CFS'!C804 * 86400 * DAY(EOMONTH(D804,0)) / 43560</f>
        <v>119.16117142312115</v>
      </c>
      <c r="H804" s="3"/>
    </row>
    <row r="805" spans="1:8" x14ac:dyDescent="0.25">
      <c r="A805" s="2">
        <v>798</v>
      </c>
      <c r="B805" s="2">
        <f t="shared" si="32"/>
        <v>1988</v>
      </c>
      <c r="C805" s="2">
        <f t="shared" si="33"/>
        <v>3</v>
      </c>
      <c r="D805" s="4">
        <v>32233</v>
      </c>
      <c r="E805" s="3">
        <v>152.55323506385471</v>
      </c>
      <c r="F805" s="14">
        <v>0.5</v>
      </c>
      <c r="G805" s="3">
        <f>'Monthly CFS'!C805 * 86400 * DAY(EOMONTH(D805,0)) / 43560</f>
        <v>275.48601173434429</v>
      </c>
      <c r="H805" s="3"/>
    </row>
    <row r="806" spans="1:8" x14ac:dyDescent="0.25">
      <c r="A806" s="2">
        <v>799</v>
      </c>
      <c r="B806" s="2">
        <f t="shared" si="32"/>
        <v>1988</v>
      </c>
      <c r="C806" s="2">
        <f t="shared" si="33"/>
        <v>4</v>
      </c>
      <c r="D806" s="4">
        <v>32263</v>
      </c>
      <c r="E806" s="3">
        <v>196.32088667964655</v>
      </c>
      <c r="F806" s="14">
        <v>0.5</v>
      </c>
      <c r="G806" s="3">
        <f>'Monthly CFS'!C806 * 86400 * DAY(EOMONTH(D806,0)) / 43560</f>
        <v>211.71662533046131</v>
      </c>
      <c r="H806" s="3"/>
    </row>
    <row r="807" spans="1:8" x14ac:dyDescent="0.25">
      <c r="A807" s="2">
        <v>800</v>
      </c>
      <c r="B807" s="2">
        <f t="shared" si="32"/>
        <v>1988</v>
      </c>
      <c r="C807" s="2">
        <f t="shared" si="33"/>
        <v>5</v>
      </c>
      <c r="D807" s="4">
        <v>32294</v>
      </c>
      <c r="E807" s="3">
        <v>239.89165958575308</v>
      </c>
      <c r="F807" s="14">
        <v>0.5</v>
      </c>
      <c r="G807" s="3">
        <f>'Monthly CFS'!C807 * 86400 * DAY(EOMONTH(D807,0)) / 43560</f>
        <v>312.35656825996864</v>
      </c>
      <c r="H807" s="3"/>
    </row>
    <row r="808" spans="1:8" x14ac:dyDescent="0.25">
      <c r="A808" s="2">
        <v>801</v>
      </c>
      <c r="B808" s="2">
        <f t="shared" si="32"/>
        <v>1988</v>
      </c>
      <c r="C808" s="2">
        <f t="shared" si="33"/>
        <v>6</v>
      </c>
      <c r="D808" s="4">
        <v>32324</v>
      </c>
      <c r="E808" s="3">
        <v>275.36306112931692</v>
      </c>
      <c r="F808" s="14">
        <v>0.49999999999999994</v>
      </c>
      <c r="G808" s="3">
        <f>'Monthly CFS'!C808 * 86400 * DAY(EOMONTH(D808,0)) / 43560</f>
        <v>410.76006900069018</v>
      </c>
      <c r="H808" s="3"/>
    </row>
    <row r="809" spans="1:8" x14ac:dyDescent="0.25">
      <c r="A809" s="2">
        <v>802</v>
      </c>
      <c r="B809" s="2">
        <f t="shared" si="32"/>
        <v>1988</v>
      </c>
      <c r="C809" s="2">
        <f t="shared" si="33"/>
        <v>7</v>
      </c>
      <c r="D809" s="4">
        <v>32355</v>
      </c>
      <c r="E809" s="3">
        <v>287.21574840608628</v>
      </c>
      <c r="F809" s="14">
        <v>0.5</v>
      </c>
      <c r="G809" s="3">
        <f>'Monthly CFS'!C809 * 86400 * DAY(EOMONTH(D809,0)) / 43560</f>
        <v>527.05510725170006</v>
      </c>
      <c r="H809" s="3"/>
    </row>
    <row r="810" spans="1:8" x14ac:dyDescent="0.25">
      <c r="A810" s="2">
        <v>803</v>
      </c>
      <c r="B810" s="2">
        <f t="shared" si="32"/>
        <v>1988</v>
      </c>
      <c r="C810" s="2">
        <f t="shared" si="33"/>
        <v>8</v>
      </c>
      <c r="D810" s="4">
        <v>32386</v>
      </c>
      <c r="E810" s="3">
        <v>278.99732431952134</v>
      </c>
      <c r="F810" s="14">
        <v>0.5</v>
      </c>
      <c r="G810" s="3">
        <f>'Monthly CFS'!C810 * 86400 * DAY(EOMONTH(D810,0)) / 43560</f>
        <v>576.25686873059465</v>
      </c>
      <c r="H810" s="3"/>
    </row>
    <row r="811" spans="1:8" x14ac:dyDescent="0.25">
      <c r="A811" s="2">
        <v>804</v>
      </c>
      <c r="B811" s="2">
        <f t="shared" si="32"/>
        <v>1988</v>
      </c>
      <c r="C811" s="2">
        <f t="shared" si="33"/>
        <v>9</v>
      </c>
      <c r="D811" s="4">
        <v>32416</v>
      </c>
      <c r="E811" s="3">
        <v>254.31992423904134</v>
      </c>
      <c r="F811" s="14">
        <v>0.49999999999999994</v>
      </c>
      <c r="G811" s="3">
        <f>'Monthly CFS'!C811 * 86400 * DAY(EOMONTH(D811,0)) / 43560</f>
        <v>486.05364305546618</v>
      </c>
      <c r="H811" s="3"/>
    </row>
    <row r="812" spans="1:8" x14ac:dyDescent="0.25">
      <c r="A812" s="2">
        <v>805</v>
      </c>
      <c r="B812" s="2">
        <f t="shared" si="32"/>
        <v>1988</v>
      </c>
      <c r="C812" s="2">
        <f t="shared" si="33"/>
        <v>10</v>
      </c>
      <c r="D812" s="4">
        <v>32447</v>
      </c>
      <c r="E812" s="3">
        <v>214.84262990668239</v>
      </c>
      <c r="F812" s="14">
        <v>0.5</v>
      </c>
      <c r="G812" s="3">
        <f>'Monthly CFS'!C812 * 86400 * DAY(EOMONTH(D812,0)) / 43560</f>
        <v>330.99358835127509</v>
      </c>
      <c r="H812" s="3"/>
    </row>
    <row r="813" spans="1:8" x14ac:dyDescent="0.25">
      <c r="A813" s="2">
        <v>806</v>
      </c>
      <c r="B813" s="2">
        <f t="shared" si="32"/>
        <v>1988</v>
      </c>
      <c r="C813" s="2">
        <f t="shared" si="33"/>
        <v>11</v>
      </c>
      <c r="D813" s="4">
        <v>32477</v>
      </c>
      <c r="E813" s="3">
        <v>177.10611356727165</v>
      </c>
      <c r="F813" s="14">
        <v>0.50000000000000011</v>
      </c>
      <c r="G813" s="3">
        <f>'Monthly CFS'!C813 * 86400 * DAY(EOMONTH(D813,0)) / 43560</f>
        <v>210.22566572269292</v>
      </c>
      <c r="H813" s="3"/>
    </row>
    <row r="814" spans="1:8" x14ac:dyDescent="0.25">
      <c r="A814" s="2">
        <v>807</v>
      </c>
      <c r="B814" s="2">
        <f t="shared" si="32"/>
        <v>1988</v>
      </c>
      <c r="C814" s="2">
        <f t="shared" si="33"/>
        <v>12</v>
      </c>
      <c r="D814" s="4">
        <v>32508</v>
      </c>
      <c r="E814" s="3">
        <v>161.98826861286778</v>
      </c>
      <c r="F814" s="14">
        <v>0.5</v>
      </c>
      <c r="G814" s="3">
        <f>'Monthly CFS'!C814 * 86400 * DAY(EOMONTH(D814,0)) / 43560</f>
        <v>172.95160887728011</v>
      </c>
      <c r="H814" s="3"/>
    </row>
    <row r="815" spans="1:8" x14ac:dyDescent="0.25">
      <c r="A815" s="2">
        <v>808</v>
      </c>
      <c r="B815" s="2">
        <f t="shared" si="32"/>
        <v>1989</v>
      </c>
      <c r="C815" s="2">
        <f t="shared" si="33"/>
        <v>1</v>
      </c>
      <c r="D815" s="4">
        <v>32539</v>
      </c>
      <c r="E815" s="3">
        <v>157.69227420398323</v>
      </c>
      <c r="F815" s="14">
        <v>0.5</v>
      </c>
      <c r="G815" s="3">
        <f>'Monthly CFS'!C815 * 86400 * DAY(EOMONTH(D815,0)) / 43560</f>
        <v>201.48649492525004</v>
      </c>
      <c r="H815" s="3"/>
    </row>
    <row r="816" spans="1:8" x14ac:dyDescent="0.25">
      <c r="A816" s="2">
        <v>809</v>
      </c>
      <c r="B816" s="2">
        <f t="shared" si="32"/>
        <v>1989</v>
      </c>
      <c r="C816" s="2">
        <f t="shared" si="33"/>
        <v>2</v>
      </c>
      <c r="D816" s="4">
        <v>32567</v>
      </c>
      <c r="E816" s="3">
        <v>173.74392882101867</v>
      </c>
      <c r="F816" s="14">
        <v>0.5</v>
      </c>
      <c r="G816" s="3">
        <f>'Monthly CFS'!C816 * 86400 * DAY(EOMONTH(D816,0)) / 43560</f>
        <v>154.42195908590952</v>
      </c>
      <c r="H816" s="3"/>
    </row>
    <row r="817" spans="1:8" x14ac:dyDescent="0.25">
      <c r="A817" s="2">
        <v>810</v>
      </c>
      <c r="B817" s="2">
        <f t="shared" si="32"/>
        <v>1989</v>
      </c>
      <c r="C817" s="2">
        <f t="shared" si="33"/>
        <v>3</v>
      </c>
      <c r="D817" s="4">
        <v>32598</v>
      </c>
      <c r="E817" s="3">
        <v>152.55323506385679</v>
      </c>
      <c r="F817" s="14">
        <v>0.5</v>
      </c>
      <c r="G817" s="3">
        <f>'Monthly CFS'!C817 * 86400 * DAY(EOMONTH(D817,0)) / 43560</f>
        <v>840.68473384568995</v>
      </c>
      <c r="H817" s="3"/>
    </row>
    <row r="818" spans="1:8" x14ac:dyDescent="0.25">
      <c r="A818" s="2">
        <v>811</v>
      </c>
      <c r="B818" s="2">
        <f t="shared" si="32"/>
        <v>1989</v>
      </c>
      <c r="C818" s="2">
        <f t="shared" si="33"/>
        <v>4</v>
      </c>
      <c r="D818" s="4">
        <v>32628</v>
      </c>
      <c r="E818" s="3">
        <v>155.35965745471614</v>
      </c>
      <c r="F818" s="14">
        <v>0.95628443765574522</v>
      </c>
      <c r="G818" s="3">
        <f>'Monthly CFS'!C818 * 86400 * DAY(EOMONTH(D818,0)) / 43560</f>
        <v>1561.6876860582595</v>
      </c>
      <c r="H818" s="3"/>
    </row>
    <row r="819" spans="1:8" x14ac:dyDescent="0.25">
      <c r="A819" s="2">
        <v>812</v>
      </c>
      <c r="B819" s="2">
        <f t="shared" si="32"/>
        <v>1989</v>
      </c>
      <c r="C819" s="2">
        <f t="shared" si="33"/>
        <v>5</v>
      </c>
      <c r="D819" s="4">
        <v>32659</v>
      </c>
      <c r="E819" s="3">
        <v>220.07156033713082</v>
      </c>
      <c r="F819" s="14">
        <v>0.95628443765574511</v>
      </c>
      <c r="G819" s="3">
        <f>'Monthly CFS'!C819 * 86400 * DAY(EOMONTH(D819,0)) / 43560</f>
        <v>2304.0392106647896</v>
      </c>
      <c r="H819" s="3"/>
    </row>
    <row r="820" spans="1:8" x14ac:dyDescent="0.25">
      <c r="A820" s="2">
        <v>813</v>
      </c>
      <c r="B820" s="2">
        <f t="shared" si="32"/>
        <v>1989</v>
      </c>
      <c r="C820" s="2">
        <f t="shared" si="33"/>
        <v>6</v>
      </c>
      <c r="D820" s="4">
        <v>32689</v>
      </c>
      <c r="E820" s="3">
        <v>257.70906701703865</v>
      </c>
      <c r="F820" s="14">
        <v>0.95628443765574511</v>
      </c>
      <c r="G820" s="3">
        <f>'Monthly CFS'!C820 * 86400 * DAY(EOMONTH(D820,0)) / 43560</f>
        <v>3029.8940420080662</v>
      </c>
      <c r="H820" s="3"/>
    </row>
    <row r="821" spans="1:8" x14ac:dyDescent="0.25">
      <c r="A821" s="2">
        <v>814</v>
      </c>
      <c r="B821" s="2">
        <f t="shared" si="32"/>
        <v>1989</v>
      </c>
      <c r="C821" s="2">
        <f t="shared" si="33"/>
        <v>7</v>
      </c>
      <c r="D821" s="4">
        <v>32720</v>
      </c>
      <c r="E821" s="3">
        <v>288.24290179325095</v>
      </c>
      <c r="F821" s="14">
        <v>0.95628443765574545</v>
      </c>
      <c r="G821" s="3">
        <f>'Monthly CFS'!C821 * 86400 * DAY(EOMONTH(D821,0)) / 43560</f>
        <v>3887.7224194573919</v>
      </c>
      <c r="H821" s="3"/>
    </row>
    <row r="822" spans="1:8" x14ac:dyDescent="0.25">
      <c r="A822" s="2">
        <v>815</v>
      </c>
      <c r="B822" s="2">
        <f t="shared" si="32"/>
        <v>1989</v>
      </c>
      <c r="C822" s="2">
        <f t="shared" si="33"/>
        <v>8</v>
      </c>
      <c r="D822" s="4">
        <v>32751</v>
      </c>
      <c r="E822" s="3">
        <v>279.99483921206041</v>
      </c>
      <c r="F822" s="14">
        <v>0.95628443765574545</v>
      </c>
      <c r="G822" s="3">
        <f>'Monthly CFS'!C822 * 86400 * DAY(EOMONTH(D822,0)) / 43560</f>
        <v>4250.6499170690295</v>
      </c>
      <c r="H822" s="3"/>
    </row>
    <row r="823" spans="1:8" x14ac:dyDescent="0.25">
      <c r="A823" s="2">
        <v>816</v>
      </c>
      <c r="B823" s="2">
        <f t="shared" si="32"/>
        <v>1989</v>
      </c>
      <c r="C823" s="2">
        <f t="shared" si="33"/>
        <v>9</v>
      </c>
      <c r="D823" s="4">
        <v>32781</v>
      </c>
      <c r="E823" s="3">
        <v>253.56663201676471</v>
      </c>
      <c r="F823" s="14">
        <v>0.95628443765574533</v>
      </c>
      <c r="G823" s="3">
        <f>'Monthly CFS'!C823 * 86400 * DAY(EOMONTH(D823,0)) / 43560</f>
        <v>3585.2828654276946</v>
      </c>
      <c r="H823" s="3"/>
    </row>
    <row r="824" spans="1:8" x14ac:dyDescent="0.25">
      <c r="A824" s="2">
        <v>817</v>
      </c>
      <c r="B824" s="2">
        <f t="shared" si="32"/>
        <v>1989</v>
      </c>
      <c r="C824" s="2">
        <f t="shared" si="33"/>
        <v>10</v>
      </c>
      <c r="D824" s="4">
        <v>32812</v>
      </c>
      <c r="E824" s="3">
        <v>216.07475469170529</v>
      </c>
      <c r="F824" s="14">
        <v>0.95628443765574511</v>
      </c>
      <c r="G824" s="3">
        <f>'Monthly CFS'!C824 * 86400 * DAY(EOMONTH(D824,0)) / 43560</f>
        <v>2441.5116681819263</v>
      </c>
      <c r="H824" s="3"/>
    </row>
    <row r="825" spans="1:8" x14ac:dyDescent="0.25">
      <c r="A825" s="2">
        <v>818</v>
      </c>
      <c r="B825" s="2">
        <f t="shared" si="32"/>
        <v>1989</v>
      </c>
      <c r="C825" s="2">
        <f t="shared" si="33"/>
        <v>11</v>
      </c>
      <c r="D825" s="4">
        <v>32842</v>
      </c>
      <c r="E825" s="3">
        <v>174.85540601156069</v>
      </c>
      <c r="F825" s="14">
        <v>0.956284437655745</v>
      </c>
      <c r="G825" s="3">
        <f>'Monthly CFS'!C825 * 86400 * DAY(EOMONTH(D825,0)) / 43560</f>
        <v>1550.6899042060884</v>
      </c>
      <c r="H825" s="3"/>
    </row>
    <row r="826" spans="1:8" x14ac:dyDescent="0.25">
      <c r="A826" s="2">
        <v>819</v>
      </c>
      <c r="B826" s="2">
        <f t="shared" si="32"/>
        <v>1989</v>
      </c>
      <c r="C826" s="2">
        <f t="shared" si="33"/>
        <v>12</v>
      </c>
      <c r="D826" s="4">
        <v>32873</v>
      </c>
      <c r="E826" s="3">
        <v>153.1868782359345</v>
      </c>
      <c r="F826" s="14">
        <v>0.95628443765574511</v>
      </c>
      <c r="G826" s="3">
        <f>'Monthly CFS'!C826 * 86400 * DAY(EOMONTH(D826,0)) / 43560</f>
        <v>1275.7448662618174</v>
      </c>
      <c r="H826" s="3"/>
    </row>
    <row r="827" spans="1:8" x14ac:dyDescent="0.25">
      <c r="A827" s="2">
        <v>820</v>
      </c>
      <c r="B827" s="2">
        <f t="shared" si="32"/>
        <v>1990</v>
      </c>
      <c r="C827" s="2">
        <f t="shared" si="33"/>
        <v>1</v>
      </c>
      <c r="D827" s="4">
        <v>32904</v>
      </c>
      <c r="E827" s="3">
        <v>148.33069936464571</v>
      </c>
      <c r="F827" s="14">
        <v>0.95628443765574511</v>
      </c>
      <c r="G827" s="3">
        <f>'Monthly CFS'!C827 * 86400 * DAY(EOMONTH(D827,0)) / 43560</f>
        <v>133.67826149478665</v>
      </c>
      <c r="H827" s="3"/>
    </row>
    <row r="828" spans="1:8" x14ac:dyDescent="0.25">
      <c r="A828" s="2">
        <v>821</v>
      </c>
      <c r="B828" s="2">
        <f t="shared" si="32"/>
        <v>1990</v>
      </c>
      <c r="C828" s="2">
        <f t="shared" si="33"/>
        <v>2</v>
      </c>
      <c r="D828" s="4">
        <v>32932</v>
      </c>
      <c r="E828" s="3">
        <v>145.70191233106829</v>
      </c>
      <c r="F828" s="14">
        <v>0.74999999999999989</v>
      </c>
      <c r="G828" s="3">
        <f>'Monthly CFS'!C828 * 86400 * DAY(EOMONTH(D828,0)) / 43560</f>
        <v>119.16117142312102</v>
      </c>
      <c r="H828" s="3"/>
    </row>
    <row r="829" spans="1:8" x14ac:dyDescent="0.25">
      <c r="A829" s="2">
        <v>822</v>
      </c>
      <c r="B829" s="2">
        <f t="shared" si="32"/>
        <v>1990</v>
      </c>
      <c r="C829" s="2">
        <f t="shared" si="33"/>
        <v>3</v>
      </c>
      <c r="D829" s="4">
        <v>32963</v>
      </c>
      <c r="E829" s="3">
        <v>152.55323506385773</v>
      </c>
      <c r="F829" s="14">
        <v>0.5</v>
      </c>
      <c r="G829" s="3">
        <f>'Monthly CFS'!C829 * 86400 * DAY(EOMONTH(D829,0)) / 43560</f>
        <v>184.40680510408893</v>
      </c>
      <c r="H829" s="3"/>
    </row>
    <row r="830" spans="1:8" x14ac:dyDescent="0.25">
      <c r="A830" s="2">
        <v>823</v>
      </c>
      <c r="B830" s="2">
        <f t="shared" si="32"/>
        <v>1990</v>
      </c>
      <c r="C830" s="2">
        <f t="shared" si="33"/>
        <v>4</v>
      </c>
      <c r="D830" s="4">
        <v>32993</v>
      </c>
      <c r="E830" s="3">
        <v>196.32088667964658</v>
      </c>
      <c r="F830" s="14">
        <v>0.5</v>
      </c>
      <c r="G830" s="3">
        <f>'Monthly CFS'!C830 * 86400 * DAY(EOMONTH(D830,0)) / 43560</f>
        <v>202.31297752512208</v>
      </c>
      <c r="H830" s="3"/>
    </row>
    <row r="831" spans="1:8" x14ac:dyDescent="0.25">
      <c r="A831" s="2">
        <v>824</v>
      </c>
      <c r="B831" s="2">
        <f t="shared" si="32"/>
        <v>1990</v>
      </c>
      <c r="C831" s="2">
        <f t="shared" si="33"/>
        <v>5</v>
      </c>
      <c r="D831" s="4">
        <v>33024</v>
      </c>
      <c r="E831" s="3">
        <v>239.89165958575305</v>
      </c>
      <c r="F831" s="14">
        <v>0.5</v>
      </c>
      <c r="G831" s="3">
        <f>'Monthly CFS'!C831 * 86400 * DAY(EOMONTH(D831,0)) / 43560</f>
        <v>298.4828767016586</v>
      </c>
      <c r="H831" s="3"/>
    </row>
    <row r="832" spans="1:8" x14ac:dyDescent="0.25">
      <c r="A832" s="2">
        <v>825</v>
      </c>
      <c r="B832" s="2">
        <f t="shared" si="32"/>
        <v>1990</v>
      </c>
      <c r="C832" s="2">
        <f t="shared" si="33"/>
        <v>6</v>
      </c>
      <c r="D832" s="4">
        <v>33054</v>
      </c>
      <c r="E832" s="3">
        <v>275.36306112931697</v>
      </c>
      <c r="F832" s="14">
        <v>0.5</v>
      </c>
      <c r="G832" s="3">
        <f>'Monthly CFS'!C832 * 86400 * DAY(EOMONTH(D832,0)) / 43560</f>
        <v>392.51566795117321</v>
      </c>
      <c r="H832" s="3"/>
    </row>
    <row r="833" spans="1:8" x14ac:dyDescent="0.25">
      <c r="A833" s="2">
        <v>826</v>
      </c>
      <c r="B833" s="2">
        <f t="shared" si="32"/>
        <v>1990</v>
      </c>
      <c r="C833" s="2">
        <f t="shared" si="33"/>
        <v>7</v>
      </c>
      <c r="D833" s="4">
        <v>33085</v>
      </c>
      <c r="E833" s="3">
        <v>287.21574840608628</v>
      </c>
      <c r="F833" s="14">
        <v>0.5</v>
      </c>
      <c r="G833" s="3">
        <f>'Monthly CFS'!C833 * 86400 * DAY(EOMONTH(D833,0)) / 43560</f>
        <v>503.64532261686458</v>
      </c>
      <c r="H833" s="3"/>
    </row>
    <row r="834" spans="1:8" x14ac:dyDescent="0.25">
      <c r="A834" s="2">
        <v>827</v>
      </c>
      <c r="B834" s="2">
        <f t="shared" si="32"/>
        <v>1990</v>
      </c>
      <c r="C834" s="2">
        <f t="shared" si="33"/>
        <v>8</v>
      </c>
      <c r="D834" s="4">
        <v>33116</v>
      </c>
      <c r="E834" s="3">
        <v>278.99732431952134</v>
      </c>
      <c r="F834" s="14">
        <v>0.5</v>
      </c>
      <c r="G834" s="3">
        <f>'Monthly CFS'!C834 * 86400 * DAY(EOMONTH(D834,0)) / 43560</f>
        <v>550.66172885675667</v>
      </c>
      <c r="H834" s="3"/>
    </row>
    <row r="835" spans="1:8" x14ac:dyDescent="0.25">
      <c r="A835" s="2">
        <v>828</v>
      </c>
      <c r="B835" s="2">
        <f t="shared" si="32"/>
        <v>1990</v>
      </c>
      <c r="C835" s="2">
        <f t="shared" si="33"/>
        <v>9</v>
      </c>
      <c r="D835" s="4">
        <v>33146</v>
      </c>
      <c r="E835" s="3">
        <v>254.31992423903674</v>
      </c>
      <c r="F835" s="14">
        <v>0.5</v>
      </c>
      <c r="G835" s="3">
        <f>'Monthly CFS'!C835 * 86400 * DAY(EOMONTH(D835,0)) / 43560</f>
        <v>464.4649876219998</v>
      </c>
      <c r="H835" s="3"/>
    </row>
    <row r="836" spans="1:8" x14ac:dyDescent="0.25">
      <c r="A836" s="2">
        <v>829</v>
      </c>
      <c r="B836" s="2">
        <f t="shared" si="32"/>
        <v>1990</v>
      </c>
      <c r="C836" s="2">
        <f t="shared" si="33"/>
        <v>10</v>
      </c>
      <c r="D836" s="4">
        <v>33177</v>
      </c>
      <c r="E836" s="3">
        <v>214.84262990667759</v>
      </c>
      <c r="F836" s="14">
        <v>0.5</v>
      </c>
      <c r="G836" s="3">
        <f>'Monthly CFS'!C836 * 86400 * DAY(EOMONTH(D836,0)) / 43560</f>
        <v>316.29211119603224</v>
      </c>
      <c r="H836" s="3"/>
    </row>
    <row r="837" spans="1:8" x14ac:dyDescent="0.25">
      <c r="A837" s="2">
        <v>830</v>
      </c>
      <c r="B837" s="2">
        <f t="shared" si="32"/>
        <v>1990</v>
      </c>
      <c r="C837" s="2">
        <f t="shared" si="33"/>
        <v>11</v>
      </c>
      <c r="D837" s="4">
        <v>33207</v>
      </c>
      <c r="E837" s="3">
        <v>177.10611356726508</v>
      </c>
      <c r="F837" s="14">
        <v>0.5</v>
      </c>
      <c r="G837" s="3">
        <f>'Monthly CFS'!C837 * 86400 * DAY(EOMONTH(D837,0)) / 43560</f>
        <v>200.88824067629645</v>
      </c>
      <c r="H837" s="3"/>
    </row>
    <row r="838" spans="1:8" x14ac:dyDescent="0.25">
      <c r="A838" s="2">
        <v>831</v>
      </c>
      <c r="B838" s="2">
        <f t="shared" si="32"/>
        <v>1990</v>
      </c>
      <c r="C838" s="2">
        <f t="shared" si="33"/>
        <v>12</v>
      </c>
      <c r="D838" s="4">
        <v>33238</v>
      </c>
      <c r="E838" s="3">
        <v>161.98826861286051</v>
      </c>
      <c r="F838" s="14">
        <v>0.5</v>
      </c>
      <c r="G838" s="3">
        <f>'Monthly CFS'!C838 * 86400 * DAY(EOMONTH(D838,0)) / 43560</f>
        <v>165.26975576484662</v>
      </c>
      <c r="H838" s="3"/>
    </row>
    <row r="839" spans="1:8" x14ac:dyDescent="0.25">
      <c r="A839" s="2">
        <v>832</v>
      </c>
      <c r="B839" s="2">
        <f t="shared" si="32"/>
        <v>1991</v>
      </c>
      <c r="C839" s="2">
        <f t="shared" si="33"/>
        <v>1</v>
      </c>
      <c r="D839" s="4">
        <v>33269</v>
      </c>
      <c r="E839" s="3">
        <v>157.69227420397434</v>
      </c>
      <c r="F839" s="14">
        <v>0.5</v>
      </c>
      <c r="G839" s="3">
        <f>'Monthly CFS'!C839 * 86400 * DAY(EOMONTH(D839,0)) / 43560</f>
        <v>133.67826149478657</v>
      </c>
      <c r="H839" s="3"/>
    </row>
    <row r="840" spans="1:8" x14ac:dyDescent="0.25">
      <c r="A840" s="2">
        <v>833</v>
      </c>
      <c r="B840" s="2">
        <f t="shared" si="32"/>
        <v>1991</v>
      </c>
      <c r="C840" s="2">
        <f t="shared" si="33"/>
        <v>2</v>
      </c>
      <c r="D840" s="4">
        <v>33297</v>
      </c>
      <c r="E840" s="3">
        <v>173.743928821011</v>
      </c>
      <c r="F840" s="14">
        <v>0.25</v>
      </c>
      <c r="G840" s="3">
        <f>'Monthly CFS'!C840 * 86400 * DAY(EOMONTH(D840,0)) / 43560</f>
        <v>119.16117142312108</v>
      </c>
      <c r="H840" s="3"/>
    </row>
    <row r="841" spans="1:8" x14ac:dyDescent="0.25">
      <c r="A841" s="2">
        <v>834</v>
      </c>
      <c r="B841" s="2">
        <f t="shared" ref="B841:B904" si="34">YEAR(D841)</f>
        <v>1991</v>
      </c>
      <c r="C841" s="2">
        <f t="shared" ref="C841:C904" si="35">MONTH(D841)</f>
        <v>3</v>
      </c>
      <c r="D841" s="4">
        <v>33328</v>
      </c>
      <c r="E841" s="3">
        <v>152.5532350638496</v>
      </c>
      <c r="F841" s="14">
        <v>0.25</v>
      </c>
      <c r="G841" s="3">
        <f>'Monthly CFS'!C841 * 86400 * DAY(EOMONTH(D841,0)) / 43560</f>
        <v>215.54588195708769</v>
      </c>
      <c r="H841" s="3"/>
    </row>
    <row r="842" spans="1:8" x14ac:dyDescent="0.25">
      <c r="A842" s="2">
        <v>835</v>
      </c>
      <c r="B842" s="2">
        <f t="shared" si="34"/>
        <v>1991</v>
      </c>
      <c r="C842" s="2">
        <f t="shared" si="35"/>
        <v>4</v>
      </c>
      <c r="D842" s="4">
        <v>33358</v>
      </c>
      <c r="E842" s="3">
        <v>196.32088667964655</v>
      </c>
      <c r="F842" s="14">
        <v>0.25</v>
      </c>
      <c r="G842" s="3">
        <f>'Monthly CFS'!C842 * 86400 * DAY(EOMONTH(D842,0)) / 43560</f>
        <v>214.97088779939713</v>
      </c>
      <c r="H842" s="3"/>
    </row>
    <row r="843" spans="1:8" x14ac:dyDescent="0.25">
      <c r="A843" s="2">
        <v>836</v>
      </c>
      <c r="B843" s="2">
        <f t="shared" si="34"/>
        <v>1991</v>
      </c>
      <c r="C843" s="2">
        <f t="shared" si="35"/>
        <v>5</v>
      </c>
      <c r="D843" s="4">
        <v>33389</v>
      </c>
      <c r="E843" s="3">
        <v>239.89165958575305</v>
      </c>
      <c r="F843" s="14">
        <v>0.24999999999999997</v>
      </c>
      <c r="G843" s="3">
        <f>'Monthly CFS'!C843 * 86400 * DAY(EOMONTH(D843,0)) / 43560</f>
        <v>317.15775123444411</v>
      </c>
      <c r="H843" s="3"/>
    </row>
    <row r="844" spans="1:8" x14ac:dyDescent="0.25">
      <c r="A844" s="2">
        <v>837</v>
      </c>
      <c r="B844" s="2">
        <f t="shared" si="34"/>
        <v>1991</v>
      </c>
      <c r="C844" s="2">
        <f t="shared" si="35"/>
        <v>6</v>
      </c>
      <c r="D844" s="4">
        <v>33419</v>
      </c>
      <c r="E844" s="3">
        <v>275.36306112931697</v>
      </c>
      <c r="F844" s="14">
        <v>0.25</v>
      </c>
      <c r="G844" s="3">
        <f>'Monthly CFS'!C844 * 86400 * DAY(EOMONTH(D844,0)) / 43560</f>
        <v>417.07379648524631</v>
      </c>
      <c r="H844" s="3"/>
    </row>
    <row r="845" spans="1:8" x14ac:dyDescent="0.25">
      <c r="A845" s="2">
        <v>838</v>
      </c>
      <c r="B845" s="2">
        <f t="shared" si="34"/>
        <v>1991</v>
      </c>
      <c r="C845" s="2">
        <f t="shared" si="35"/>
        <v>7</v>
      </c>
      <c r="D845" s="4">
        <v>33450</v>
      </c>
      <c r="E845" s="3">
        <v>287.21574840608628</v>
      </c>
      <c r="F845" s="14">
        <v>0.25</v>
      </c>
      <c r="G845" s="3">
        <f>'Monthly CFS'!C845 * 86400 * DAY(EOMONTH(D845,0)) / 43560</f>
        <v>535.15638721454184</v>
      </c>
      <c r="H845" s="3"/>
    </row>
    <row r="846" spans="1:8" x14ac:dyDescent="0.25">
      <c r="A846" s="2">
        <v>839</v>
      </c>
      <c r="B846" s="2">
        <f t="shared" si="34"/>
        <v>1991</v>
      </c>
      <c r="C846" s="2">
        <f t="shared" si="35"/>
        <v>8</v>
      </c>
      <c r="D846" s="4">
        <v>33481</v>
      </c>
      <c r="E846" s="3">
        <v>278.99732431952134</v>
      </c>
      <c r="F846" s="14">
        <v>0.25</v>
      </c>
      <c r="G846" s="3">
        <f>'Monthly CFS'!C846 * 86400 * DAY(EOMONTH(D846,0)) / 43560</f>
        <v>585.11442111907286</v>
      </c>
      <c r="H846" s="3"/>
    </row>
    <row r="847" spans="1:8" x14ac:dyDescent="0.25">
      <c r="A847" s="2">
        <v>840</v>
      </c>
      <c r="B847" s="2">
        <f t="shared" si="34"/>
        <v>1991</v>
      </c>
      <c r="C847" s="2">
        <f t="shared" si="35"/>
        <v>9</v>
      </c>
      <c r="D847" s="4">
        <v>33511</v>
      </c>
      <c r="E847" s="3">
        <v>254.31992423903677</v>
      </c>
      <c r="F847" s="14">
        <v>0.24999999999999997</v>
      </c>
      <c r="G847" s="3">
        <f>'Monthly CFS'!C847 * 86400 * DAY(EOMONTH(D847,0)) / 43560</f>
        <v>493.5246960538596</v>
      </c>
      <c r="H847" s="3"/>
    </row>
    <row r="848" spans="1:8" x14ac:dyDescent="0.25">
      <c r="A848" s="2">
        <v>841</v>
      </c>
      <c r="B848" s="2">
        <f t="shared" si="34"/>
        <v>1991</v>
      </c>
      <c r="C848" s="2">
        <f t="shared" si="35"/>
        <v>10</v>
      </c>
      <c r="D848" s="4">
        <v>33542</v>
      </c>
      <c r="E848" s="3">
        <v>214.84262990667759</v>
      </c>
      <c r="F848" s="14">
        <v>0.25</v>
      </c>
      <c r="G848" s="3">
        <f>'Monthly CFS'!C848 * 86400 * DAY(EOMONTH(D848,0)) / 43560</f>
        <v>336.0812379883721</v>
      </c>
      <c r="H848" s="3"/>
    </row>
    <row r="849" spans="1:8" x14ac:dyDescent="0.25">
      <c r="A849" s="2">
        <v>842</v>
      </c>
      <c r="B849" s="2">
        <f t="shared" si="34"/>
        <v>1991</v>
      </c>
      <c r="C849" s="2">
        <f t="shared" si="35"/>
        <v>11</v>
      </c>
      <c r="D849" s="4">
        <v>33572</v>
      </c>
      <c r="E849" s="3">
        <v>177.10611356726508</v>
      </c>
      <c r="F849" s="14">
        <v>0.25</v>
      </c>
      <c r="G849" s="3">
        <f>'Monthly CFS'!C849 * 86400 * DAY(EOMONTH(D849,0)) / 43560</f>
        <v>213.45701088937759</v>
      </c>
      <c r="H849" s="3"/>
    </row>
    <row r="850" spans="1:8" x14ac:dyDescent="0.25">
      <c r="A850" s="2">
        <v>843</v>
      </c>
      <c r="B850" s="2">
        <f t="shared" si="34"/>
        <v>1991</v>
      </c>
      <c r="C850" s="2">
        <f t="shared" si="35"/>
        <v>12</v>
      </c>
      <c r="D850" s="4">
        <v>33603</v>
      </c>
      <c r="E850" s="3">
        <v>161.98826861286051</v>
      </c>
      <c r="F850" s="14">
        <v>0.25</v>
      </c>
      <c r="G850" s="3">
        <f>'Monthly CFS'!C850 * 86400 * DAY(EOMONTH(D850,0)) / 43560</f>
        <v>175.61002046320493</v>
      </c>
      <c r="H850" s="3"/>
    </row>
    <row r="851" spans="1:8" x14ac:dyDescent="0.25">
      <c r="A851" s="2">
        <v>844</v>
      </c>
      <c r="B851" s="2">
        <f t="shared" si="34"/>
        <v>1992</v>
      </c>
      <c r="C851" s="2">
        <f t="shared" si="35"/>
        <v>1</v>
      </c>
      <c r="D851" s="4">
        <v>33634</v>
      </c>
      <c r="E851" s="3">
        <v>157.69227420397434</v>
      </c>
      <c r="F851" s="14">
        <v>0.25</v>
      </c>
      <c r="G851" s="3">
        <f>'Monthly CFS'!C851 * 86400 * DAY(EOMONTH(D851,0)) / 43560</f>
        <v>133.67826149478657</v>
      </c>
      <c r="H851" s="3"/>
    </row>
    <row r="852" spans="1:8" x14ac:dyDescent="0.25">
      <c r="A852" s="2">
        <v>845</v>
      </c>
      <c r="B852" s="2">
        <f t="shared" si="34"/>
        <v>1992</v>
      </c>
      <c r="C852" s="2">
        <f t="shared" si="35"/>
        <v>2</v>
      </c>
      <c r="D852" s="4">
        <v>33663</v>
      </c>
      <c r="E852" s="3">
        <v>167.7527588616658</v>
      </c>
      <c r="F852" s="14">
        <v>0.25</v>
      </c>
      <c r="G852" s="3">
        <f>'Monthly CFS'!C852 * 86400 * DAY(EOMONTH(D852,0)) / 43560</f>
        <v>119.16117142312106</v>
      </c>
      <c r="H852" s="3"/>
    </row>
    <row r="853" spans="1:8" x14ac:dyDescent="0.25">
      <c r="A853" s="2">
        <v>846</v>
      </c>
      <c r="B853" s="2">
        <f t="shared" si="34"/>
        <v>1992</v>
      </c>
      <c r="C853" s="2">
        <f t="shared" si="35"/>
        <v>3</v>
      </c>
      <c r="D853" s="4">
        <v>33694</v>
      </c>
      <c r="E853" s="3">
        <v>152.5532350638496</v>
      </c>
      <c r="F853" s="14">
        <v>0.5</v>
      </c>
      <c r="G853" s="3">
        <f>'Monthly CFS'!C853 * 86400 * DAY(EOMONTH(D853,0)) / 43560</f>
        <v>655.77791367964301</v>
      </c>
      <c r="H853" s="3"/>
    </row>
    <row r="854" spans="1:8" x14ac:dyDescent="0.25">
      <c r="A854" s="2">
        <v>847</v>
      </c>
      <c r="B854" s="2">
        <f t="shared" si="34"/>
        <v>1992</v>
      </c>
      <c r="C854" s="2">
        <f t="shared" si="35"/>
        <v>4</v>
      </c>
      <c r="D854" s="4">
        <v>33724</v>
      </c>
      <c r="E854" s="3">
        <v>196.32088667964655</v>
      </c>
      <c r="F854" s="14">
        <v>0.5</v>
      </c>
      <c r="G854" s="3">
        <f>'Monthly CFS'!C854 * 86400 * DAY(EOMONTH(D854,0)) / 43560</f>
        <v>270.45530486861759</v>
      </c>
      <c r="H854" s="3"/>
    </row>
    <row r="855" spans="1:8" x14ac:dyDescent="0.25">
      <c r="A855" s="2">
        <v>848</v>
      </c>
      <c r="B855" s="2">
        <f t="shared" si="34"/>
        <v>1992</v>
      </c>
      <c r="C855" s="2">
        <f t="shared" si="35"/>
        <v>5</v>
      </c>
      <c r="D855" s="4">
        <v>33755</v>
      </c>
      <c r="E855" s="3">
        <v>239.89165958575305</v>
      </c>
      <c r="F855" s="14">
        <v>0.5</v>
      </c>
      <c r="G855" s="3">
        <f>'Monthly CFS'!C855 * 86400 * DAY(EOMONTH(D855,0)) / 43560</f>
        <v>399.01680259925428</v>
      </c>
      <c r="H855" s="3"/>
    </row>
    <row r="856" spans="1:8" x14ac:dyDescent="0.25">
      <c r="A856" s="2">
        <v>849</v>
      </c>
      <c r="B856" s="2">
        <f t="shared" si="34"/>
        <v>1992</v>
      </c>
      <c r="C856" s="2">
        <f t="shared" si="35"/>
        <v>6</v>
      </c>
      <c r="D856" s="4">
        <v>33785</v>
      </c>
      <c r="E856" s="3">
        <v>275.36306112931697</v>
      </c>
      <c r="F856" s="14">
        <v>0.5</v>
      </c>
      <c r="G856" s="3">
        <f>'Monthly CFS'!C856 * 86400 * DAY(EOMONTH(D856,0)) / 43560</f>
        <v>524.72137941947619</v>
      </c>
      <c r="H856" s="3"/>
    </row>
    <row r="857" spans="1:8" x14ac:dyDescent="0.25">
      <c r="A857" s="2">
        <v>850</v>
      </c>
      <c r="B857" s="2">
        <f t="shared" si="34"/>
        <v>1992</v>
      </c>
      <c r="C857" s="2">
        <f t="shared" si="35"/>
        <v>7</v>
      </c>
      <c r="D857" s="4">
        <v>33816</v>
      </c>
      <c r="E857" s="3">
        <v>287.21574840608628</v>
      </c>
      <c r="F857" s="14">
        <v>0.5</v>
      </c>
      <c r="G857" s="3">
        <f>'Monthly CFS'!C857 * 86400 * DAY(EOMONTH(D857,0)) / 43560</f>
        <v>673.28132352302066</v>
      </c>
      <c r="H857" s="3"/>
    </row>
    <row r="858" spans="1:8" x14ac:dyDescent="0.25">
      <c r="A858" s="2">
        <v>851</v>
      </c>
      <c r="B858" s="2">
        <f t="shared" si="34"/>
        <v>1992</v>
      </c>
      <c r="C858" s="2">
        <f t="shared" si="35"/>
        <v>8</v>
      </c>
      <c r="D858" s="4">
        <v>33847</v>
      </c>
      <c r="E858" s="3">
        <v>278.99732431952134</v>
      </c>
      <c r="F858" s="14">
        <v>0.5</v>
      </c>
      <c r="G858" s="3">
        <f>'Monthly CFS'!C858 * 86400 * DAY(EOMONTH(D858,0)) / 43560</f>
        <v>736.13362612361766</v>
      </c>
      <c r="H858" s="3"/>
    </row>
    <row r="859" spans="1:8" x14ac:dyDescent="0.25">
      <c r="A859" s="2">
        <v>852</v>
      </c>
      <c r="B859" s="2">
        <f t="shared" si="34"/>
        <v>1992</v>
      </c>
      <c r="C859" s="2">
        <f t="shared" si="35"/>
        <v>9</v>
      </c>
      <c r="D859" s="4">
        <v>33877</v>
      </c>
      <c r="E859" s="3">
        <v>252.18068131598454</v>
      </c>
      <c r="F859" s="14">
        <v>0.5</v>
      </c>
      <c r="G859" s="3">
        <f>'Monthly CFS'!C859 * 86400 * DAY(EOMONTH(D859,0)) / 43560</f>
        <v>620.90440941935219</v>
      </c>
      <c r="H859" s="3"/>
    </row>
    <row r="860" spans="1:8" x14ac:dyDescent="0.25">
      <c r="A860" s="2">
        <v>853</v>
      </c>
      <c r="B860" s="2">
        <f t="shared" si="34"/>
        <v>1992</v>
      </c>
      <c r="C860" s="2">
        <f t="shared" si="35"/>
        <v>10</v>
      </c>
      <c r="D860" s="4">
        <v>33908</v>
      </c>
      <c r="E860" s="3">
        <v>214.84262990667759</v>
      </c>
      <c r="F860" s="14">
        <v>0.5</v>
      </c>
      <c r="G860" s="3">
        <f>'Monthly CFS'!C860 * 86400 * DAY(EOMONTH(D860,0)) / 43560</f>
        <v>422.82447921779703</v>
      </c>
      <c r="H860" s="3"/>
    </row>
    <row r="861" spans="1:8" x14ac:dyDescent="0.25">
      <c r="A861" s="2">
        <v>854</v>
      </c>
      <c r="B861" s="2">
        <f t="shared" si="34"/>
        <v>1992</v>
      </c>
      <c r="C861" s="2">
        <f t="shared" si="35"/>
        <v>11</v>
      </c>
      <c r="D861" s="4">
        <v>33938</v>
      </c>
      <c r="E861" s="3">
        <v>177.10611356726511</v>
      </c>
      <c r="F861" s="14">
        <v>0.5</v>
      </c>
      <c r="G861" s="3">
        <f>'Monthly CFS'!C861 * 86400 * DAY(EOMONTH(D861,0)) / 43560</f>
        <v>268.55069329342155</v>
      </c>
      <c r="H861" s="3"/>
    </row>
    <row r="862" spans="1:8" x14ac:dyDescent="0.25">
      <c r="A862" s="2">
        <v>855</v>
      </c>
      <c r="B862" s="2">
        <f t="shared" si="34"/>
        <v>1992</v>
      </c>
      <c r="C862" s="2">
        <f t="shared" si="35"/>
        <v>12</v>
      </c>
      <c r="D862" s="4">
        <v>33969</v>
      </c>
      <c r="E862" s="3">
        <v>161.98826861286051</v>
      </c>
      <c r="F862" s="14">
        <v>0.5</v>
      </c>
      <c r="G862" s="3">
        <f>'Monthly CFS'!C862 * 86400 * DAY(EOMONTH(D862,0)) / 43560</f>
        <v>220.9353187706071</v>
      </c>
      <c r="H862" s="3"/>
    </row>
    <row r="863" spans="1:8" x14ac:dyDescent="0.25">
      <c r="A863" s="2">
        <v>856</v>
      </c>
      <c r="B863" s="2">
        <f t="shared" si="34"/>
        <v>1993</v>
      </c>
      <c r="C863" s="2">
        <f t="shared" si="35"/>
        <v>1</v>
      </c>
      <c r="D863" s="4">
        <v>34000</v>
      </c>
      <c r="E863" s="3">
        <v>157.69227420397434</v>
      </c>
      <c r="F863" s="14">
        <v>0.5</v>
      </c>
      <c r="G863" s="3">
        <f>'Monthly CFS'!C863 * 86400 * DAY(EOMONTH(D863,0)) / 43560</f>
        <v>135.63419343036284</v>
      </c>
      <c r="H863" s="3"/>
    </row>
    <row r="864" spans="1:8" x14ac:dyDescent="0.25">
      <c r="A864" s="2">
        <v>857</v>
      </c>
      <c r="B864" s="2">
        <f t="shared" si="34"/>
        <v>1993</v>
      </c>
      <c r="C864" s="2">
        <f t="shared" si="35"/>
        <v>2</v>
      </c>
      <c r="D864" s="4">
        <v>34028</v>
      </c>
      <c r="E864" s="3">
        <v>173.743928821011</v>
      </c>
      <c r="F864" s="14">
        <v>0.5</v>
      </c>
      <c r="G864" s="3">
        <f>'Monthly CFS'!C864 * 86400 * DAY(EOMONTH(D864,0)) / 43560</f>
        <v>832.68214807029835</v>
      </c>
      <c r="H864" s="3"/>
    </row>
    <row r="865" spans="1:8" x14ac:dyDescent="0.25">
      <c r="A865" s="2">
        <v>858</v>
      </c>
      <c r="B865" s="2">
        <f t="shared" si="34"/>
        <v>1993</v>
      </c>
      <c r="C865" s="2">
        <f t="shared" si="35"/>
        <v>3</v>
      </c>
      <c r="D865" s="4">
        <v>34059</v>
      </c>
      <c r="E865" s="3">
        <v>96.914806888128041</v>
      </c>
      <c r="F865" s="14">
        <v>0.93627784316386864</v>
      </c>
      <c r="G865" s="3">
        <f>'Monthly CFS'!C865 * 86400 * DAY(EOMONTH(D865,0)) / 43560</f>
        <v>1314.2371232294158</v>
      </c>
      <c r="H865" s="3"/>
    </row>
    <row r="866" spans="1:8" x14ac:dyDescent="0.25">
      <c r="A866" s="2">
        <v>859</v>
      </c>
      <c r="B866" s="2">
        <f t="shared" si="34"/>
        <v>1993</v>
      </c>
      <c r="C866" s="2">
        <f t="shared" si="35"/>
        <v>4</v>
      </c>
      <c r="D866" s="4">
        <v>34089</v>
      </c>
      <c r="E866" s="3">
        <v>140.91721845376131</v>
      </c>
      <c r="F866" s="14">
        <v>1</v>
      </c>
      <c r="G866" s="3">
        <f>'Monthly CFS'!C866 * 86400 * DAY(EOMONTH(D866,0)) / 43560</f>
        <v>1561.6876860582597</v>
      </c>
      <c r="H866" s="3"/>
    </row>
    <row r="867" spans="1:8" x14ac:dyDescent="0.25">
      <c r="A867" s="2">
        <v>860</v>
      </c>
      <c r="B867" s="2">
        <f t="shared" si="34"/>
        <v>1993</v>
      </c>
      <c r="C867" s="2">
        <f t="shared" si="35"/>
        <v>5</v>
      </c>
      <c r="D867" s="4">
        <v>34120</v>
      </c>
      <c r="E867" s="3">
        <v>172.19561393611602</v>
      </c>
      <c r="F867" s="14">
        <v>1</v>
      </c>
      <c r="G867" s="3">
        <f>'Monthly CFS'!C867 * 86400 * DAY(EOMONTH(D867,0)) / 43560</f>
        <v>2304.039210664791</v>
      </c>
      <c r="H867" s="3"/>
    </row>
    <row r="868" spans="1:8" x14ac:dyDescent="0.25">
      <c r="A868" s="2">
        <v>861</v>
      </c>
      <c r="B868" s="2">
        <f t="shared" si="34"/>
        <v>1993</v>
      </c>
      <c r="C868" s="2">
        <f t="shared" si="35"/>
        <v>6</v>
      </c>
      <c r="D868" s="4">
        <v>34150</v>
      </c>
      <c r="E868" s="3">
        <v>249.30857479426101</v>
      </c>
      <c r="F868" s="14">
        <v>1</v>
      </c>
      <c r="G868" s="3">
        <f>'Monthly CFS'!C868 * 86400 * DAY(EOMONTH(D868,0)) / 43560</f>
        <v>3029.8940420080662</v>
      </c>
      <c r="H868" s="3"/>
    </row>
    <row r="869" spans="1:8" x14ac:dyDescent="0.25">
      <c r="A869" s="2">
        <v>862</v>
      </c>
      <c r="B869" s="2">
        <f t="shared" si="34"/>
        <v>1993</v>
      </c>
      <c r="C869" s="2">
        <f t="shared" si="35"/>
        <v>7</v>
      </c>
      <c r="D869" s="4">
        <v>34181</v>
      </c>
      <c r="E869" s="3">
        <v>274.69602802891444</v>
      </c>
      <c r="F869" s="14">
        <v>1</v>
      </c>
      <c r="G869" s="3">
        <f>'Monthly CFS'!C869 * 86400 * DAY(EOMONTH(D869,0)) / 43560</f>
        <v>3887.7224194573919</v>
      </c>
      <c r="H869" s="3"/>
    </row>
    <row r="870" spans="1:8" x14ac:dyDescent="0.25">
      <c r="A870" s="2">
        <v>863</v>
      </c>
      <c r="B870" s="2">
        <f t="shared" si="34"/>
        <v>1993</v>
      </c>
      <c r="C870" s="2">
        <f t="shared" si="35"/>
        <v>8</v>
      </c>
      <c r="D870" s="4">
        <v>34212</v>
      </c>
      <c r="E870" s="3">
        <v>284.25012948115898</v>
      </c>
      <c r="F870" s="14">
        <v>1</v>
      </c>
      <c r="G870" s="3">
        <f>'Monthly CFS'!C870 * 86400 * DAY(EOMONTH(D870,0)) / 43560</f>
        <v>4250.6499170690295</v>
      </c>
      <c r="H870" s="3"/>
    </row>
    <row r="871" spans="1:8" x14ac:dyDescent="0.25">
      <c r="A871" s="2">
        <v>864</v>
      </c>
      <c r="B871" s="2">
        <f t="shared" si="34"/>
        <v>1993</v>
      </c>
      <c r="C871" s="2">
        <f t="shared" si="35"/>
        <v>9</v>
      </c>
      <c r="D871" s="4">
        <v>34242</v>
      </c>
      <c r="E871" s="3">
        <v>251.09751946104601</v>
      </c>
      <c r="F871" s="14">
        <v>1</v>
      </c>
      <c r="G871" s="3">
        <f>'Monthly CFS'!C871 * 86400 * DAY(EOMONTH(D871,0)) / 43560</f>
        <v>3585.2828654276937</v>
      </c>
      <c r="H871" s="3"/>
    </row>
    <row r="872" spans="1:8" x14ac:dyDescent="0.25">
      <c r="A872" s="2">
        <v>865</v>
      </c>
      <c r="B872" s="2">
        <f t="shared" si="34"/>
        <v>1993</v>
      </c>
      <c r="C872" s="2">
        <f t="shared" si="35"/>
        <v>10</v>
      </c>
      <c r="D872" s="4">
        <v>34273</v>
      </c>
      <c r="E872" s="3">
        <v>215.12985528304071</v>
      </c>
      <c r="F872" s="14">
        <v>1</v>
      </c>
      <c r="G872" s="3">
        <f>'Monthly CFS'!C872 * 86400 * DAY(EOMONTH(D872,0)) / 43560</f>
        <v>2441.5116681819259</v>
      </c>
      <c r="H872" s="3"/>
    </row>
    <row r="873" spans="1:8" x14ac:dyDescent="0.25">
      <c r="A873" s="2">
        <v>866</v>
      </c>
      <c r="B873" s="2">
        <f t="shared" si="34"/>
        <v>1993</v>
      </c>
      <c r="C873" s="2">
        <f t="shared" si="35"/>
        <v>11</v>
      </c>
      <c r="D873" s="4">
        <v>34303</v>
      </c>
      <c r="E873" s="3">
        <v>152.24052617673215</v>
      </c>
      <c r="F873" s="14">
        <v>1</v>
      </c>
      <c r="G873" s="3">
        <f>'Monthly CFS'!C873 * 86400 * DAY(EOMONTH(D873,0)) / 43560</f>
        <v>1550.6899042060884</v>
      </c>
      <c r="H873" s="3"/>
    </row>
    <row r="874" spans="1:8" x14ac:dyDescent="0.25">
      <c r="A874" s="2">
        <v>867</v>
      </c>
      <c r="B874" s="2">
        <f t="shared" si="34"/>
        <v>1993</v>
      </c>
      <c r="C874" s="2">
        <f t="shared" si="35"/>
        <v>12</v>
      </c>
      <c r="D874" s="4">
        <v>34334</v>
      </c>
      <c r="E874" s="3">
        <v>138.92959785864781</v>
      </c>
      <c r="F874" s="14">
        <v>1</v>
      </c>
      <c r="G874" s="3">
        <f>'Monthly CFS'!C874 * 86400 * DAY(EOMONTH(D874,0)) / 43560</f>
        <v>1275.7448662618172</v>
      </c>
      <c r="H874" s="3"/>
    </row>
    <row r="875" spans="1:8" x14ac:dyDescent="0.25">
      <c r="A875" s="2">
        <v>868</v>
      </c>
      <c r="B875" s="2">
        <f t="shared" si="34"/>
        <v>1994</v>
      </c>
      <c r="C875" s="2">
        <f t="shared" si="35"/>
        <v>1</v>
      </c>
      <c r="D875" s="4">
        <v>34365</v>
      </c>
      <c r="E875" s="3">
        <v>110.24576070621373</v>
      </c>
      <c r="F875" s="14">
        <v>1</v>
      </c>
      <c r="G875" s="3">
        <f>'Monthly CFS'!C875 * 86400 * DAY(EOMONTH(D875,0)) / 43560</f>
        <v>139.3672689487737</v>
      </c>
      <c r="H875" s="3"/>
    </row>
    <row r="876" spans="1:8" x14ac:dyDescent="0.25">
      <c r="A876" s="2">
        <v>869</v>
      </c>
      <c r="B876" s="2">
        <f t="shared" si="34"/>
        <v>1994</v>
      </c>
      <c r="C876" s="2">
        <f t="shared" si="35"/>
        <v>2</v>
      </c>
      <c r="D876" s="4">
        <v>34393</v>
      </c>
      <c r="E876" s="3">
        <v>102.91438209013761</v>
      </c>
      <c r="F876" s="14">
        <v>0.98299512810510514</v>
      </c>
      <c r="G876" s="3">
        <f>'Monthly CFS'!C876 * 86400 * DAY(EOMONTH(D876,0)) / 43560</f>
        <v>119.16117142312102</v>
      </c>
      <c r="H876" s="3"/>
    </row>
    <row r="877" spans="1:8" x14ac:dyDescent="0.25">
      <c r="A877" s="2">
        <v>870</v>
      </c>
      <c r="B877" s="2">
        <f t="shared" si="34"/>
        <v>1994</v>
      </c>
      <c r="C877" s="2">
        <f t="shared" si="35"/>
        <v>3</v>
      </c>
      <c r="D877" s="4">
        <v>34424</v>
      </c>
      <c r="E877" s="3">
        <v>123.59371307269377</v>
      </c>
      <c r="F877" s="14">
        <v>0.57349799830941228</v>
      </c>
      <c r="G877" s="3">
        <f>'Monthly CFS'!C877 * 86400 * DAY(EOMONTH(D877,0)) / 43560</f>
        <v>277.84136270219949</v>
      </c>
      <c r="H877" s="3"/>
    </row>
    <row r="878" spans="1:8" x14ac:dyDescent="0.25">
      <c r="A878" s="2">
        <v>871</v>
      </c>
      <c r="B878" s="2">
        <f t="shared" si="34"/>
        <v>1994</v>
      </c>
      <c r="C878" s="2">
        <f t="shared" si="35"/>
        <v>4</v>
      </c>
      <c r="D878" s="4">
        <v>34454</v>
      </c>
      <c r="E878" s="3">
        <v>181.23525201198254</v>
      </c>
      <c r="F878" s="14">
        <v>0.59586987950404413</v>
      </c>
      <c r="G878" s="3">
        <f>'Monthly CFS'!C878 * 86400 * DAY(EOMONTH(D878,0)) / 43560</f>
        <v>553.52237561768004</v>
      </c>
      <c r="H878" s="3"/>
    </row>
    <row r="879" spans="1:8" x14ac:dyDescent="0.25">
      <c r="A879" s="2">
        <v>872</v>
      </c>
      <c r="B879" s="2">
        <f t="shared" si="34"/>
        <v>1994</v>
      </c>
      <c r="C879" s="2">
        <f t="shared" si="35"/>
        <v>5</v>
      </c>
      <c r="D879" s="4">
        <v>34485</v>
      </c>
      <c r="E879" s="3">
        <v>239.89165958575305</v>
      </c>
      <c r="F879" s="14">
        <v>0.63333435271853211</v>
      </c>
      <c r="G879" s="3">
        <f>'Monthly CFS'!C879 * 86400 * DAY(EOMONTH(D879,0)) / 43560</f>
        <v>816.64040050315282</v>
      </c>
      <c r="H879" s="3"/>
    </row>
    <row r="880" spans="1:8" x14ac:dyDescent="0.25">
      <c r="A880" s="2">
        <v>873</v>
      </c>
      <c r="B880" s="2">
        <f t="shared" si="34"/>
        <v>1994</v>
      </c>
      <c r="C880" s="2">
        <f t="shared" si="35"/>
        <v>6</v>
      </c>
      <c r="D880" s="4">
        <v>34515</v>
      </c>
      <c r="E880" s="3">
        <v>275.36306112931697</v>
      </c>
      <c r="F880" s="14">
        <v>0.63333435271853222</v>
      </c>
      <c r="G880" s="3">
        <f>'Monthly CFS'!C880 * 86400 * DAY(EOMONTH(D880,0)) / 43560</f>
        <v>1073.9113607505215</v>
      </c>
      <c r="H880" s="3"/>
    </row>
    <row r="881" spans="1:8" x14ac:dyDescent="0.25">
      <c r="A881" s="2">
        <v>874</v>
      </c>
      <c r="B881" s="2">
        <f t="shared" si="34"/>
        <v>1994</v>
      </c>
      <c r="C881" s="2">
        <f t="shared" si="35"/>
        <v>7</v>
      </c>
      <c r="D881" s="4">
        <v>34546</v>
      </c>
      <c r="E881" s="3">
        <v>287.21574840608622</v>
      </c>
      <c r="F881" s="14">
        <v>0.63333435271853233</v>
      </c>
      <c r="G881" s="3">
        <f>'Monthly CFS'!C881 * 86400 * DAY(EOMONTH(D881,0)) / 43560</f>
        <v>1377.9588381027231</v>
      </c>
      <c r="H881" s="3"/>
    </row>
    <row r="882" spans="1:8" x14ac:dyDescent="0.25">
      <c r="A882" s="2">
        <v>875</v>
      </c>
      <c r="B882" s="2">
        <f t="shared" si="34"/>
        <v>1994</v>
      </c>
      <c r="C882" s="2">
        <f t="shared" si="35"/>
        <v>8</v>
      </c>
      <c r="D882" s="4">
        <v>34577</v>
      </c>
      <c r="E882" s="3">
        <v>278.99732431952128</v>
      </c>
      <c r="F882" s="14">
        <v>0.63333435271853222</v>
      </c>
      <c r="G882" s="3">
        <f>'Monthly CFS'!C882 * 86400 * DAY(EOMONTH(D882,0)) / 43560</f>
        <v>1506.5943472691049</v>
      </c>
      <c r="H882" s="3"/>
    </row>
    <row r="883" spans="1:8" x14ac:dyDescent="0.25">
      <c r="A883" s="2">
        <v>876</v>
      </c>
      <c r="B883" s="2">
        <f t="shared" si="34"/>
        <v>1994</v>
      </c>
      <c r="C883" s="2">
        <f t="shared" si="35"/>
        <v>9</v>
      </c>
      <c r="D883" s="4">
        <v>34607</v>
      </c>
      <c r="E883" s="3">
        <v>254.31992423903677</v>
      </c>
      <c r="F883" s="14">
        <v>0.63333435271853222</v>
      </c>
      <c r="G883" s="3">
        <f>'Monthly CFS'!C883 * 86400 * DAY(EOMONTH(D883,0)) / 43560</f>
        <v>1270.7625901449705</v>
      </c>
      <c r="H883" s="3"/>
    </row>
    <row r="884" spans="1:8" x14ac:dyDescent="0.25">
      <c r="A884" s="2">
        <v>877</v>
      </c>
      <c r="B884" s="2">
        <f t="shared" si="34"/>
        <v>1994</v>
      </c>
      <c r="C884" s="2">
        <f t="shared" si="35"/>
        <v>10</v>
      </c>
      <c r="D884" s="4">
        <v>34638</v>
      </c>
      <c r="E884" s="3">
        <v>214.84262990667759</v>
      </c>
      <c r="F884" s="14">
        <v>0.63333435271853222</v>
      </c>
      <c r="G884" s="3">
        <f>'Monthly CFS'!C884 * 86400 * DAY(EOMONTH(D884,0)) / 43560</f>
        <v>865.36594399446903</v>
      </c>
      <c r="H884" s="3"/>
    </row>
    <row r="885" spans="1:8" x14ac:dyDescent="0.25">
      <c r="A885" s="2">
        <v>878</v>
      </c>
      <c r="B885" s="2">
        <f t="shared" si="34"/>
        <v>1994</v>
      </c>
      <c r="C885" s="2">
        <f t="shared" si="35"/>
        <v>11</v>
      </c>
      <c r="D885" s="4">
        <v>34668</v>
      </c>
      <c r="E885" s="3">
        <v>177.10611356726506</v>
      </c>
      <c r="F885" s="14">
        <v>0.63333435271853211</v>
      </c>
      <c r="G885" s="3">
        <f>'Monthly CFS'!C885 * 86400 * DAY(EOMONTH(D885,0)) / 43560</f>
        <v>549.62433736605999</v>
      </c>
      <c r="H885" s="3"/>
    </row>
    <row r="886" spans="1:8" x14ac:dyDescent="0.25">
      <c r="A886" s="2">
        <v>879</v>
      </c>
      <c r="B886" s="2">
        <f t="shared" si="34"/>
        <v>1994</v>
      </c>
      <c r="C886" s="2">
        <f t="shared" si="35"/>
        <v>12</v>
      </c>
      <c r="D886" s="4">
        <v>34699</v>
      </c>
      <c r="E886" s="3">
        <v>161.98826861286054</v>
      </c>
      <c r="F886" s="14">
        <v>0.63333435271853222</v>
      </c>
      <c r="G886" s="3">
        <f>'Monthly CFS'!C886 * 86400 * DAY(EOMONTH(D886,0)) / 43560</f>
        <v>452.17320681938003</v>
      </c>
      <c r="H886" s="3"/>
    </row>
    <row r="887" spans="1:8" x14ac:dyDescent="0.25">
      <c r="A887" s="2">
        <v>880</v>
      </c>
      <c r="B887" s="2">
        <f t="shared" si="34"/>
        <v>1995</v>
      </c>
      <c r="C887" s="2">
        <f t="shared" si="35"/>
        <v>1</v>
      </c>
      <c r="D887" s="4">
        <v>34730</v>
      </c>
      <c r="E887" s="3">
        <v>157.69227420397434</v>
      </c>
      <c r="F887" s="14">
        <v>0.63333435271853222</v>
      </c>
      <c r="G887" s="3">
        <f>'Monthly CFS'!C887 * 86400 * DAY(EOMONTH(D887,0)) / 43560</f>
        <v>133.67826149478657</v>
      </c>
      <c r="H887" s="3"/>
    </row>
    <row r="888" spans="1:8" x14ac:dyDescent="0.25">
      <c r="A888" s="2">
        <v>881</v>
      </c>
      <c r="B888" s="2">
        <f t="shared" si="34"/>
        <v>1995</v>
      </c>
      <c r="C888" s="2">
        <f t="shared" si="35"/>
        <v>2</v>
      </c>
      <c r="D888" s="4">
        <v>34758</v>
      </c>
      <c r="E888" s="3">
        <v>173.743928821011</v>
      </c>
      <c r="F888" s="14">
        <v>0.63333435271853222</v>
      </c>
      <c r="G888" s="3">
        <f>'Monthly CFS'!C888 * 86400 * DAY(EOMONTH(D888,0)) / 43560</f>
        <v>1083.2833765738274</v>
      </c>
      <c r="H888" s="3"/>
    </row>
    <row r="889" spans="1:8" x14ac:dyDescent="0.25">
      <c r="A889" s="2">
        <v>882</v>
      </c>
      <c r="B889" s="2">
        <f t="shared" si="34"/>
        <v>1995</v>
      </c>
      <c r="C889" s="2">
        <f t="shared" si="35"/>
        <v>3</v>
      </c>
      <c r="D889" s="4">
        <v>34789</v>
      </c>
      <c r="E889" s="3">
        <v>96.914806888128041</v>
      </c>
      <c r="F889" s="14">
        <v>0.92000405086690762</v>
      </c>
      <c r="G889" s="3">
        <f>'Monthly CFS'!C889 * 86400 * DAY(EOMONTH(D889,0)) / 43560</f>
        <v>1256.09879210449</v>
      </c>
      <c r="H889" s="3"/>
    </row>
    <row r="890" spans="1:8" x14ac:dyDescent="0.25">
      <c r="A890" s="2">
        <v>883</v>
      </c>
      <c r="B890" s="2">
        <f t="shared" si="34"/>
        <v>1995</v>
      </c>
      <c r="C890" s="2">
        <f t="shared" si="35"/>
        <v>4</v>
      </c>
      <c r="D890" s="4">
        <v>34819</v>
      </c>
      <c r="E890" s="3">
        <v>127.84175342511902</v>
      </c>
      <c r="F890" s="14">
        <v>1</v>
      </c>
      <c r="G890" s="3">
        <f>'Monthly CFS'!C890 * 86400 * DAY(EOMONTH(D890,0)) / 43560</f>
        <v>1561.6876860582588</v>
      </c>
      <c r="H890" s="3"/>
    </row>
    <row r="891" spans="1:8" x14ac:dyDescent="0.25">
      <c r="A891" s="2">
        <v>884</v>
      </c>
      <c r="B891" s="2">
        <f t="shared" si="34"/>
        <v>1995</v>
      </c>
      <c r="C891" s="2">
        <f t="shared" si="35"/>
        <v>5</v>
      </c>
      <c r="D891" s="4">
        <v>34850</v>
      </c>
      <c r="E891" s="3">
        <v>173.69722718890347</v>
      </c>
      <c r="F891" s="14">
        <v>1</v>
      </c>
      <c r="G891" s="3">
        <f>'Monthly CFS'!C891 * 86400 * DAY(EOMONTH(D891,0)) / 43560</f>
        <v>2304.0392106647901</v>
      </c>
      <c r="H891" s="3"/>
    </row>
    <row r="892" spans="1:8" x14ac:dyDescent="0.25">
      <c r="A892" s="2">
        <v>885</v>
      </c>
      <c r="B892" s="2">
        <f t="shared" si="34"/>
        <v>1995</v>
      </c>
      <c r="C892" s="2">
        <f t="shared" si="35"/>
        <v>6</v>
      </c>
      <c r="D892" s="4">
        <v>34880</v>
      </c>
      <c r="E892" s="3">
        <v>230.63820084858216</v>
      </c>
      <c r="F892" s="14">
        <v>1</v>
      </c>
      <c r="G892" s="3">
        <f>'Monthly CFS'!C892 * 86400 * DAY(EOMONTH(D892,0)) / 43560</f>
        <v>3029.8940420080658</v>
      </c>
      <c r="H892" s="3"/>
    </row>
    <row r="893" spans="1:8" x14ac:dyDescent="0.25">
      <c r="A893" s="2">
        <v>886</v>
      </c>
      <c r="B893" s="2">
        <f t="shared" si="34"/>
        <v>1995</v>
      </c>
      <c r="C893" s="2">
        <f t="shared" si="35"/>
        <v>7</v>
      </c>
      <c r="D893" s="4">
        <v>34911</v>
      </c>
      <c r="E893" s="3">
        <v>271.71188667119026</v>
      </c>
      <c r="F893" s="14">
        <v>0.99999999999999989</v>
      </c>
      <c r="G893" s="3">
        <f>'Monthly CFS'!C893 * 86400 * DAY(EOMONTH(D893,0)) / 43560</f>
        <v>3887.7224194573914</v>
      </c>
      <c r="H893" s="3"/>
    </row>
    <row r="894" spans="1:8" x14ac:dyDescent="0.25">
      <c r="A894" s="2">
        <v>887</v>
      </c>
      <c r="B894" s="2">
        <f t="shared" si="34"/>
        <v>1995</v>
      </c>
      <c r="C894" s="2">
        <f t="shared" si="35"/>
        <v>8</v>
      </c>
      <c r="D894" s="4">
        <v>34942</v>
      </c>
      <c r="E894" s="3">
        <v>282.21761897027193</v>
      </c>
      <c r="F894" s="14">
        <v>1</v>
      </c>
      <c r="G894" s="3">
        <f>'Monthly CFS'!C894 * 86400 * DAY(EOMONTH(D894,0)) / 43560</f>
        <v>4250.6499170690286</v>
      </c>
      <c r="H894" s="3"/>
    </row>
    <row r="895" spans="1:8" x14ac:dyDescent="0.25">
      <c r="A895" s="2">
        <v>888</v>
      </c>
      <c r="B895" s="2">
        <f t="shared" si="34"/>
        <v>1995</v>
      </c>
      <c r="C895" s="2">
        <f t="shared" si="35"/>
        <v>9</v>
      </c>
      <c r="D895" s="4">
        <v>34972</v>
      </c>
      <c r="E895" s="3">
        <v>245.18670139121073</v>
      </c>
      <c r="F895" s="14">
        <v>1</v>
      </c>
      <c r="G895" s="3">
        <f>'Monthly CFS'!C895 * 86400 * DAY(EOMONTH(D895,0)) / 43560</f>
        <v>3585.282865427695</v>
      </c>
      <c r="H895" s="3"/>
    </row>
    <row r="896" spans="1:8" x14ac:dyDescent="0.25">
      <c r="A896" s="2">
        <v>889</v>
      </c>
      <c r="B896" s="2">
        <f t="shared" si="34"/>
        <v>1995</v>
      </c>
      <c r="C896" s="2">
        <f t="shared" si="35"/>
        <v>10</v>
      </c>
      <c r="D896" s="4">
        <v>35003</v>
      </c>
      <c r="E896" s="3">
        <v>208.40764336055321</v>
      </c>
      <c r="F896" s="14">
        <v>1</v>
      </c>
      <c r="G896" s="3">
        <f>'Monthly CFS'!C896 * 86400 * DAY(EOMONTH(D896,0)) / 43560</f>
        <v>2441.5116681819263</v>
      </c>
      <c r="H896" s="3"/>
    </row>
    <row r="897" spans="1:8" x14ac:dyDescent="0.25">
      <c r="A897" s="2">
        <v>890</v>
      </c>
      <c r="B897" s="2">
        <f t="shared" si="34"/>
        <v>1995</v>
      </c>
      <c r="C897" s="2">
        <f t="shared" si="35"/>
        <v>11</v>
      </c>
      <c r="D897" s="4">
        <v>35033</v>
      </c>
      <c r="E897" s="3">
        <v>139.9081154259168</v>
      </c>
      <c r="F897" s="14">
        <v>1</v>
      </c>
      <c r="G897" s="3">
        <f>'Monthly CFS'!C897 * 86400 * DAY(EOMONTH(D897,0)) / 43560</f>
        <v>1550.6899042060888</v>
      </c>
      <c r="H897" s="3"/>
    </row>
    <row r="898" spans="1:8" x14ac:dyDescent="0.25">
      <c r="A898" s="2">
        <v>891</v>
      </c>
      <c r="B898" s="2">
        <f t="shared" si="34"/>
        <v>1995</v>
      </c>
      <c r="C898" s="2">
        <f t="shared" si="35"/>
        <v>12</v>
      </c>
      <c r="D898" s="4">
        <v>35064</v>
      </c>
      <c r="E898" s="3">
        <v>100.09781597436</v>
      </c>
      <c r="F898" s="14">
        <v>1</v>
      </c>
      <c r="G898" s="3">
        <f>'Monthly CFS'!C898 * 86400 * DAY(EOMONTH(D898,0)) / 43560</f>
        <v>1275.7448662618172</v>
      </c>
      <c r="H898" s="3"/>
    </row>
    <row r="899" spans="1:8" x14ac:dyDescent="0.25">
      <c r="A899" s="2">
        <v>892</v>
      </c>
      <c r="B899" s="2">
        <f t="shared" si="34"/>
        <v>1996</v>
      </c>
      <c r="C899" s="2">
        <f t="shared" si="35"/>
        <v>1</v>
      </c>
      <c r="D899" s="4">
        <v>35095</v>
      </c>
      <c r="E899" s="3">
        <v>94.480039683665979</v>
      </c>
      <c r="F899" s="14">
        <v>1</v>
      </c>
      <c r="G899" s="3">
        <f>'Monthly CFS'!C899 * 86400 * DAY(EOMONTH(D899,0)) / 43560</f>
        <v>928.80276747771529</v>
      </c>
      <c r="H899" s="3"/>
    </row>
    <row r="900" spans="1:8" x14ac:dyDescent="0.25">
      <c r="A900" s="2">
        <v>893</v>
      </c>
      <c r="B900" s="2">
        <f t="shared" si="34"/>
        <v>1996</v>
      </c>
      <c r="C900" s="2">
        <f t="shared" si="35"/>
        <v>2</v>
      </c>
      <c r="D900" s="4">
        <v>35124</v>
      </c>
      <c r="E900" s="3">
        <v>104.89011216210731</v>
      </c>
      <c r="F900" s="14">
        <v>1</v>
      </c>
      <c r="G900" s="3">
        <f>'Monthly CFS'!C900 * 86400 * DAY(EOMONTH(D900,0)) / 43560</f>
        <v>1083.2833765738276</v>
      </c>
      <c r="H900" s="3"/>
    </row>
    <row r="901" spans="1:8" x14ac:dyDescent="0.25">
      <c r="A901" s="2">
        <v>894</v>
      </c>
      <c r="B901" s="2">
        <f t="shared" si="34"/>
        <v>1996</v>
      </c>
      <c r="C901" s="2">
        <f t="shared" si="35"/>
        <v>3</v>
      </c>
      <c r="D901" s="4">
        <v>35155</v>
      </c>
      <c r="E901" s="3">
        <v>95.98874379667447</v>
      </c>
      <c r="F901" s="14">
        <v>1</v>
      </c>
      <c r="G901" s="3">
        <f>'Monthly CFS'!C901 * 86400 * DAY(EOMONTH(D901,0)) / 43560</f>
        <v>1314.2371232294158</v>
      </c>
      <c r="H901" s="3"/>
    </row>
    <row r="902" spans="1:8" x14ac:dyDescent="0.25">
      <c r="A902" s="2">
        <v>895</v>
      </c>
      <c r="B902" s="2">
        <f t="shared" si="34"/>
        <v>1996</v>
      </c>
      <c r="C902" s="2">
        <f t="shared" si="35"/>
        <v>4</v>
      </c>
      <c r="D902" s="4">
        <v>35185</v>
      </c>
      <c r="E902" s="3">
        <v>127.84175342511904</v>
      </c>
      <c r="F902" s="14">
        <v>1</v>
      </c>
      <c r="G902" s="3">
        <f>'Monthly CFS'!C902 * 86400 * DAY(EOMONTH(D902,0)) / 43560</f>
        <v>1561.6876860582595</v>
      </c>
      <c r="H902" s="3"/>
    </row>
    <row r="903" spans="1:8" x14ac:dyDescent="0.25">
      <c r="A903" s="2">
        <v>896</v>
      </c>
      <c r="B903" s="2">
        <f t="shared" si="34"/>
        <v>1996</v>
      </c>
      <c r="C903" s="2">
        <f t="shared" si="35"/>
        <v>5</v>
      </c>
      <c r="D903" s="4">
        <v>35216</v>
      </c>
      <c r="E903" s="3">
        <v>173.69722718890344</v>
      </c>
      <c r="F903" s="14">
        <v>1</v>
      </c>
      <c r="G903" s="3">
        <f>'Monthly CFS'!C903 * 86400 * DAY(EOMONTH(D903,0)) / 43560</f>
        <v>2304.0392106647914</v>
      </c>
      <c r="H903" s="3"/>
    </row>
    <row r="904" spans="1:8" x14ac:dyDescent="0.25">
      <c r="A904" s="2">
        <v>897</v>
      </c>
      <c r="B904" s="2">
        <f t="shared" si="34"/>
        <v>1996</v>
      </c>
      <c r="C904" s="2">
        <f t="shared" si="35"/>
        <v>6</v>
      </c>
      <c r="D904" s="4">
        <v>35246</v>
      </c>
      <c r="E904" s="3">
        <v>230.6382008485821</v>
      </c>
      <c r="F904" s="14">
        <v>1</v>
      </c>
      <c r="G904" s="3">
        <f>'Monthly CFS'!C904 * 86400 * DAY(EOMONTH(D904,0)) / 43560</f>
        <v>3029.8940420080662</v>
      </c>
      <c r="H904" s="3"/>
    </row>
    <row r="905" spans="1:8" x14ac:dyDescent="0.25">
      <c r="A905" s="2">
        <v>898</v>
      </c>
      <c r="B905" s="2">
        <f t="shared" ref="B905:B968" si="36">YEAR(D905)</f>
        <v>1996</v>
      </c>
      <c r="C905" s="2">
        <f t="shared" ref="C905:C968" si="37">MONTH(D905)</f>
        <v>7</v>
      </c>
      <c r="D905" s="4">
        <v>35277</v>
      </c>
      <c r="E905" s="3">
        <v>271.71188667119026</v>
      </c>
      <c r="F905" s="14">
        <v>1</v>
      </c>
      <c r="G905" s="3">
        <f>'Monthly CFS'!C905 * 86400 * DAY(EOMONTH(D905,0)) / 43560</f>
        <v>3887.7224194573919</v>
      </c>
      <c r="H905" s="3"/>
    </row>
    <row r="906" spans="1:8" x14ac:dyDescent="0.25">
      <c r="A906" s="2">
        <v>899</v>
      </c>
      <c r="B906" s="2">
        <f t="shared" si="36"/>
        <v>1996</v>
      </c>
      <c r="C906" s="2">
        <f t="shared" si="37"/>
        <v>8</v>
      </c>
      <c r="D906" s="4">
        <v>35308</v>
      </c>
      <c r="E906" s="3">
        <v>282.21761897027193</v>
      </c>
      <c r="F906" s="14">
        <v>1</v>
      </c>
      <c r="G906" s="3">
        <f>'Monthly CFS'!C906 * 86400 * DAY(EOMONTH(D906,0)) / 43560</f>
        <v>4250.6499170690313</v>
      </c>
      <c r="H906" s="3"/>
    </row>
    <row r="907" spans="1:8" x14ac:dyDescent="0.25">
      <c r="A907" s="2">
        <v>900</v>
      </c>
      <c r="B907" s="2">
        <f t="shared" si="36"/>
        <v>1996</v>
      </c>
      <c r="C907" s="2">
        <f t="shared" si="37"/>
        <v>9</v>
      </c>
      <c r="D907" s="4">
        <v>35338</v>
      </c>
      <c r="E907" s="3">
        <v>245.18670139121073</v>
      </c>
      <c r="F907" s="14">
        <v>1</v>
      </c>
      <c r="G907" s="3">
        <f>'Monthly CFS'!C907 * 86400 * DAY(EOMONTH(D907,0)) / 43560</f>
        <v>3585.2828654276959</v>
      </c>
      <c r="H907" s="3"/>
    </row>
    <row r="908" spans="1:8" x14ac:dyDescent="0.25">
      <c r="A908" s="2">
        <v>901</v>
      </c>
      <c r="B908" s="2">
        <f t="shared" si="36"/>
        <v>1996</v>
      </c>
      <c r="C908" s="2">
        <f t="shared" si="37"/>
        <v>10</v>
      </c>
      <c r="D908" s="4">
        <v>35369</v>
      </c>
      <c r="E908" s="3">
        <v>208.40764336055321</v>
      </c>
      <c r="F908" s="14">
        <v>1</v>
      </c>
      <c r="G908" s="3">
        <f>'Monthly CFS'!C908 * 86400 * DAY(EOMONTH(D908,0)) / 43560</f>
        <v>2441.5116681819263</v>
      </c>
      <c r="H908" s="3"/>
    </row>
    <row r="909" spans="1:8" x14ac:dyDescent="0.25">
      <c r="A909" s="2">
        <v>902</v>
      </c>
      <c r="B909" s="2">
        <f t="shared" si="36"/>
        <v>1996</v>
      </c>
      <c r="C909" s="2">
        <f t="shared" si="37"/>
        <v>11</v>
      </c>
      <c r="D909" s="4">
        <v>35399</v>
      </c>
      <c r="E909" s="3">
        <v>139.9081154259168</v>
      </c>
      <c r="F909" s="14">
        <v>1</v>
      </c>
      <c r="G909" s="3">
        <f>'Monthly CFS'!C909 * 86400 * DAY(EOMONTH(D909,0)) / 43560</f>
        <v>1550.6899042060888</v>
      </c>
      <c r="H909" s="3"/>
    </row>
    <row r="910" spans="1:8" x14ac:dyDescent="0.25">
      <c r="A910" s="2">
        <v>903</v>
      </c>
      <c r="B910" s="2">
        <f t="shared" si="36"/>
        <v>1996</v>
      </c>
      <c r="C910" s="2">
        <f t="shared" si="37"/>
        <v>12</v>
      </c>
      <c r="D910" s="4">
        <v>35430</v>
      </c>
      <c r="E910" s="3">
        <v>100.09781597435999</v>
      </c>
      <c r="F910" s="14">
        <v>1</v>
      </c>
      <c r="G910" s="3">
        <f>'Monthly CFS'!C910 * 86400 * DAY(EOMONTH(D910,0)) / 43560</f>
        <v>1275.7448662618176</v>
      </c>
      <c r="H910" s="3"/>
    </row>
    <row r="911" spans="1:8" x14ac:dyDescent="0.25">
      <c r="A911" s="2">
        <v>904</v>
      </c>
      <c r="B911" s="2">
        <f t="shared" si="36"/>
        <v>1997</v>
      </c>
      <c r="C911" s="2">
        <f t="shared" si="37"/>
        <v>1</v>
      </c>
      <c r="D911" s="4">
        <v>35461</v>
      </c>
      <c r="E911" s="3">
        <v>94.480039683665979</v>
      </c>
      <c r="F911" s="14">
        <v>1</v>
      </c>
      <c r="G911" s="3">
        <f>'Monthly CFS'!C911 * 86400 * DAY(EOMONTH(D911,0)) / 43560</f>
        <v>1215.256922679878</v>
      </c>
      <c r="H911" s="3"/>
    </row>
    <row r="912" spans="1:8" x14ac:dyDescent="0.25">
      <c r="A912" s="2">
        <v>905</v>
      </c>
      <c r="B912" s="2">
        <f t="shared" si="36"/>
        <v>1997</v>
      </c>
      <c r="C912" s="2">
        <f t="shared" si="37"/>
        <v>2</v>
      </c>
      <c r="D912" s="4">
        <v>35489</v>
      </c>
      <c r="E912" s="3">
        <v>108.63618759646829</v>
      </c>
      <c r="F912" s="14">
        <v>1</v>
      </c>
      <c r="G912" s="3">
        <f>'Monthly CFS'!C912 * 86400 * DAY(EOMONTH(D912,0)) / 43560</f>
        <v>1083.2833765738271</v>
      </c>
      <c r="H912" s="3"/>
    </row>
    <row r="913" spans="1:8" x14ac:dyDescent="0.25">
      <c r="A913" s="2">
        <v>906</v>
      </c>
      <c r="B913" s="2">
        <f t="shared" si="36"/>
        <v>1997</v>
      </c>
      <c r="C913" s="2">
        <f t="shared" si="37"/>
        <v>3</v>
      </c>
      <c r="D913" s="4">
        <v>35520</v>
      </c>
      <c r="E913" s="3">
        <v>95.988743796674257</v>
      </c>
      <c r="F913" s="14">
        <v>1</v>
      </c>
      <c r="G913" s="3">
        <f>'Monthly CFS'!C913 * 86400 * DAY(EOMONTH(D913,0)) / 43560</f>
        <v>1314.2371232294156</v>
      </c>
      <c r="H913" s="3"/>
    </row>
    <row r="914" spans="1:8" x14ac:dyDescent="0.25">
      <c r="A914" s="2">
        <v>907</v>
      </c>
      <c r="B914" s="2">
        <f t="shared" si="36"/>
        <v>1997</v>
      </c>
      <c r="C914" s="2">
        <f t="shared" si="37"/>
        <v>4</v>
      </c>
      <c r="D914" s="4">
        <v>35550</v>
      </c>
      <c r="E914" s="3">
        <v>127.84175342511905</v>
      </c>
      <c r="F914" s="14">
        <v>1</v>
      </c>
      <c r="G914" s="3">
        <f>'Monthly CFS'!C914 * 86400 * DAY(EOMONTH(D914,0)) / 43560</f>
        <v>1561.6876860582588</v>
      </c>
      <c r="H914" s="3"/>
    </row>
    <row r="915" spans="1:8" x14ac:dyDescent="0.25">
      <c r="A915" s="2">
        <v>908</v>
      </c>
      <c r="B915" s="2">
        <f t="shared" si="36"/>
        <v>1997</v>
      </c>
      <c r="C915" s="2">
        <f t="shared" si="37"/>
        <v>5</v>
      </c>
      <c r="D915" s="4">
        <v>35581</v>
      </c>
      <c r="E915" s="3">
        <v>173.69722718890347</v>
      </c>
      <c r="F915" s="14">
        <v>1</v>
      </c>
      <c r="G915" s="3">
        <f>'Monthly CFS'!C915 * 86400 * DAY(EOMONTH(D915,0)) / 43560</f>
        <v>2304.0392106647905</v>
      </c>
      <c r="H915" s="3"/>
    </row>
    <row r="916" spans="1:8" x14ac:dyDescent="0.25">
      <c r="A916" s="2">
        <v>909</v>
      </c>
      <c r="B916" s="2">
        <f t="shared" si="36"/>
        <v>1997</v>
      </c>
      <c r="C916" s="2">
        <f t="shared" si="37"/>
        <v>6</v>
      </c>
      <c r="D916" s="4">
        <v>35611</v>
      </c>
      <c r="E916" s="3">
        <v>230.6382008485821</v>
      </c>
      <c r="F916" s="14">
        <v>1</v>
      </c>
      <c r="G916" s="3">
        <f>'Monthly CFS'!C916 * 86400 * DAY(EOMONTH(D916,0)) / 43560</f>
        <v>3029.8940420080662</v>
      </c>
      <c r="H916" s="3"/>
    </row>
    <row r="917" spans="1:8" x14ac:dyDescent="0.25">
      <c r="A917" s="2">
        <v>910</v>
      </c>
      <c r="B917" s="2">
        <f t="shared" si="36"/>
        <v>1997</v>
      </c>
      <c r="C917" s="2">
        <f t="shared" si="37"/>
        <v>7</v>
      </c>
      <c r="D917" s="4">
        <v>35642</v>
      </c>
      <c r="E917" s="3">
        <v>271.7118866711902</v>
      </c>
      <c r="F917" s="14">
        <v>1</v>
      </c>
      <c r="G917" s="3">
        <f>'Monthly CFS'!C917 * 86400 * DAY(EOMONTH(D917,0)) / 43560</f>
        <v>3887.7224194573914</v>
      </c>
      <c r="H917" s="3"/>
    </row>
    <row r="918" spans="1:8" x14ac:dyDescent="0.25">
      <c r="A918" s="2">
        <v>911</v>
      </c>
      <c r="B918" s="2">
        <f t="shared" si="36"/>
        <v>1997</v>
      </c>
      <c r="C918" s="2">
        <f t="shared" si="37"/>
        <v>8</v>
      </c>
      <c r="D918" s="4">
        <v>35673</v>
      </c>
      <c r="E918" s="3">
        <v>282.21761897027193</v>
      </c>
      <c r="F918" s="14">
        <v>1</v>
      </c>
      <c r="G918" s="3">
        <f>'Monthly CFS'!C918 * 86400 * DAY(EOMONTH(D918,0)) / 43560</f>
        <v>4250.6499170690313</v>
      </c>
      <c r="H918" s="3"/>
    </row>
    <row r="919" spans="1:8" x14ac:dyDescent="0.25">
      <c r="A919" s="2">
        <v>912</v>
      </c>
      <c r="B919" s="2">
        <f t="shared" si="36"/>
        <v>1997</v>
      </c>
      <c r="C919" s="2">
        <f t="shared" si="37"/>
        <v>9</v>
      </c>
      <c r="D919" s="4">
        <v>35703</v>
      </c>
      <c r="E919" s="3">
        <v>245.18670139121073</v>
      </c>
      <c r="F919" s="14">
        <v>1</v>
      </c>
      <c r="G919" s="3">
        <f>'Monthly CFS'!C919 * 86400 * DAY(EOMONTH(D919,0)) / 43560</f>
        <v>3585.282865427695</v>
      </c>
      <c r="H919" s="3"/>
    </row>
    <row r="920" spans="1:8" x14ac:dyDescent="0.25">
      <c r="A920" s="2">
        <v>913</v>
      </c>
      <c r="B920" s="2">
        <f t="shared" si="36"/>
        <v>1997</v>
      </c>
      <c r="C920" s="2">
        <f t="shared" si="37"/>
        <v>10</v>
      </c>
      <c r="D920" s="4">
        <v>35734</v>
      </c>
      <c r="E920" s="3">
        <v>208.40764336055321</v>
      </c>
      <c r="F920" s="14">
        <v>1</v>
      </c>
      <c r="G920" s="3">
        <f>'Monthly CFS'!C920 * 86400 * DAY(EOMONTH(D920,0)) / 43560</f>
        <v>2441.5116681819263</v>
      </c>
      <c r="H920" s="3"/>
    </row>
    <row r="921" spans="1:8" x14ac:dyDescent="0.25">
      <c r="A921" s="2">
        <v>914</v>
      </c>
      <c r="B921" s="2">
        <f t="shared" si="36"/>
        <v>1997</v>
      </c>
      <c r="C921" s="2">
        <f t="shared" si="37"/>
        <v>11</v>
      </c>
      <c r="D921" s="4">
        <v>35764</v>
      </c>
      <c r="E921" s="3">
        <v>139.9081154259168</v>
      </c>
      <c r="F921" s="14">
        <v>1</v>
      </c>
      <c r="G921" s="3">
        <f>'Monthly CFS'!C921 * 86400 * DAY(EOMONTH(D921,0)) / 43560</f>
        <v>1550.6899042060884</v>
      </c>
      <c r="H921" s="3"/>
    </row>
    <row r="922" spans="1:8" x14ac:dyDescent="0.25">
      <c r="A922" s="2">
        <v>915</v>
      </c>
      <c r="B922" s="2">
        <f t="shared" si="36"/>
        <v>1997</v>
      </c>
      <c r="C922" s="2">
        <f t="shared" si="37"/>
        <v>12</v>
      </c>
      <c r="D922" s="4">
        <v>35795</v>
      </c>
      <c r="E922" s="3">
        <v>100.09781597435999</v>
      </c>
      <c r="F922" s="14">
        <v>1</v>
      </c>
      <c r="G922" s="3">
        <f>'Monthly CFS'!C922 * 86400 * DAY(EOMONTH(D922,0)) / 43560</f>
        <v>1275.7448662618174</v>
      </c>
      <c r="H922" s="3"/>
    </row>
    <row r="923" spans="1:8" x14ac:dyDescent="0.25">
      <c r="A923" s="2">
        <v>916</v>
      </c>
      <c r="B923" s="2">
        <f t="shared" si="36"/>
        <v>1998</v>
      </c>
      <c r="C923" s="2">
        <f t="shared" si="37"/>
        <v>1</v>
      </c>
      <c r="D923" s="4">
        <v>35826</v>
      </c>
      <c r="E923" s="3">
        <v>94.480039683665979</v>
      </c>
      <c r="F923" s="14">
        <v>1</v>
      </c>
      <c r="G923" s="3">
        <f>'Monthly CFS'!C923 * 86400 * DAY(EOMONTH(D923,0)) / 43560</f>
        <v>241.08112153046443</v>
      </c>
      <c r="H923" s="3"/>
    </row>
    <row r="924" spans="1:8" x14ac:dyDescent="0.25">
      <c r="A924" s="2">
        <v>917</v>
      </c>
      <c r="B924" s="2">
        <f t="shared" si="36"/>
        <v>1998</v>
      </c>
      <c r="C924" s="2">
        <f t="shared" si="37"/>
        <v>2</v>
      </c>
      <c r="D924" s="4">
        <v>35854</v>
      </c>
      <c r="E924" s="3">
        <v>108.63618759646828</v>
      </c>
      <c r="F924" s="14">
        <v>1</v>
      </c>
      <c r="G924" s="3">
        <f>'Monthly CFS'!C924 * 86400 * DAY(EOMONTH(D924,0)) / 43560</f>
        <v>1083.2833765738274</v>
      </c>
      <c r="H924" s="3"/>
    </row>
    <row r="925" spans="1:8" x14ac:dyDescent="0.25">
      <c r="A925" s="2">
        <v>918</v>
      </c>
      <c r="B925" s="2">
        <f t="shared" si="36"/>
        <v>1998</v>
      </c>
      <c r="C925" s="2">
        <f t="shared" si="37"/>
        <v>3</v>
      </c>
      <c r="D925" s="4">
        <v>35885</v>
      </c>
      <c r="E925" s="3">
        <v>95.988743796676246</v>
      </c>
      <c r="F925" s="14">
        <v>1</v>
      </c>
      <c r="G925" s="3">
        <f>'Monthly CFS'!C925 * 86400 * DAY(EOMONTH(D925,0)) / 43560</f>
        <v>1314.2371232294154</v>
      </c>
      <c r="H925" s="3"/>
    </row>
    <row r="926" spans="1:8" x14ac:dyDescent="0.25">
      <c r="A926" s="2">
        <v>919</v>
      </c>
      <c r="B926" s="2">
        <f t="shared" si="36"/>
        <v>1998</v>
      </c>
      <c r="C926" s="2">
        <f t="shared" si="37"/>
        <v>4</v>
      </c>
      <c r="D926" s="4">
        <v>35915</v>
      </c>
      <c r="E926" s="3">
        <v>127.84175342511905</v>
      </c>
      <c r="F926" s="14">
        <v>1</v>
      </c>
      <c r="G926" s="3">
        <f>'Monthly CFS'!C926 * 86400 * DAY(EOMONTH(D926,0)) / 43560</f>
        <v>1561.6876860582595</v>
      </c>
      <c r="H926" s="3"/>
    </row>
    <row r="927" spans="1:8" x14ac:dyDescent="0.25">
      <c r="A927" s="2">
        <v>920</v>
      </c>
      <c r="B927" s="2">
        <f t="shared" si="36"/>
        <v>1998</v>
      </c>
      <c r="C927" s="2">
        <f t="shared" si="37"/>
        <v>5</v>
      </c>
      <c r="D927" s="4">
        <v>35946</v>
      </c>
      <c r="E927" s="3">
        <v>173.69722718890347</v>
      </c>
      <c r="F927" s="14">
        <v>1</v>
      </c>
      <c r="G927" s="3">
        <f>'Monthly CFS'!C927 * 86400 * DAY(EOMONTH(D927,0)) / 43560</f>
        <v>2304.0392106647905</v>
      </c>
      <c r="H927" s="3"/>
    </row>
    <row r="928" spans="1:8" x14ac:dyDescent="0.25">
      <c r="A928" s="2">
        <v>921</v>
      </c>
      <c r="B928" s="2">
        <f t="shared" si="36"/>
        <v>1998</v>
      </c>
      <c r="C928" s="2">
        <f t="shared" si="37"/>
        <v>6</v>
      </c>
      <c r="D928" s="4">
        <v>35976</v>
      </c>
      <c r="E928" s="3">
        <v>230.63820084858216</v>
      </c>
      <c r="F928" s="14">
        <v>1</v>
      </c>
      <c r="G928" s="3">
        <f>'Monthly CFS'!C928 * 86400 * DAY(EOMONTH(D928,0)) / 43560</f>
        <v>3029.8940420080662</v>
      </c>
      <c r="H928" s="3"/>
    </row>
    <row r="929" spans="1:8" x14ac:dyDescent="0.25">
      <c r="A929" s="2">
        <v>922</v>
      </c>
      <c r="B929" s="2">
        <f t="shared" si="36"/>
        <v>1998</v>
      </c>
      <c r="C929" s="2">
        <f t="shared" si="37"/>
        <v>7</v>
      </c>
      <c r="D929" s="4">
        <v>36007</v>
      </c>
      <c r="E929" s="3">
        <v>271.71188667119026</v>
      </c>
      <c r="F929" s="14">
        <v>1</v>
      </c>
      <c r="G929" s="3">
        <f>'Monthly CFS'!C929 * 86400 * DAY(EOMONTH(D929,0)) / 43560</f>
        <v>3887.7224194573901</v>
      </c>
      <c r="H929" s="3"/>
    </row>
    <row r="930" spans="1:8" x14ac:dyDescent="0.25">
      <c r="A930" s="2">
        <v>923</v>
      </c>
      <c r="B930" s="2">
        <f t="shared" si="36"/>
        <v>1998</v>
      </c>
      <c r="C930" s="2">
        <f t="shared" si="37"/>
        <v>8</v>
      </c>
      <c r="D930" s="4">
        <v>36038</v>
      </c>
      <c r="E930" s="3">
        <v>282.21761897027193</v>
      </c>
      <c r="F930" s="14">
        <v>1</v>
      </c>
      <c r="G930" s="3">
        <f>'Monthly CFS'!C930 * 86400 * DAY(EOMONTH(D930,0)) / 43560</f>
        <v>4250.6499170690258</v>
      </c>
      <c r="H930" s="3"/>
    </row>
    <row r="931" spans="1:8" x14ac:dyDescent="0.25">
      <c r="A931" s="2">
        <v>924</v>
      </c>
      <c r="B931" s="2">
        <f t="shared" si="36"/>
        <v>1998</v>
      </c>
      <c r="C931" s="2">
        <f t="shared" si="37"/>
        <v>9</v>
      </c>
      <c r="D931" s="4">
        <v>36068</v>
      </c>
      <c r="E931" s="3">
        <v>245.18670139121073</v>
      </c>
      <c r="F931" s="14">
        <v>1</v>
      </c>
      <c r="G931" s="3">
        <f>'Monthly CFS'!C931 * 86400 * DAY(EOMONTH(D931,0)) / 43560</f>
        <v>3585.2828654276932</v>
      </c>
      <c r="H931" s="3"/>
    </row>
    <row r="932" spans="1:8" x14ac:dyDescent="0.25">
      <c r="A932" s="2">
        <v>925</v>
      </c>
      <c r="B932" s="2">
        <f t="shared" si="36"/>
        <v>1998</v>
      </c>
      <c r="C932" s="2">
        <f t="shared" si="37"/>
        <v>10</v>
      </c>
      <c r="D932" s="4">
        <v>36099</v>
      </c>
      <c r="E932" s="3">
        <v>208.40764336055321</v>
      </c>
      <c r="F932" s="14">
        <v>1</v>
      </c>
      <c r="G932" s="3">
        <f>'Monthly CFS'!C932 * 86400 * DAY(EOMONTH(D932,0)) / 43560</f>
        <v>2441.5116681819259</v>
      </c>
      <c r="H932" s="3"/>
    </row>
    <row r="933" spans="1:8" x14ac:dyDescent="0.25">
      <c r="A933" s="2">
        <v>926</v>
      </c>
      <c r="B933" s="2">
        <f t="shared" si="36"/>
        <v>1998</v>
      </c>
      <c r="C933" s="2">
        <f t="shared" si="37"/>
        <v>11</v>
      </c>
      <c r="D933" s="4">
        <v>36129</v>
      </c>
      <c r="E933" s="3">
        <v>139.9081154259168</v>
      </c>
      <c r="F933" s="14">
        <v>1</v>
      </c>
      <c r="G933" s="3">
        <f>'Monthly CFS'!C933 * 86400 * DAY(EOMONTH(D933,0)) / 43560</f>
        <v>1550.689904206087</v>
      </c>
      <c r="H933" s="3"/>
    </row>
    <row r="934" spans="1:8" x14ac:dyDescent="0.25">
      <c r="A934" s="2">
        <v>927</v>
      </c>
      <c r="B934" s="2">
        <f t="shared" si="36"/>
        <v>1998</v>
      </c>
      <c r="C934" s="2">
        <f t="shared" si="37"/>
        <v>12</v>
      </c>
      <c r="D934" s="4">
        <v>36160</v>
      </c>
      <c r="E934" s="3">
        <v>100.09781597435999</v>
      </c>
      <c r="F934" s="14">
        <v>1</v>
      </c>
      <c r="G934" s="3">
        <f>'Monthly CFS'!C934 * 86400 * DAY(EOMONTH(D934,0)) / 43560</f>
        <v>1275.7448662618167</v>
      </c>
      <c r="H934" s="3"/>
    </row>
    <row r="935" spans="1:8" x14ac:dyDescent="0.25">
      <c r="A935" s="2">
        <v>928</v>
      </c>
      <c r="B935" s="2">
        <f t="shared" si="36"/>
        <v>1999</v>
      </c>
      <c r="C935" s="2">
        <f t="shared" si="37"/>
        <v>1</v>
      </c>
      <c r="D935" s="4">
        <v>36191</v>
      </c>
      <c r="E935" s="3">
        <v>94.480039683665964</v>
      </c>
      <c r="F935" s="14">
        <v>1</v>
      </c>
      <c r="G935" s="3">
        <f>'Monthly CFS'!C935 * 86400 * DAY(EOMONTH(D935,0)) / 43560</f>
        <v>1215.256922679878</v>
      </c>
      <c r="H935" s="3"/>
    </row>
    <row r="936" spans="1:8" x14ac:dyDescent="0.25">
      <c r="A936" s="2">
        <v>929</v>
      </c>
      <c r="B936" s="2">
        <f t="shared" si="36"/>
        <v>1999</v>
      </c>
      <c r="C936" s="2">
        <f t="shared" si="37"/>
        <v>2</v>
      </c>
      <c r="D936" s="4">
        <v>36219</v>
      </c>
      <c r="E936" s="3">
        <v>108.63618759646826</v>
      </c>
      <c r="F936" s="14">
        <v>1</v>
      </c>
      <c r="G936" s="3">
        <f>'Monthly CFS'!C936 * 86400 * DAY(EOMONTH(D936,0)) / 43560</f>
        <v>1083.2833765738274</v>
      </c>
      <c r="H936" s="3"/>
    </row>
    <row r="937" spans="1:8" x14ac:dyDescent="0.25">
      <c r="A937" s="2">
        <v>930</v>
      </c>
      <c r="B937" s="2">
        <f t="shared" si="36"/>
        <v>1999</v>
      </c>
      <c r="C937" s="2">
        <f t="shared" si="37"/>
        <v>3</v>
      </c>
      <c r="D937" s="4">
        <v>36250</v>
      </c>
      <c r="E937" s="3">
        <v>95.988743796675294</v>
      </c>
      <c r="F937" s="14">
        <v>1</v>
      </c>
      <c r="G937" s="3">
        <f>'Monthly CFS'!C937 * 86400 * DAY(EOMONTH(D937,0)) / 43560</f>
        <v>1314.2371232294154</v>
      </c>
      <c r="H937" s="3"/>
    </row>
    <row r="938" spans="1:8" x14ac:dyDescent="0.25">
      <c r="A938" s="2">
        <v>931</v>
      </c>
      <c r="B938" s="2">
        <f t="shared" si="36"/>
        <v>1999</v>
      </c>
      <c r="C938" s="2">
        <f t="shared" si="37"/>
        <v>4</v>
      </c>
      <c r="D938" s="4">
        <v>36280</v>
      </c>
      <c r="E938" s="3">
        <v>127.84175342511905</v>
      </c>
      <c r="F938" s="14">
        <v>1</v>
      </c>
      <c r="G938" s="3">
        <f>'Monthly CFS'!C938 * 86400 * DAY(EOMONTH(D938,0)) / 43560</f>
        <v>1561.6876860582588</v>
      </c>
      <c r="H938" s="3"/>
    </row>
    <row r="939" spans="1:8" x14ac:dyDescent="0.25">
      <c r="A939" s="2">
        <v>932</v>
      </c>
      <c r="B939" s="2">
        <f t="shared" si="36"/>
        <v>1999</v>
      </c>
      <c r="C939" s="2">
        <f t="shared" si="37"/>
        <v>5</v>
      </c>
      <c r="D939" s="4">
        <v>36311</v>
      </c>
      <c r="E939" s="3">
        <v>173.69722718890347</v>
      </c>
      <c r="F939" s="14">
        <v>0.99999999999999989</v>
      </c>
      <c r="G939" s="3">
        <f>'Monthly CFS'!C939 * 86400 * DAY(EOMONTH(D939,0)) / 43560</f>
        <v>2304.0392106647901</v>
      </c>
      <c r="H939" s="3"/>
    </row>
    <row r="940" spans="1:8" x14ac:dyDescent="0.25">
      <c r="A940" s="2">
        <v>933</v>
      </c>
      <c r="B940" s="2">
        <f t="shared" si="36"/>
        <v>1999</v>
      </c>
      <c r="C940" s="2">
        <f t="shared" si="37"/>
        <v>6</v>
      </c>
      <c r="D940" s="4">
        <v>36341</v>
      </c>
      <c r="E940" s="3">
        <v>230.63820084858213</v>
      </c>
      <c r="F940" s="14">
        <v>0.99999999999999989</v>
      </c>
      <c r="G940" s="3">
        <f>'Monthly CFS'!C940 * 86400 * DAY(EOMONTH(D940,0)) / 43560</f>
        <v>3029.8940420080676</v>
      </c>
      <c r="H940" s="3"/>
    </row>
    <row r="941" spans="1:8" x14ac:dyDescent="0.25">
      <c r="A941" s="2">
        <v>934</v>
      </c>
      <c r="B941" s="2">
        <f t="shared" si="36"/>
        <v>1999</v>
      </c>
      <c r="C941" s="2">
        <f t="shared" si="37"/>
        <v>7</v>
      </c>
      <c r="D941" s="4">
        <v>36372</v>
      </c>
      <c r="E941" s="3">
        <v>271.71188667119026</v>
      </c>
      <c r="F941" s="14">
        <v>1</v>
      </c>
      <c r="G941" s="3">
        <f>'Monthly CFS'!C941 * 86400 * DAY(EOMONTH(D941,0)) / 43560</f>
        <v>3887.7224194573919</v>
      </c>
      <c r="H941" s="3"/>
    </row>
    <row r="942" spans="1:8" x14ac:dyDescent="0.25">
      <c r="A942" s="2">
        <v>935</v>
      </c>
      <c r="B942" s="2">
        <f t="shared" si="36"/>
        <v>1999</v>
      </c>
      <c r="C942" s="2">
        <f t="shared" si="37"/>
        <v>8</v>
      </c>
      <c r="D942" s="4">
        <v>36403</v>
      </c>
      <c r="E942" s="3">
        <v>282.21761897027193</v>
      </c>
      <c r="F942" s="14">
        <v>1</v>
      </c>
      <c r="G942" s="3">
        <f>'Monthly CFS'!C942 * 86400 * DAY(EOMONTH(D942,0)) / 43560</f>
        <v>4250.6499170690295</v>
      </c>
      <c r="H942" s="3"/>
    </row>
    <row r="943" spans="1:8" x14ac:dyDescent="0.25">
      <c r="A943" s="2">
        <v>936</v>
      </c>
      <c r="B943" s="2">
        <f t="shared" si="36"/>
        <v>1999</v>
      </c>
      <c r="C943" s="2">
        <f t="shared" si="37"/>
        <v>9</v>
      </c>
      <c r="D943" s="4">
        <v>36433</v>
      </c>
      <c r="E943" s="3">
        <v>245.1867013912107</v>
      </c>
      <c r="F943" s="14">
        <v>1</v>
      </c>
      <c r="G943" s="3">
        <f>'Monthly CFS'!C943 * 86400 * DAY(EOMONTH(D943,0)) / 43560</f>
        <v>3585.2828654276959</v>
      </c>
      <c r="H943" s="3"/>
    </row>
    <row r="944" spans="1:8" x14ac:dyDescent="0.25">
      <c r="A944" s="2">
        <v>937</v>
      </c>
      <c r="B944" s="2">
        <f t="shared" si="36"/>
        <v>1999</v>
      </c>
      <c r="C944" s="2">
        <f t="shared" si="37"/>
        <v>10</v>
      </c>
      <c r="D944" s="4">
        <v>36464</v>
      </c>
      <c r="E944" s="3">
        <v>208.40764336055315</v>
      </c>
      <c r="F944" s="14">
        <v>1</v>
      </c>
      <c r="G944" s="3">
        <f>'Monthly CFS'!C944 * 86400 * DAY(EOMONTH(D944,0)) / 43560</f>
        <v>2441.5116681819272</v>
      </c>
      <c r="H944" s="3"/>
    </row>
    <row r="945" spans="1:8" x14ac:dyDescent="0.25">
      <c r="A945" s="2">
        <v>938</v>
      </c>
      <c r="B945" s="2">
        <f t="shared" si="36"/>
        <v>1999</v>
      </c>
      <c r="C945" s="2">
        <f t="shared" si="37"/>
        <v>11</v>
      </c>
      <c r="D945" s="4">
        <v>36494</v>
      </c>
      <c r="E945" s="3">
        <v>139.9081154259168</v>
      </c>
      <c r="F945" s="14">
        <v>1</v>
      </c>
      <c r="G945" s="3">
        <f>'Monthly CFS'!C945 * 86400 * DAY(EOMONTH(D945,0)) / 43560</f>
        <v>1550.6899042060882</v>
      </c>
      <c r="H945" s="3"/>
    </row>
    <row r="946" spans="1:8" x14ac:dyDescent="0.25">
      <c r="A946" s="2">
        <v>939</v>
      </c>
      <c r="B946" s="2">
        <f t="shared" si="36"/>
        <v>1999</v>
      </c>
      <c r="C946" s="2">
        <f t="shared" si="37"/>
        <v>12</v>
      </c>
      <c r="D946" s="4">
        <v>36525</v>
      </c>
      <c r="E946" s="3">
        <v>100.09781597435999</v>
      </c>
      <c r="F946" s="14">
        <v>1</v>
      </c>
      <c r="G946" s="3">
        <f>'Monthly CFS'!C946 * 86400 * DAY(EOMONTH(D946,0)) / 43560</f>
        <v>1275.7448662618176</v>
      </c>
      <c r="H946" s="3"/>
    </row>
    <row r="947" spans="1:8" x14ac:dyDescent="0.25">
      <c r="A947" s="2">
        <v>940</v>
      </c>
      <c r="B947" s="2">
        <f t="shared" si="36"/>
        <v>2000</v>
      </c>
      <c r="C947" s="2">
        <f t="shared" si="37"/>
        <v>1</v>
      </c>
      <c r="D947" s="4">
        <v>36556</v>
      </c>
      <c r="E947" s="3">
        <v>94.480039683665979</v>
      </c>
      <c r="F947" s="14">
        <v>1</v>
      </c>
      <c r="G947" s="3">
        <f>'Monthly CFS'!C947 * 86400 * DAY(EOMONTH(D947,0)) / 43560</f>
        <v>237.48773536735666</v>
      </c>
      <c r="H947" s="3"/>
    </row>
    <row r="948" spans="1:8" x14ac:dyDescent="0.25">
      <c r="A948" s="2">
        <v>941</v>
      </c>
      <c r="B948" s="2">
        <f t="shared" si="36"/>
        <v>2000</v>
      </c>
      <c r="C948" s="2">
        <f t="shared" si="37"/>
        <v>2</v>
      </c>
      <c r="D948" s="4">
        <v>36585</v>
      </c>
      <c r="E948" s="3">
        <v>104.8901121621073</v>
      </c>
      <c r="F948" s="14">
        <v>1</v>
      </c>
      <c r="G948" s="3">
        <f>'Monthly CFS'!C948 * 86400 * DAY(EOMONTH(D948,0)) / 43560</f>
        <v>697.10217813821532</v>
      </c>
      <c r="H948" s="3"/>
    </row>
    <row r="949" spans="1:8" x14ac:dyDescent="0.25">
      <c r="A949" s="2">
        <v>942</v>
      </c>
      <c r="B949" s="2">
        <f t="shared" si="36"/>
        <v>2000</v>
      </c>
      <c r="C949" s="2">
        <f t="shared" si="37"/>
        <v>3</v>
      </c>
      <c r="D949" s="4">
        <v>36616</v>
      </c>
      <c r="E949" s="3">
        <v>96.914806888133896</v>
      </c>
      <c r="F949" s="14">
        <v>0.9360705916765566</v>
      </c>
      <c r="G949" s="3">
        <f>'Monthly CFS'!C949 * 86400 * DAY(EOMONTH(D949,0)) / 43560</f>
        <v>1314.2371232294156</v>
      </c>
      <c r="H949" s="3"/>
    </row>
    <row r="950" spans="1:8" x14ac:dyDescent="0.25">
      <c r="A950" s="2">
        <v>943</v>
      </c>
      <c r="B950" s="2">
        <f t="shared" si="36"/>
        <v>2000</v>
      </c>
      <c r="C950" s="2">
        <f t="shared" si="37"/>
        <v>4</v>
      </c>
      <c r="D950" s="4">
        <v>36646</v>
      </c>
      <c r="E950" s="3">
        <v>140.91721845376131</v>
      </c>
      <c r="F950" s="14">
        <v>1</v>
      </c>
      <c r="G950" s="3">
        <f>'Monthly CFS'!C950 * 86400 * DAY(EOMONTH(D950,0)) / 43560</f>
        <v>1561.6876860582595</v>
      </c>
      <c r="H950" s="3"/>
    </row>
    <row r="951" spans="1:8" x14ac:dyDescent="0.25">
      <c r="A951" s="2">
        <v>944</v>
      </c>
      <c r="B951" s="2">
        <f t="shared" si="36"/>
        <v>2000</v>
      </c>
      <c r="C951" s="2">
        <f t="shared" si="37"/>
        <v>5</v>
      </c>
      <c r="D951" s="4">
        <v>36677</v>
      </c>
      <c r="E951" s="3">
        <v>172.19561393611605</v>
      </c>
      <c r="F951" s="14">
        <v>1</v>
      </c>
      <c r="G951" s="3">
        <f>'Monthly CFS'!C951 * 86400 * DAY(EOMONTH(D951,0)) / 43560</f>
        <v>2304.0392106647901</v>
      </c>
      <c r="H951" s="3"/>
    </row>
    <row r="952" spans="1:8" x14ac:dyDescent="0.25">
      <c r="A952" s="2">
        <v>945</v>
      </c>
      <c r="B952" s="2">
        <f t="shared" si="36"/>
        <v>2000</v>
      </c>
      <c r="C952" s="2">
        <f t="shared" si="37"/>
        <v>6</v>
      </c>
      <c r="D952" s="4">
        <v>36707</v>
      </c>
      <c r="E952" s="3">
        <v>249.30857479426103</v>
      </c>
      <c r="F952" s="14">
        <v>1</v>
      </c>
      <c r="G952" s="3">
        <f>'Monthly CFS'!C952 * 86400 * DAY(EOMONTH(D952,0)) / 43560</f>
        <v>3029.8940420080662</v>
      </c>
      <c r="H952" s="3"/>
    </row>
    <row r="953" spans="1:8" x14ac:dyDescent="0.25">
      <c r="A953" s="2">
        <v>946</v>
      </c>
      <c r="B953" s="2">
        <f t="shared" si="36"/>
        <v>2000</v>
      </c>
      <c r="C953" s="2">
        <f t="shared" si="37"/>
        <v>7</v>
      </c>
      <c r="D953" s="4">
        <v>36738</v>
      </c>
      <c r="E953" s="3">
        <v>274.69602802891444</v>
      </c>
      <c r="F953" s="14">
        <v>1</v>
      </c>
      <c r="G953" s="3">
        <f>'Monthly CFS'!C953 * 86400 * DAY(EOMONTH(D953,0)) / 43560</f>
        <v>3887.7224194573914</v>
      </c>
      <c r="H953" s="3"/>
    </row>
    <row r="954" spans="1:8" x14ac:dyDescent="0.25">
      <c r="A954" s="2">
        <v>947</v>
      </c>
      <c r="B954" s="2">
        <f t="shared" si="36"/>
        <v>2000</v>
      </c>
      <c r="C954" s="2">
        <f t="shared" si="37"/>
        <v>8</v>
      </c>
      <c r="D954" s="4">
        <v>36769</v>
      </c>
      <c r="E954" s="3">
        <v>284.25012948115898</v>
      </c>
      <c r="F954" s="14">
        <v>1</v>
      </c>
      <c r="G954" s="3">
        <f>'Monthly CFS'!C954 * 86400 * DAY(EOMONTH(D954,0)) / 43560</f>
        <v>4250.6499170690286</v>
      </c>
      <c r="H954" s="3"/>
    </row>
    <row r="955" spans="1:8" x14ac:dyDescent="0.25">
      <c r="A955" s="2">
        <v>948</v>
      </c>
      <c r="B955" s="2">
        <f t="shared" si="36"/>
        <v>2000</v>
      </c>
      <c r="C955" s="2">
        <f t="shared" si="37"/>
        <v>9</v>
      </c>
      <c r="D955" s="4">
        <v>36799</v>
      </c>
      <c r="E955" s="3">
        <v>251.09751946104601</v>
      </c>
      <c r="F955" s="14">
        <v>1</v>
      </c>
      <c r="G955" s="3">
        <f>'Monthly CFS'!C955 * 86400 * DAY(EOMONTH(D955,0)) / 43560</f>
        <v>3585.2828654276937</v>
      </c>
      <c r="H955" s="3"/>
    </row>
    <row r="956" spans="1:8" x14ac:dyDescent="0.25">
      <c r="A956" s="2">
        <v>949</v>
      </c>
      <c r="B956" s="2">
        <f t="shared" si="36"/>
        <v>2000</v>
      </c>
      <c r="C956" s="2">
        <f t="shared" si="37"/>
        <v>10</v>
      </c>
      <c r="D956" s="4">
        <v>36830</v>
      </c>
      <c r="E956" s="3">
        <v>215.12985528304068</v>
      </c>
      <c r="F956" s="14">
        <v>1</v>
      </c>
      <c r="G956" s="3">
        <f>'Monthly CFS'!C956 * 86400 * DAY(EOMONTH(D956,0)) / 43560</f>
        <v>2441.5116681819259</v>
      </c>
      <c r="H956" s="3"/>
    </row>
    <row r="957" spans="1:8" x14ac:dyDescent="0.25">
      <c r="A957" s="2">
        <v>950</v>
      </c>
      <c r="B957" s="2">
        <f t="shared" si="36"/>
        <v>2000</v>
      </c>
      <c r="C957" s="2">
        <f t="shared" si="37"/>
        <v>11</v>
      </c>
      <c r="D957" s="4">
        <v>36860</v>
      </c>
      <c r="E957" s="3">
        <v>152.24052617673215</v>
      </c>
      <c r="F957" s="14">
        <v>1</v>
      </c>
      <c r="G957" s="3">
        <f>'Monthly CFS'!C957 * 86400 * DAY(EOMONTH(D957,0)) / 43560</f>
        <v>1550.6899042060884</v>
      </c>
      <c r="H957" s="3"/>
    </row>
    <row r="958" spans="1:8" x14ac:dyDescent="0.25">
      <c r="A958" s="2">
        <v>951</v>
      </c>
      <c r="B958" s="2">
        <f t="shared" si="36"/>
        <v>2000</v>
      </c>
      <c r="C958" s="2">
        <f t="shared" si="37"/>
        <v>12</v>
      </c>
      <c r="D958" s="4">
        <v>36891</v>
      </c>
      <c r="E958" s="3">
        <v>138.92959785864781</v>
      </c>
      <c r="F958" s="14">
        <v>1</v>
      </c>
      <c r="G958" s="3">
        <f>'Monthly CFS'!C958 * 86400 * DAY(EOMONTH(D958,0)) / 43560</f>
        <v>1275.7448662618176</v>
      </c>
      <c r="H958" s="3"/>
    </row>
    <row r="959" spans="1:8" x14ac:dyDescent="0.25">
      <c r="A959" s="2">
        <v>952</v>
      </c>
      <c r="B959" s="2">
        <f t="shared" si="36"/>
        <v>2001</v>
      </c>
      <c r="C959" s="2">
        <f t="shared" si="37"/>
        <v>1</v>
      </c>
      <c r="D959" s="4">
        <v>36922</v>
      </c>
      <c r="E959" s="3">
        <v>110.24576070621373</v>
      </c>
      <c r="F959" s="14">
        <v>1</v>
      </c>
      <c r="G959" s="3">
        <f>'Monthly CFS'!C959 * 86400 * DAY(EOMONTH(D959,0)) / 43560</f>
        <v>133.67826149478657</v>
      </c>
      <c r="H959" s="3"/>
    </row>
    <row r="960" spans="1:8" x14ac:dyDescent="0.25">
      <c r="A960" s="2">
        <v>953</v>
      </c>
      <c r="B960" s="2">
        <f t="shared" si="36"/>
        <v>2001</v>
      </c>
      <c r="C960" s="2">
        <f t="shared" si="37"/>
        <v>2</v>
      </c>
      <c r="D960" s="4">
        <v>36950</v>
      </c>
      <c r="E960" s="3">
        <v>102.91438209013761</v>
      </c>
      <c r="F960" s="14">
        <v>0.94326080937205237</v>
      </c>
      <c r="G960" s="3">
        <f>'Monthly CFS'!C960 * 86400 * DAY(EOMONTH(D960,0)) / 43560</f>
        <v>119.16117142312106</v>
      </c>
      <c r="H960" s="3"/>
    </row>
    <row r="961" spans="1:8" x14ac:dyDescent="0.25">
      <c r="A961" s="2">
        <v>954</v>
      </c>
      <c r="B961" s="2">
        <f t="shared" si="36"/>
        <v>2001</v>
      </c>
      <c r="C961" s="2">
        <f t="shared" si="37"/>
        <v>3</v>
      </c>
      <c r="D961" s="4">
        <v>36981</v>
      </c>
      <c r="E961" s="3">
        <v>123.59371307269384</v>
      </c>
      <c r="F961" s="14">
        <v>0.52716538688879466</v>
      </c>
      <c r="G961" s="3">
        <f>'Monthly CFS'!C961 * 86400 * DAY(EOMONTH(D961,0)) / 43560</f>
        <v>257.63817997164557</v>
      </c>
      <c r="H961" s="3"/>
    </row>
    <row r="962" spans="1:8" x14ac:dyDescent="0.25">
      <c r="A962" s="2">
        <v>955</v>
      </c>
      <c r="B962" s="2">
        <f t="shared" si="36"/>
        <v>2001</v>
      </c>
      <c r="C962" s="2">
        <f t="shared" si="37"/>
        <v>4</v>
      </c>
      <c r="D962" s="4">
        <v>37011</v>
      </c>
      <c r="E962" s="3">
        <v>181.23525201198254</v>
      </c>
      <c r="F962" s="14">
        <v>0.85986032601646301</v>
      </c>
      <c r="G962" s="3">
        <f>'Monthly CFS'!C962 * 86400 * DAY(EOMONTH(D962,0)) / 43560</f>
        <v>327.90339709641518</v>
      </c>
      <c r="H962" s="3"/>
    </row>
    <row r="963" spans="1:8" x14ac:dyDescent="0.25">
      <c r="A963" s="2">
        <v>956</v>
      </c>
      <c r="B963" s="2">
        <f t="shared" si="36"/>
        <v>2001</v>
      </c>
      <c r="C963" s="2">
        <f t="shared" si="37"/>
        <v>5</v>
      </c>
      <c r="D963" s="4">
        <v>37042</v>
      </c>
      <c r="E963" s="3">
        <v>220.07156033713082</v>
      </c>
      <c r="F963" s="14">
        <v>1</v>
      </c>
      <c r="G963" s="3">
        <f>'Monthly CFS'!C963 * 86400 * DAY(EOMONTH(D963,0)) / 43560</f>
        <v>515.46818130040128</v>
      </c>
      <c r="H963" s="3"/>
    </row>
    <row r="964" spans="1:8" x14ac:dyDescent="0.25">
      <c r="A964" s="2">
        <v>957</v>
      </c>
      <c r="B964" s="2">
        <f t="shared" si="36"/>
        <v>2001</v>
      </c>
      <c r="C964" s="2">
        <f t="shared" si="37"/>
        <v>6</v>
      </c>
      <c r="D964" s="4">
        <v>37072</v>
      </c>
      <c r="E964" s="3">
        <v>257.70906701703859</v>
      </c>
      <c r="F964" s="14">
        <v>1</v>
      </c>
      <c r="G964" s="3">
        <f>'Monthly CFS'!C964 * 86400 * DAY(EOMONTH(D964,0)) / 43560</f>
        <v>677.85911113734301</v>
      </c>
      <c r="H964" s="3"/>
    </row>
    <row r="965" spans="1:8" x14ac:dyDescent="0.25">
      <c r="A965" s="2">
        <v>958</v>
      </c>
      <c r="B965" s="2">
        <f t="shared" si="36"/>
        <v>2001</v>
      </c>
      <c r="C965" s="2">
        <f t="shared" si="37"/>
        <v>7</v>
      </c>
      <c r="D965" s="4">
        <v>37103</v>
      </c>
      <c r="E965" s="3">
        <v>288.24290179325095</v>
      </c>
      <c r="F965" s="14">
        <v>1</v>
      </c>
      <c r="G965" s="3">
        <f>'Monthly CFS'!C965 * 86400 * DAY(EOMONTH(D965,0)) / 43560</f>
        <v>869.77565124869534</v>
      </c>
      <c r="H965" s="3"/>
    </row>
    <row r="966" spans="1:8" x14ac:dyDescent="0.25">
      <c r="A966" s="2">
        <v>959</v>
      </c>
      <c r="B966" s="2">
        <f t="shared" si="36"/>
        <v>2001</v>
      </c>
      <c r="C966" s="2">
        <f t="shared" si="37"/>
        <v>8</v>
      </c>
      <c r="D966" s="4">
        <v>37134</v>
      </c>
      <c r="E966" s="3">
        <v>279.99483921206041</v>
      </c>
      <c r="F966" s="14">
        <v>1</v>
      </c>
      <c r="G966" s="3">
        <f>'Monthly CFS'!C966 * 86400 * DAY(EOMONTH(D966,0)) / 43560</f>
        <v>950.97113449908591</v>
      </c>
      <c r="H966" s="3"/>
    </row>
    <row r="967" spans="1:8" x14ac:dyDescent="0.25">
      <c r="A967" s="2">
        <v>960</v>
      </c>
      <c r="B967" s="2">
        <f t="shared" si="36"/>
        <v>2001</v>
      </c>
      <c r="C967" s="2">
        <f t="shared" si="37"/>
        <v>9</v>
      </c>
      <c r="D967" s="4">
        <v>37164</v>
      </c>
      <c r="E967" s="3">
        <v>253.56663201676474</v>
      </c>
      <c r="F967" s="14">
        <v>1</v>
      </c>
      <c r="G967" s="3">
        <f>'Monthly CFS'!C967 * 86400 * DAY(EOMONTH(D967,0)) / 43560</f>
        <v>802.11275465067638</v>
      </c>
      <c r="H967" s="3"/>
    </row>
    <row r="968" spans="1:8" x14ac:dyDescent="0.25">
      <c r="A968" s="2">
        <v>961</v>
      </c>
      <c r="B968" s="2">
        <f t="shared" si="36"/>
        <v>2001</v>
      </c>
      <c r="C968" s="2">
        <f t="shared" si="37"/>
        <v>10</v>
      </c>
      <c r="D968" s="4">
        <v>37195</v>
      </c>
      <c r="E968" s="3">
        <v>216.07475469170529</v>
      </c>
      <c r="F968" s="14">
        <v>1</v>
      </c>
      <c r="G968" s="3">
        <f>'Monthly CFS'!C968 * 86400 * DAY(EOMONTH(D968,0)) / 43560</f>
        <v>546.22402839156621</v>
      </c>
      <c r="H968" s="3"/>
    </row>
    <row r="969" spans="1:8" x14ac:dyDescent="0.25">
      <c r="A969" s="2">
        <v>962</v>
      </c>
      <c r="B969" s="2">
        <f t="shared" ref="B969:B1032" si="38">YEAR(D969)</f>
        <v>2001</v>
      </c>
      <c r="C969" s="2">
        <f t="shared" ref="C969:C1032" si="39">MONTH(D969)</f>
        <v>11</v>
      </c>
      <c r="D969" s="4">
        <v>37225</v>
      </c>
      <c r="E969" s="3">
        <v>174.85540601156069</v>
      </c>
      <c r="F969" s="14">
        <v>1</v>
      </c>
      <c r="G969" s="3">
        <f>'Monthly CFS'!C969 * 86400 * DAY(EOMONTH(D969,0)) / 43560</f>
        <v>346.92608571161094</v>
      </c>
      <c r="H969" s="3"/>
    </row>
    <row r="970" spans="1:8" x14ac:dyDescent="0.25">
      <c r="A970" s="2">
        <v>963</v>
      </c>
      <c r="B970" s="2">
        <f t="shared" si="38"/>
        <v>2001</v>
      </c>
      <c r="C970" s="2">
        <f t="shared" si="39"/>
        <v>12</v>
      </c>
      <c r="D970" s="4">
        <v>37256</v>
      </c>
      <c r="E970" s="3">
        <v>153.1868782359345</v>
      </c>
      <c r="F970" s="14">
        <v>1</v>
      </c>
      <c r="G970" s="3">
        <f>'Monthly CFS'!C970 * 86400 * DAY(EOMONTH(D970,0)) / 43560</f>
        <v>285.41436403140108</v>
      </c>
      <c r="H970" s="3"/>
    </row>
    <row r="971" spans="1:8" x14ac:dyDescent="0.25">
      <c r="A971" s="2">
        <v>964</v>
      </c>
      <c r="B971" s="2">
        <f t="shared" si="38"/>
        <v>2002</v>
      </c>
      <c r="C971" s="2">
        <f t="shared" si="39"/>
        <v>1</v>
      </c>
      <c r="D971" s="4">
        <v>37287</v>
      </c>
      <c r="E971" s="3">
        <v>148.33069936464571</v>
      </c>
      <c r="F971" s="14">
        <v>1</v>
      </c>
      <c r="G971" s="3">
        <f>'Monthly CFS'!C971 * 86400 * DAY(EOMONTH(D971,0)) / 43560</f>
        <v>744.04985983292761</v>
      </c>
      <c r="H971" s="3"/>
    </row>
    <row r="972" spans="1:8" x14ac:dyDescent="0.25">
      <c r="A972" s="2">
        <v>965</v>
      </c>
      <c r="B972" s="2">
        <f t="shared" si="38"/>
        <v>2002</v>
      </c>
      <c r="C972" s="2">
        <f t="shared" si="39"/>
        <v>2</v>
      </c>
      <c r="D972" s="4">
        <v>37315</v>
      </c>
      <c r="E972" s="3">
        <v>145.70191233106175</v>
      </c>
      <c r="F972" s="14">
        <v>1</v>
      </c>
      <c r="G972" s="3">
        <f>'Monthly CFS'!C972 * 86400 * DAY(EOMONTH(D972,0)) / 43560</f>
        <v>632.92379736441319</v>
      </c>
      <c r="H972" s="3"/>
    </row>
    <row r="973" spans="1:8" x14ac:dyDescent="0.25">
      <c r="A973" s="2">
        <v>966</v>
      </c>
      <c r="B973" s="2">
        <f t="shared" si="38"/>
        <v>2002</v>
      </c>
      <c r="C973" s="2">
        <f t="shared" si="39"/>
        <v>3</v>
      </c>
      <c r="D973" s="4">
        <v>37346</v>
      </c>
      <c r="E973" s="3">
        <v>106.88716825976061</v>
      </c>
      <c r="F973" s="14">
        <v>0.93543150937053554</v>
      </c>
      <c r="G973" s="3">
        <f>'Monthly CFS'!C973 * 86400 * DAY(EOMONTH(D973,0)) / 43560</f>
        <v>759.65180969843414</v>
      </c>
      <c r="H973" s="3"/>
    </row>
    <row r="974" spans="1:8" x14ac:dyDescent="0.25">
      <c r="A974" s="2">
        <v>967</v>
      </c>
      <c r="B974" s="2">
        <f t="shared" si="38"/>
        <v>2002</v>
      </c>
      <c r="C974" s="2">
        <f t="shared" si="39"/>
        <v>4</v>
      </c>
      <c r="D974" s="4">
        <v>37376</v>
      </c>
      <c r="E974" s="3">
        <v>155.35965745471617</v>
      </c>
      <c r="F974" s="14">
        <v>1</v>
      </c>
      <c r="G974" s="3">
        <f>'Monthly CFS'!C974 * 86400 * DAY(EOMONTH(D974,0)) / 43560</f>
        <v>1087.3287198162438</v>
      </c>
      <c r="H974" s="3"/>
    </row>
    <row r="975" spans="1:8" x14ac:dyDescent="0.25">
      <c r="A975" s="2">
        <v>968</v>
      </c>
      <c r="B975" s="2">
        <f t="shared" si="38"/>
        <v>2002</v>
      </c>
      <c r="C975" s="2">
        <f t="shared" si="39"/>
        <v>5</v>
      </c>
      <c r="D975" s="4">
        <v>37407</v>
      </c>
      <c r="E975" s="3">
        <v>220.07156033713085</v>
      </c>
      <c r="F975" s="14">
        <v>1</v>
      </c>
      <c r="G975" s="3">
        <f>'Monthly CFS'!C975 * 86400 * DAY(EOMONTH(D975,0)) / 43560</f>
        <v>1604.1927126043297</v>
      </c>
      <c r="H975" s="3"/>
    </row>
    <row r="976" spans="1:8" x14ac:dyDescent="0.25">
      <c r="A976" s="2">
        <v>969</v>
      </c>
      <c r="B976" s="2">
        <f t="shared" si="38"/>
        <v>2002</v>
      </c>
      <c r="C976" s="2">
        <f t="shared" si="39"/>
        <v>6</v>
      </c>
      <c r="D976" s="4">
        <v>37437</v>
      </c>
      <c r="E976" s="3">
        <v>257.70906701703865</v>
      </c>
      <c r="F976" s="14">
        <v>1</v>
      </c>
      <c r="G976" s="3">
        <f>'Monthly CFS'!C976 * 86400 * DAY(EOMONTH(D976,0)) / 43560</f>
        <v>2109.5708439572049</v>
      </c>
      <c r="H976" s="3"/>
    </row>
    <row r="977" spans="1:8" x14ac:dyDescent="0.25">
      <c r="A977" s="2">
        <v>970</v>
      </c>
      <c r="B977" s="2">
        <f t="shared" si="38"/>
        <v>2002</v>
      </c>
      <c r="C977" s="2">
        <f t="shared" si="39"/>
        <v>7</v>
      </c>
      <c r="D977" s="4">
        <v>37468</v>
      </c>
      <c r="E977" s="3">
        <v>288.24290179325095</v>
      </c>
      <c r="F977" s="14">
        <v>1</v>
      </c>
      <c r="G977" s="3">
        <f>'Monthly CFS'!C977 * 86400 * DAY(EOMONTH(D977,0)) / 43560</f>
        <v>2706.8358667917555</v>
      </c>
      <c r="H977" s="3"/>
    </row>
    <row r="978" spans="1:8" x14ac:dyDescent="0.25">
      <c r="A978" s="2">
        <v>971</v>
      </c>
      <c r="B978" s="2">
        <f t="shared" si="38"/>
        <v>2002</v>
      </c>
      <c r="C978" s="2">
        <f t="shared" si="39"/>
        <v>8</v>
      </c>
      <c r="D978" s="4">
        <v>37499</v>
      </c>
      <c r="E978" s="3">
        <v>279.99483921206041</v>
      </c>
      <c r="F978" s="14">
        <v>1</v>
      </c>
      <c r="G978" s="3">
        <f>'Monthly CFS'!C978 * 86400 * DAY(EOMONTH(D978,0)) / 43560</f>
        <v>2959.5249895191096</v>
      </c>
      <c r="H978" s="3"/>
    </row>
    <row r="979" spans="1:8" x14ac:dyDescent="0.25">
      <c r="A979" s="2">
        <v>972</v>
      </c>
      <c r="B979" s="2">
        <f t="shared" si="38"/>
        <v>2002</v>
      </c>
      <c r="C979" s="2">
        <f t="shared" si="39"/>
        <v>9</v>
      </c>
      <c r="D979" s="4">
        <v>37529</v>
      </c>
      <c r="E979" s="3">
        <v>253.56663201676474</v>
      </c>
      <c r="F979" s="14">
        <v>1</v>
      </c>
      <c r="G979" s="3">
        <f>'Monthly CFS'!C979 * 86400 * DAY(EOMONTH(D979,0)) / 43560</f>
        <v>2496.2616168692648</v>
      </c>
      <c r="H979" s="3"/>
    </row>
    <row r="980" spans="1:8" x14ac:dyDescent="0.25">
      <c r="A980" s="2">
        <v>973</v>
      </c>
      <c r="B980" s="2">
        <f t="shared" si="38"/>
        <v>2002</v>
      </c>
      <c r="C980" s="2">
        <f t="shared" si="39"/>
        <v>10</v>
      </c>
      <c r="D980" s="4">
        <v>37560</v>
      </c>
      <c r="E980" s="3">
        <v>216.07475469170529</v>
      </c>
      <c r="F980" s="14">
        <v>1</v>
      </c>
      <c r="G980" s="3">
        <f>'Monthly CFS'!C980 * 86400 * DAY(EOMONTH(D980,0)) / 43560</f>
        <v>1699.9082340728924</v>
      </c>
      <c r="H980" s="3"/>
    </row>
    <row r="981" spans="1:8" x14ac:dyDescent="0.25">
      <c r="A981" s="2">
        <v>974</v>
      </c>
      <c r="B981" s="2">
        <f t="shared" si="38"/>
        <v>2002</v>
      </c>
      <c r="C981" s="2">
        <f t="shared" si="39"/>
        <v>11</v>
      </c>
      <c r="D981" s="4">
        <v>37590</v>
      </c>
      <c r="E981" s="3">
        <v>174.85540601156069</v>
      </c>
      <c r="F981" s="14">
        <v>1</v>
      </c>
      <c r="G981" s="3">
        <f>'Monthly CFS'!C981 * 86400 * DAY(EOMONTH(D981,0)) / 43560</f>
        <v>1079.6714883679238</v>
      </c>
      <c r="H981" s="3"/>
    </row>
    <row r="982" spans="1:8" x14ac:dyDescent="0.25">
      <c r="A982" s="2">
        <v>975</v>
      </c>
      <c r="B982" s="2">
        <f t="shared" si="38"/>
        <v>2002</v>
      </c>
      <c r="C982" s="2">
        <f t="shared" si="39"/>
        <v>12</v>
      </c>
      <c r="D982" s="4">
        <v>37621</v>
      </c>
      <c r="E982" s="3">
        <v>153.18687823593453</v>
      </c>
      <c r="F982" s="14">
        <v>1</v>
      </c>
      <c r="G982" s="3">
        <f>'Monthly CFS'!C982 * 86400 * DAY(EOMONTH(D982,0)) / 43560</f>
        <v>888.2403598544214</v>
      </c>
      <c r="H982" s="3"/>
    </row>
    <row r="983" spans="1:8" x14ac:dyDescent="0.25">
      <c r="A983" s="2">
        <v>976</v>
      </c>
      <c r="B983" s="2">
        <f t="shared" si="38"/>
        <v>2003</v>
      </c>
      <c r="C983" s="2">
        <f t="shared" si="39"/>
        <v>1</v>
      </c>
      <c r="D983" s="4">
        <v>37652</v>
      </c>
      <c r="E983" s="3">
        <v>148.33069936464574</v>
      </c>
      <c r="F983" s="14">
        <v>1</v>
      </c>
      <c r="G983" s="3">
        <f>'Monthly CFS'!C983 * 86400 * DAY(EOMONTH(D983,0)) / 43560</f>
        <v>1215.256922679878</v>
      </c>
      <c r="H983" s="3"/>
    </row>
    <row r="984" spans="1:8" x14ac:dyDescent="0.25">
      <c r="A984" s="2">
        <v>977</v>
      </c>
      <c r="B984" s="2">
        <f t="shared" si="38"/>
        <v>2003</v>
      </c>
      <c r="C984" s="2">
        <f t="shared" si="39"/>
        <v>2</v>
      </c>
      <c r="D984" s="4">
        <v>37680</v>
      </c>
      <c r="E984" s="3">
        <v>145.70191233106175</v>
      </c>
      <c r="F984" s="14">
        <v>0.88831089686089582</v>
      </c>
      <c r="G984" s="3">
        <f>'Monthly CFS'!C984 * 86400 * DAY(EOMONTH(D984,0)) / 43560</f>
        <v>1003.9746818194006</v>
      </c>
      <c r="H984" s="3"/>
    </row>
    <row r="985" spans="1:8" x14ac:dyDescent="0.25">
      <c r="A985" s="2">
        <v>978</v>
      </c>
      <c r="B985" s="2">
        <f t="shared" si="38"/>
        <v>2003</v>
      </c>
      <c r="C985" s="2">
        <f t="shared" si="39"/>
        <v>3</v>
      </c>
      <c r="D985" s="4">
        <v>37711</v>
      </c>
      <c r="E985" s="3">
        <v>106.88716825976429</v>
      </c>
      <c r="F985" s="14">
        <v>0.79366679109625071</v>
      </c>
      <c r="G985" s="3">
        <f>'Monthly CFS'!C985 * 86400 * DAY(EOMONTH(D985,0)) / 43560</f>
        <v>1090.2896667900609</v>
      </c>
      <c r="H985" s="3"/>
    </row>
    <row r="986" spans="1:8" x14ac:dyDescent="0.25">
      <c r="A986" s="2">
        <v>979</v>
      </c>
      <c r="B986" s="2">
        <f t="shared" si="38"/>
        <v>2003</v>
      </c>
      <c r="C986" s="2">
        <f t="shared" si="39"/>
        <v>4</v>
      </c>
      <c r="D986" s="4">
        <v>37741</v>
      </c>
      <c r="E986" s="3">
        <v>155.35965745471617</v>
      </c>
      <c r="F986" s="14">
        <v>1</v>
      </c>
      <c r="G986" s="3">
        <f>'Monthly CFS'!C986 * 86400 * DAY(EOMONTH(D986,0)) / 43560</f>
        <v>1242.7747513997356</v>
      </c>
      <c r="H986" s="3"/>
    </row>
    <row r="987" spans="1:8" x14ac:dyDescent="0.25">
      <c r="A987" s="2">
        <v>980</v>
      </c>
      <c r="B987" s="2">
        <f t="shared" si="38"/>
        <v>2003</v>
      </c>
      <c r="C987" s="2">
        <f t="shared" si="39"/>
        <v>5</v>
      </c>
      <c r="D987" s="4">
        <v>37772</v>
      </c>
      <c r="E987" s="3">
        <v>172.19561393611602</v>
      </c>
      <c r="F987" s="14">
        <v>1</v>
      </c>
      <c r="G987" s="3">
        <f>'Monthly CFS'!C987 * 86400 * DAY(EOMONTH(D987,0)) / 43560</f>
        <v>1922.4843904318138</v>
      </c>
      <c r="H987" s="3"/>
    </row>
    <row r="988" spans="1:8" x14ac:dyDescent="0.25">
      <c r="A988" s="2">
        <v>981</v>
      </c>
      <c r="B988" s="2">
        <f t="shared" si="38"/>
        <v>2003</v>
      </c>
      <c r="C988" s="2">
        <f t="shared" si="39"/>
        <v>6</v>
      </c>
      <c r="D988" s="4">
        <v>37802</v>
      </c>
      <c r="E988" s="3">
        <v>249.30857479426103</v>
      </c>
      <c r="F988" s="14">
        <v>1</v>
      </c>
      <c r="G988" s="3">
        <f>'Monthly CFS'!C988 * 86400 * DAY(EOMONTH(D988,0)) / 43560</f>
        <v>2528.1357945042</v>
      </c>
      <c r="H988" s="3"/>
    </row>
    <row r="989" spans="1:8" x14ac:dyDescent="0.25">
      <c r="A989" s="2">
        <v>982</v>
      </c>
      <c r="B989" s="2">
        <f t="shared" si="38"/>
        <v>2003</v>
      </c>
      <c r="C989" s="2">
        <f t="shared" si="39"/>
        <v>7</v>
      </c>
      <c r="D989" s="4">
        <v>37833</v>
      </c>
      <c r="E989" s="3">
        <v>274.69602802891444</v>
      </c>
      <c r="F989" s="14">
        <v>1</v>
      </c>
      <c r="G989" s="3">
        <f>'Monthly CFS'!C989 * 86400 * DAY(EOMONTH(D989,0)) / 43560</f>
        <v>3243.9055859566383</v>
      </c>
      <c r="H989" s="3"/>
    </row>
    <row r="990" spans="1:8" x14ac:dyDescent="0.25">
      <c r="A990" s="2">
        <v>983</v>
      </c>
      <c r="B990" s="2">
        <f t="shared" si="38"/>
        <v>2003</v>
      </c>
      <c r="C990" s="2">
        <f t="shared" si="39"/>
        <v>8</v>
      </c>
      <c r="D990" s="4">
        <v>37864</v>
      </c>
      <c r="E990" s="3">
        <v>284.25012948115898</v>
      </c>
      <c r="F990" s="14">
        <v>1</v>
      </c>
      <c r="G990" s="3">
        <f>'Monthly CFS'!C990 * 86400 * DAY(EOMONTH(D990,0)) / 43560</f>
        <v>3546.7313563633556</v>
      </c>
      <c r="H990" s="3"/>
    </row>
    <row r="991" spans="1:8" x14ac:dyDescent="0.25">
      <c r="A991" s="2">
        <v>984</v>
      </c>
      <c r="B991" s="2">
        <f t="shared" si="38"/>
        <v>2003</v>
      </c>
      <c r="C991" s="2">
        <f t="shared" si="39"/>
        <v>9</v>
      </c>
      <c r="D991" s="4">
        <v>37894</v>
      </c>
      <c r="E991" s="3">
        <v>251.09751946104603</v>
      </c>
      <c r="F991" s="14">
        <v>1</v>
      </c>
      <c r="G991" s="3">
        <f>'Monthly CFS'!C991 * 86400 * DAY(EOMONTH(D991,0)) / 43560</f>
        <v>2991.5508000745485</v>
      </c>
      <c r="H991" s="3"/>
    </row>
    <row r="992" spans="1:8" x14ac:dyDescent="0.25">
      <c r="A992" s="2">
        <v>985</v>
      </c>
      <c r="B992" s="2">
        <f t="shared" si="38"/>
        <v>2003</v>
      </c>
      <c r="C992" s="2">
        <f t="shared" si="39"/>
        <v>10</v>
      </c>
      <c r="D992" s="4">
        <v>37925</v>
      </c>
      <c r="E992" s="3">
        <v>215.12985528304065</v>
      </c>
      <c r="F992" s="14">
        <v>1</v>
      </c>
      <c r="G992" s="3">
        <f>'Monthly CFS'!C992 * 86400 * DAY(EOMONTH(D992,0)) / 43560</f>
        <v>2037.1910553477896</v>
      </c>
      <c r="H992" s="3"/>
    </row>
    <row r="993" spans="1:8" x14ac:dyDescent="0.25">
      <c r="A993" s="2">
        <v>986</v>
      </c>
      <c r="B993" s="2">
        <f t="shared" si="38"/>
        <v>2003</v>
      </c>
      <c r="C993" s="2">
        <f t="shared" si="39"/>
        <v>11</v>
      </c>
      <c r="D993" s="4">
        <v>37955</v>
      </c>
      <c r="E993" s="3">
        <v>152.24052617673215</v>
      </c>
      <c r="F993" s="14">
        <v>1</v>
      </c>
      <c r="G993" s="3">
        <f>'Monthly CFS'!C993 * 86400 * DAY(EOMONTH(D993,0)) / 43560</f>
        <v>1293.8916670503368</v>
      </c>
      <c r="H993" s="3"/>
    </row>
    <row r="994" spans="1:8" x14ac:dyDescent="0.25">
      <c r="A994" s="2">
        <v>987</v>
      </c>
      <c r="B994" s="2">
        <f t="shared" si="38"/>
        <v>2003</v>
      </c>
      <c r="C994" s="2">
        <f t="shared" si="39"/>
        <v>12</v>
      </c>
      <c r="D994" s="4">
        <v>37986</v>
      </c>
      <c r="E994" s="3">
        <v>138.92959785864778</v>
      </c>
      <c r="F994" s="14">
        <v>1</v>
      </c>
      <c r="G994" s="3">
        <f>'Monthly CFS'!C994 * 86400 * DAY(EOMONTH(D994,0)) / 43560</f>
        <v>1064.4782346625991</v>
      </c>
      <c r="H994" s="3"/>
    </row>
    <row r="995" spans="1:8" x14ac:dyDescent="0.25">
      <c r="A995" s="2">
        <v>988</v>
      </c>
      <c r="B995" s="2">
        <f t="shared" si="38"/>
        <v>2004</v>
      </c>
      <c r="C995" s="2">
        <f t="shared" si="39"/>
        <v>1</v>
      </c>
      <c r="D995" s="4">
        <v>38017</v>
      </c>
      <c r="E995" s="3">
        <v>110.24576070621373</v>
      </c>
      <c r="F995" s="14">
        <v>1</v>
      </c>
      <c r="G995" s="3">
        <f>'Monthly CFS'!C995 * 86400 * DAY(EOMONTH(D995,0)) / 43560</f>
        <v>822.34162001598372</v>
      </c>
      <c r="H995" s="3"/>
    </row>
    <row r="996" spans="1:8" x14ac:dyDescent="0.25">
      <c r="A996" s="2">
        <v>989</v>
      </c>
      <c r="B996" s="2">
        <f t="shared" si="38"/>
        <v>2004</v>
      </c>
      <c r="C996" s="2">
        <f t="shared" si="39"/>
        <v>2</v>
      </c>
      <c r="D996" s="4">
        <v>38046</v>
      </c>
      <c r="E996" s="3">
        <v>99.365610293925968</v>
      </c>
      <c r="F996" s="14">
        <v>0.99999999999999989</v>
      </c>
      <c r="G996" s="3">
        <f>'Monthly CFS'!C996 * 86400 * DAY(EOMONTH(D996,0)) / 43560</f>
        <v>698.56915991787889</v>
      </c>
      <c r="H996" s="3"/>
    </row>
    <row r="997" spans="1:8" x14ac:dyDescent="0.25">
      <c r="A997" s="2">
        <v>990</v>
      </c>
      <c r="B997" s="2">
        <f t="shared" si="38"/>
        <v>2004</v>
      </c>
      <c r="C997" s="2">
        <f t="shared" si="39"/>
        <v>3</v>
      </c>
      <c r="D997" s="4">
        <v>38077</v>
      </c>
      <c r="E997" s="3">
        <v>96.914806888134393</v>
      </c>
      <c r="F997" s="14">
        <v>1</v>
      </c>
      <c r="G997" s="3">
        <f>'Monthly CFS'!C997 * 86400 * DAY(EOMONTH(D997,0)) / 43560</f>
        <v>1314.2371232294161</v>
      </c>
      <c r="H997" s="3"/>
    </row>
    <row r="998" spans="1:8" x14ac:dyDescent="0.25">
      <c r="A998" s="2">
        <v>991</v>
      </c>
      <c r="B998" s="2">
        <f t="shared" si="38"/>
        <v>2004</v>
      </c>
      <c r="C998" s="2">
        <f t="shared" si="39"/>
        <v>4</v>
      </c>
      <c r="D998" s="4">
        <v>38107</v>
      </c>
      <c r="E998" s="3">
        <v>155.35965745471614</v>
      </c>
      <c r="F998" s="14">
        <v>0.99999999999999989</v>
      </c>
      <c r="G998" s="3">
        <f>'Monthly CFS'!C998 * 86400 * DAY(EOMONTH(D998,0)) / 43560</f>
        <v>1393.608543383328</v>
      </c>
      <c r="H998" s="3"/>
    </row>
    <row r="999" spans="1:8" x14ac:dyDescent="0.25">
      <c r="A999" s="2">
        <v>992</v>
      </c>
      <c r="B999" s="2">
        <f t="shared" si="38"/>
        <v>2004</v>
      </c>
      <c r="C999" s="2">
        <f t="shared" si="39"/>
        <v>5</v>
      </c>
      <c r="D999" s="4">
        <v>38138</v>
      </c>
      <c r="E999" s="3">
        <v>189.91672423298655</v>
      </c>
      <c r="F999" s="14">
        <v>1</v>
      </c>
      <c r="G999" s="3">
        <f>'Monthly CFS'!C999 * 86400 * DAY(EOMONTH(D999,0)) / 43560</f>
        <v>2304.039210664791</v>
      </c>
      <c r="H999" s="3"/>
    </row>
    <row r="1000" spans="1:8" x14ac:dyDescent="0.25">
      <c r="A1000" s="2">
        <v>993</v>
      </c>
      <c r="B1000" s="2">
        <f t="shared" si="38"/>
        <v>2004</v>
      </c>
      <c r="C1000" s="2">
        <f t="shared" si="39"/>
        <v>6</v>
      </c>
      <c r="D1000" s="4">
        <v>38168</v>
      </c>
      <c r="E1000" s="3">
        <v>249.94227532208066</v>
      </c>
      <c r="F1000" s="14">
        <v>1</v>
      </c>
      <c r="G1000" s="3">
        <f>'Monthly CFS'!C1000 * 86400 * DAY(EOMONTH(D1000,0)) / 43560</f>
        <v>3029.8940420080671</v>
      </c>
      <c r="H1000" s="3"/>
    </row>
    <row r="1001" spans="1:8" x14ac:dyDescent="0.25">
      <c r="A1001" s="2">
        <v>994</v>
      </c>
      <c r="B1001" s="2">
        <f t="shared" si="38"/>
        <v>2004</v>
      </c>
      <c r="C1001" s="2">
        <f t="shared" si="39"/>
        <v>7</v>
      </c>
      <c r="D1001" s="4">
        <v>38199</v>
      </c>
      <c r="E1001" s="3">
        <v>278.83348316359661</v>
      </c>
      <c r="F1001" s="14">
        <v>0.99999999999999989</v>
      </c>
      <c r="G1001" s="3">
        <f>'Monthly CFS'!C1001 * 86400 * DAY(EOMONTH(D1001,0)) / 43560</f>
        <v>3887.7224194573919</v>
      </c>
      <c r="H1001" s="3"/>
    </row>
    <row r="1002" spans="1:8" x14ac:dyDescent="0.25">
      <c r="A1002" s="2">
        <v>995</v>
      </c>
      <c r="B1002" s="2">
        <f t="shared" si="38"/>
        <v>2004</v>
      </c>
      <c r="C1002" s="2">
        <f t="shared" si="39"/>
        <v>8</v>
      </c>
      <c r="D1002" s="4">
        <v>38230</v>
      </c>
      <c r="E1002" s="3">
        <v>281.64601106700837</v>
      </c>
      <c r="F1002" s="14">
        <v>1</v>
      </c>
      <c r="G1002" s="3">
        <f>'Monthly CFS'!C1002 * 86400 * DAY(EOMONTH(D1002,0)) / 43560</f>
        <v>4250.6499170690295</v>
      </c>
      <c r="H1002" s="3"/>
    </row>
    <row r="1003" spans="1:8" x14ac:dyDescent="0.25">
      <c r="A1003" s="2">
        <v>996</v>
      </c>
      <c r="B1003" s="2">
        <f t="shared" si="38"/>
        <v>2004</v>
      </c>
      <c r="C1003" s="2">
        <f t="shared" si="39"/>
        <v>9</v>
      </c>
      <c r="D1003" s="4">
        <v>38260</v>
      </c>
      <c r="E1003" s="3">
        <v>247.80503551638381</v>
      </c>
      <c r="F1003" s="14">
        <v>1</v>
      </c>
      <c r="G1003" s="3">
        <f>'Monthly CFS'!C1003 * 86400 * DAY(EOMONTH(D1003,0)) / 43560</f>
        <v>3585.2828654276959</v>
      </c>
      <c r="H1003" s="3"/>
    </row>
    <row r="1004" spans="1:8" x14ac:dyDescent="0.25">
      <c r="A1004" s="2">
        <v>997</v>
      </c>
      <c r="B1004" s="2">
        <f t="shared" si="38"/>
        <v>2004</v>
      </c>
      <c r="C1004" s="2">
        <f t="shared" si="39"/>
        <v>10</v>
      </c>
      <c r="D1004" s="4">
        <v>38291</v>
      </c>
      <c r="E1004" s="3">
        <v>213.68325149262245</v>
      </c>
      <c r="F1004" s="14">
        <v>1</v>
      </c>
      <c r="G1004" s="3">
        <f>'Monthly CFS'!C1004 * 86400 * DAY(EOMONTH(D1004,0)) / 43560</f>
        <v>2441.5116681819272</v>
      </c>
      <c r="H1004" s="3"/>
    </row>
    <row r="1005" spans="1:8" x14ac:dyDescent="0.25">
      <c r="A1005" s="2">
        <v>998</v>
      </c>
      <c r="B1005" s="2">
        <f t="shared" si="38"/>
        <v>2004</v>
      </c>
      <c r="C1005" s="2">
        <f t="shared" si="39"/>
        <v>11</v>
      </c>
      <c r="D1005" s="4">
        <v>38321</v>
      </c>
      <c r="E1005" s="3">
        <v>158.89264570494973</v>
      </c>
      <c r="F1005" s="14">
        <v>1</v>
      </c>
      <c r="G1005" s="3">
        <f>'Monthly CFS'!C1005 * 86400 * DAY(EOMONTH(D1005,0)) / 43560</f>
        <v>1550.6899042060888</v>
      </c>
      <c r="H1005" s="3"/>
    </row>
    <row r="1006" spans="1:8" x14ac:dyDescent="0.25">
      <c r="A1006" s="2">
        <v>999</v>
      </c>
      <c r="B1006" s="2">
        <f t="shared" si="38"/>
        <v>2004</v>
      </c>
      <c r="C1006" s="2">
        <f t="shared" si="39"/>
        <v>12</v>
      </c>
      <c r="D1006" s="4">
        <v>38352</v>
      </c>
      <c r="E1006" s="3">
        <v>140.7197017834973</v>
      </c>
      <c r="F1006" s="14">
        <v>1</v>
      </c>
      <c r="G1006" s="3">
        <f>'Monthly CFS'!C1006 * 86400 * DAY(EOMONTH(D1006,0)) / 43560</f>
        <v>1275.7448662618176</v>
      </c>
      <c r="H1006" s="3"/>
    </row>
    <row r="1007" spans="1:8" x14ac:dyDescent="0.25">
      <c r="A1007" s="2">
        <v>1000</v>
      </c>
      <c r="B1007" s="2">
        <f t="shared" si="38"/>
        <v>2005</v>
      </c>
      <c r="C1007" s="2">
        <f t="shared" si="39"/>
        <v>1</v>
      </c>
      <c r="D1007" s="4">
        <v>38383</v>
      </c>
      <c r="E1007" s="3">
        <v>120.71654124454038</v>
      </c>
      <c r="F1007" s="14">
        <v>1</v>
      </c>
      <c r="G1007" s="3">
        <f>'Monthly CFS'!C1007 * 86400 * DAY(EOMONTH(D1007,0)) / 43560</f>
        <v>687.50398828344134</v>
      </c>
      <c r="H1007" s="3"/>
    </row>
    <row r="1008" spans="1:8" x14ac:dyDescent="0.25">
      <c r="A1008" s="2">
        <v>1001</v>
      </c>
      <c r="B1008" s="2">
        <f t="shared" si="38"/>
        <v>2005</v>
      </c>
      <c r="C1008" s="2">
        <f t="shared" si="39"/>
        <v>2</v>
      </c>
      <c r="D1008" s="4">
        <v>38411</v>
      </c>
      <c r="E1008" s="3">
        <v>114.45563578137686</v>
      </c>
      <c r="F1008" s="14">
        <v>1</v>
      </c>
      <c r="G1008" s="3">
        <f>'Monthly CFS'!C1008 * 86400 * DAY(EOMONTH(D1008,0)) / 43560</f>
        <v>635.43806686301775</v>
      </c>
      <c r="H1008" s="3"/>
    </row>
    <row r="1009" spans="1:8" x14ac:dyDescent="0.25">
      <c r="A1009" s="2">
        <v>1002</v>
      </c>
      <c r="B1009" s="2">
        <f t="shared" si="38"/>
        <v>2005</v>
      </c>
      <c r="C1009" s="2">
        <f t="shared" si="39"/>
        <v>3</v>
      </c>
      <c r="D1009" s="4">
        <v>38442</v>
      </c>
      <c r="E1009" s="3">
        <v>106.88716825976205</v>
      </c>
      <c r="F1009" s="14">
        <v>0.97547585266154824</v>
      </c>
      <c r="G1009" s="3">
        <f>'Monthly CFS'!C1009 * 86400 * DAY(EOMONTH(D1009,0)) / 43560</f>
        <v>768.66807315268738</v>
      </c>
      <c r="H1009" s="3"/>
    </row>
    <row r="1010" spans="1:8" x14ac:dyDescent="0.25">
      <c r="A1010" s="2">
        <v>1003</v>
      </c>
      <c r="B1010" s="2">
        <f t="shared" si="38"/>
        <v>2005</v>
      </c>
      <c r="C1010" s="2">
        <f t="shared" si="39"/>
        <v>4</v>
      </c>
      <c r="D1010" s="4">
        <v>38472</v>
      </c>
      <c r="E1010" s="3">
        <v>155.35965745471617</v>
      </c>
      <c r="F1010" s="14">
        <v>1</v>
      </c>
      <c r="G1010" s="3">
        <f>'Monthly CFS'!C1010 * 86400 * DAY(EOMONTH(D1010,0)) / 43560</f>
        <v>1561.6876860582588</v>
      </c>
      <c r="H1010" s="3"/>
    </row>
    <row r="1011" spans="1:8" x14ac:dyDescent="0.25">
      <c r="A1011" s="2">
        <v>1004</v>
      </c>
      <c r="B1011" s="2">
        <f t="shared" si="38"/>
        <v>2005</v>
      </c>
      <c r="C1011" s="2">
        <f t="shared" si="39"/>
        <v>5</v>
      </c>
      <c r="D1011" s="4">
        <v>38503</v>
      </c>
      <c r="E1011" s="3">
        <v>189.91672423298655</v>
      </c>
      <c r="F1011" s="14">
        <v>1</v>
      </c>
      <c r="G1011" s="3">
        <f>'Monthly CFS'!C1011 * 86400 * DAY(EOMONTH(D1011,0)) / 43560</f>
        <v>2304.039210664791</v>
      </c>
      <c r="H1011" s="3"/>
    </row>
    <row r="1012" spans="1:8" x14ac:dyDescent="0.25">
      <c r="A1012" s="2">
        <v>1005</v>
      </c>
      <c r="B1012" s="2">
        <f t="shared" si="38"/>
        <v>2005</v>
      </c>
      <c r="C1012" s="2">
        <f t="shared" si="39"/>
        <v>6</v>
      </c>
      <c r="D1012" s="4">
        <v>38533</v>
      </c>
      <c r="E1012" s="3">
        <v>249.94227532208066</v>
      </c>
      <c r="F1012" s="14">
        <v>1</v>
      </c>
      <c r="G1012" s="3">
        <f>'Monthly CFS'!C1012 * 86400 * DAY(EOMONTH(D1012,0)) / 43560</f>
        <v>3029.8940420080662</v>
      </c>
      <c r="H1012" s="3"/>
    </row>
    <row r="1013" spans="1:8" x14ac:dyDescent="0.25">
      <c r="A1013" s="2">
        <v>1006</v>
      </c>
      <c r="B1013" s="2">
        <f t="shared" si="38"/>
        <v>2005</v>
      </c>
      <c r="C1013" s="2">
        <f t="shared" si="39"/>
        <v>7</v>
      </c>
      <c r="D1013" s="4">
        <v>38564</v>
      </c>
      <c r="E1013" s="3">
        <v>278.83348316359661</v>
      </c>
      <c r="F1013" s="14">
        <v>1</v>
      </c>
      <c r="G1013" s="3">
        <f>'Monthly CFS'!C1013 * 86400 * DAY(EOMONTH(D1013,0)) / 43560</f>
        <v>3887.7224194573901</v>
      </c>
      <c r="H1013" s="3"/>
    </row>
    <row r="1014" spans="1:8" x14ac:dyDescent="0.25">
      <c r="A1014" s="2">
        <v>1007</v>
      </c>
      <c r="B1014" s="2">
        <f t="shared" si="38"/>
        <v>2005</v>
      </c>
      <c r="C1014" s="2">
        <f t="shared" si="39"/>
        <v>8</v>
      </c>
      <c r="D1014" s="4">
        <v>38595</v>
      </c>
      <c r="E1014" s="3">
        <v>281.64601106700837</v>
      </c>
      <c r="F1014" s="14">
        <v>1</v>
      </c>
      <c r="G1014" s="3">
        <f>'Monthly CFS'!C1014 * 86400 * DAY(EOMONTH(D1014,0)) / 43560</f>
        <v>4250.6499170690295</v>
      </c>
      <c r="H1014" s="3"/>
    </row>
    <row r="1015" spans="1:8" x14ac:dyDescent="0.25">
      <c r="A1015" s="2">
        <v>1008</v>
      </c>
      <c r="B1015" s="2">
        <f t="shared" si="38"/>
        <v>2005</v>
      </c>
      <c r="C1015" s="2">
        <f t="shared" si="39"/>
        <v>9</v>
      </c>
      <c r="D1015" s="4">
        <v>38625</v>
      </c>
      <c r="E1015" s="3">
        <v>247.80503551638378</v>
      </c>
      <c r="F1015" s="14">
        <v>1</v>
      </c>
      <c r="G1015" s="3">
        <f>'Monthly CFS'!C1015 * 86400 * DAY(EOMONTH(D1015,0)) / 43560</f>
        <v>3585.2828654276946</v>
      </c>
      <c r="H1015" s="3"/>
    </row>
    <row r="1016" spans="1:8" x14ac:dyDescent="0.25">
      <c r="A1016" s="2">
        <v>1009</v>
      </c>
      <c r="B1016" s="2">
        <f t="shared" si="38"/>
        <v>2005</v>
      </c>
      <c r="C1016" s="2">
        <f t="shared" si="39"/>
        <v>10</v>
      </c>
      <c r="D1016" s="4">
        <v>38656</v>
      </c>
      <c r="E1016" s="3">
        <v>213.68325149262245</v>
      </c>
      <c r="F1016" s="14">
        <v>1</v>
      </c>
      <c r="G1016" s="3">
        <f>'Monthly CFS'!C1016 * 86400 * DAY(EOMONTH(D1016,0)) / 43560</f>
        <v>2441.5116681819263</v>
      </c>
      <c r="H1016" s="3"/>
    </row>
    <row r="1017" spans="1:8" x14ac:dyDescent="0.25">
      <c r="A1017" s="2">
        <v>1010</v>
      </c>
      <c r="B1017" s="2">
        <f t="shared" si="38"/>
        <v>2005</v>
      </c>
      <c r="C1017" s="2">
        <f t="shared" si="39"/>
        <v>11</v>
      </c>
      <c r="D1017" s="4">
        <v>38686</v>
      </c>
      <c r="E1017" s="3">
        <v>158.89264570494973</v>
      </c>
      <c r="F1017" s="14">
        <v>1</v>
      </c>
      <c r="G1017" s="3">
        <f>'Monthly CFS'!C1017 * 86400 * DAY(EOMONTH(D1017,0)) / 43560</f>
        <v>1550.6899042060877</v>
      </c>
      <c r="H1017" s="3"/>
    </row>
    <row r="1018" spans="1:8" x14ac:dyDescent="0.25">
      <c r="A1018" s="2">
        <v>1011</v>
      </c>
      <c r="B1018" s="2">
        <f t="shared" si="38"/>
        <v>2005</v>
      </c>
      <c r="C1018" s="2">
        <f t="shared" si="39"/>
        <v>12</v>
      </c>
      <c r="D1018" s="4">
        <v>38717</v>
      </c>
      <c r="E1018" s="3">
        <v>140.7197017834973</v>
      </c>
      <c r="F1018" s="14">
        <v>1</v>
      </c>
      <c r="G1018" s="3">
        <f>'Monthly CFS'!C1018 * 86400 * DAY(EOMONTH(D1018,0)) / 43560</f>
        <v>1275.7448662618176</v>
      </c>
      <c r="H1018" s="3"/>
    </row>
    <row r="1019" spans="1:8" x14ac:dyDescent="0.25">
      <c r="A1019" s="2">
        <v>1012</v>
      </c>
      <c r="B1019" s="2">
        <f t="shared" si="38"/>
        <v>2006</v>
      </c>
      <c r="C1019" s="2">
        <f t="shared" si="39"/>
        <v>1</v>
      </c>
      <c r="D1019" s="4">
        <v>38748</v>
      </c>
      <c r="E1019" s="3">
        <v>120.71654124454039</v>
      </c>
      <c r="F1019" s="14">
        <v>1</v>
      </c>
      <c r="G1019" s="3">
        <f>'Monthly CFS'!C1019 * 86400 * DAY(EOMONTH(D1019,0)) / 43560</f>
        <v>1215.256922679878</v>
      </c>
      <c r="H1019" s="3"/>
    </row>
    <row r="1020" spans="1:8" x14ac:dyDescent="0.25">
      <c r="A1020" s="2">
        <v>1013</v>
      </c>
      <c r="B1020" s="2">
        <f t="shared" si="38"/>
        <v>2006</v>
      </c>
      <c r="C1020" s="2">
        <f t="shared" si="39"/>
        <v>2</v>
      </c>
      <c r="D1020" s="4">
        <v>38776</v>
      </c>
      <c r="E1020" s="3">
        <v>114.45563578137683</v>
      </c>
      <c r="F1020" s="14">
        <v>1</v>
      </c>
      <c r="G1020" s="3">
        <f>'Monthly CFS'!C1020 * 86400 * DAY(EOMONTH(D1020,0)) / 43560</f>
        <v>1083.2833765738271</v>
      </c>
      <c r="H1020" s="3"/>
    </row>
    <row r="1021" spans="1:8" x14ac:dyDescent="0.25">
      <c r="A1021" s="2">
        <v>1014</v>
      </c>
      <c r="B1021" s="2">
        <f t="shared" si="38"/>
        <v>2006</v>
      </c>
      <c r="C1021" s="2">
        <f t="shared" si="39"/>
        <v>3</v>
      </c>
      <c r="D1021" s="4">
        <v>38807</v>
      </c>
      <c r="E1021" s="3">
        <v>95.988743796683153</v>
      </c>
      <c r="F1021" s="14">
        <v>1</v>
      </c>
      <c r="G1021" s="3">
        <f>'Monthly CFS'!C1021 * 86400 * DAY(EOMONTH(D1021,0)) / 43560</f>
        <v>1314.2371232294158</v>
      </c>
      <c r="H1021" s="3"/>
    </row>
    <row r="1022" spans="1:8" x14ac:dyDescent="0.25">
      <c r="A1022" s="2">
        <v>1015</v>
      </c>
      <c r="B1022" s="2">
        <f t="shared" si="38"/>
        <v>2006</v>
      </c>
      <c r="C1022" s="2">
        <f t="shared" si="39"/>
        <v>4</v>
      </c>
      <c r="D1022" s="4">
        <v>38837</v>
      </c>
      <c r="E1022" s="3">
        <v>127.84175342511904</v>
      </c>
      <c r="F1022" s="14">
        <v>1</v>
      </c>
      <c r="G1022" s="3">
        <f>'Monthly CFS'!C1022 * 86400 * DAY(EOMONTH(D1022,0)) / 43560</f>
        <v>1561.6876860582602</v>
      </c>
      <c r="H1022" s="3"/>
    </row>
    <row r="1023" spans="1:8" x14ac:dyDescent="0.25">
      <c r="A1023" s="2">
        <v>1016</v>
      </c>
      <c r="B1023" s="2">
        <f t="shared" si="38"/>
        <v>2006</v>
      </c>
      <c r="C1023" s="2">
        <f t="shared" si="39"/>
        <v>5</v>
      </c>
      <c r="D1023" s="4">
        <v>38868</v>
      </c>
      <c r="E1023" s="3">
        <v>173.69722718890347</v>
      </c>
      <c r="F1023" s="14">
        <v>1</v>
      </c>
      <c r="G1023" s="3">
        <f>'Monthly CFS'!C1023 * 86400 * DAY(EOMONTH(D1023,0)) / 43560</f>
        <v>2304.039210664791</v>
      </c>
      <c r="H1023" s="3"/>
    </row>
    <row r="1024" spans="1:8" x14ac:dyDescent="0.25">
      <c r="A1024" s="2">
        <v>1017</v>
      </c>
      <c r="B1024" s="2">
        <f t="shared" si="38"/>
        <v>2006</v>
      </c>
      <c r="C1024" s="2">
        <f t="shared" si="39"/>
        <v>6</v>
      </c>
      <c r="D1024" s="4">
        <v>38898</v>
      </c>
      <c r="E1024" s="3">
        <v>230.63820084858216</v>
      </c>
      <c r="F1024" s="14">
        <v>1</v>
      </c>
      <c r="G1024" s="3">
        <f>'Monthly CFS'!C1024 * 86400 * DAY(EOMONTH(D1024,0)) / 43560</f>
        <v>3029.8940420080662</v>
      </c>
      <c r="H1024" s="3"/>
    </row>
    <row r="1025" spans="1:8" x14ac:dyDescent="0.25">
      <c r="A1025" s="2">
        <v>1018</v>
      </c>
      <c r="B1025" s="2">
        <f t="shared" si="38"/>
        <v>2006</v>
      </c>
      <c r="C1025" s="2">
        <f t="shared" si="39"/>
        <v>7</v>
      </c>
      <c r="D1025" s="4">
        <v>38929</v>
      </c>
      <c r="E1025" s="3">
        <v>271.71188667119026</v>
      </c>
      <c r="F1025" s="14">
        <v>1</v>
      </c>
      <c r="G1025" s="3">
        <f>'Monthly CFS'!C1025 * 86400 * DAY(EOMONTH(D1025,0)) / 43560</f>
        <v>3887.7224194573919</v>
      </c>
      <c r="H1025" s="3"/>
    </row>
    <row r="1026" spans="1:8" x14ac:dyDescent="0.25">
      <c r="A1026" s="2">
        <v>1019</v>
      </c>
      <c r="B1026" s="2">
        <f t="shared" si="38"/>
        <v>2006</v>
      </c>
      <c r="C1026" s="2">
        <f t="shared" si="39"/>
        <v>8</v>
      </c>
      <c r="D1026" s="4">
        <v>38960</v>
      </c>
      <c r="E1026" s="3">
        <v>282.21761897027199</v>
      </c>
      <c r="F1026" s="14">
        <v>1</v>
      </c>
      <c r="G1026" s="3">
        <f>'Monthly CFS'!C1026 * 86400 * DAY(EOMONTH(D1026,0)) / 43560</f>
        <v>4250.6499170690313</v>
      </c>
      <c r="H1026" s="3"/>
    </row>
    <row r="1027" spans="1:8" x14ac:dyDescent="0.25">
      <c r="A1027" s="2">
        <v>1020</v>
      </c>
      <c r="B1027" s="2">
        <f t="shared" si="38"/>
        <v>2006</v>
      </c>
      <c r="C1027" s="2">
        <f t="shared" si="39"/>
        <v>9</v>
      </c>
      <c r="D1027" s="4">
        <v>38990</v>
      </c>
      <c r="E1027" s="3">
        <v>245.18670139121076</v>
      </c>
      <c r="F1027" s="14">
        <v>1</v>
      </c>
      <c r="G1027" s="3">
        <f>'Monthly CFS'!C1027 * 86400 * DAY(EOMONTH(D1027,0)) / 43560</f>
        <v>3585.2828654276959</v>
      </c>
      <c r="H1027" s="3"/>
    </row>
    <row r="1028" spans="1:8" x14ac:dyDescent="0.25">
      <c r="A1028" s="2">
        <v>1021</v>
      </c>
      <c r="B1028" s="2">
        <f t="shared" si="38"/>
        <v>2006</v>
      </c>
      <c r="C1028" s="2">
        <f t="shared" si="39"/>
        <v>10</v>
      </c>
      <c r="D1028" s="4">
        <v>39021</v>
      </c>
      <c r="E1028" s="3">
        <v>208.40764336055318</v>
      </c>
      <c r="F1028" s="14">
        <v>1</v>
      </c>
      <c r="G1028" s="3">
        <f>'Monthly CFS'!C1028 * 86400 * DAY(EOMONTH(D1028,0)) / 43560</f>
        <v>2441.5116681819277</v>
      </c>
      <c r="H1028" s="3"/>
    </row>
    <row r="1029" spans="1:8" x14ac:dyDescent="0.25">
      <c r="A1029" s="2">
        <v>1022</v>
      </c>
      <c r="B1029" s="2">
        <f t="shared" si="38"/>
        <v>2006</v>
      </c>
      <c r="C1029" s="2">
        <f t="shared" si="39"/>
        <v>11</v>
      </c>
      <c r="D1029" s="4">
        <v>39051</v>
      </c>
      <c r="E1029" s="3">
        <v>139.9081154259168</v>
      </c>
      <c r="F1029" s="14">
        <v>1</v>
      </c>
      <c r="G1029" s="3">
        <f>'Monthly CFS'!C1029 * 86400 * DAY(EOMONTH(D1029,0)) / 43560</f>
        <v>1550.6899042060888</v>
      </c>
      <c r="H1029" s="3"/>
    </row>
    <row r="1030" spans="1:8" x14ac:dyDescent="0.25">
      <c r="A1030" s="2">
        <v>1023</v>
      </c>
      <c r="B1030" s="2">
        <f t="shared" si="38"/>
        <v>2006</v>
      </c>
      <c r="C1030" s="2">
        <f t="shared" si="39"/>
        <v>12</v>
      </c>
      <c r="D1030" s="4">
        <v>39082</v>
      </c>
      <c r="E1030" s="3">
        <v>100.09781597436</v>
      </c>
      <c r="F1030" s="14">
        <v>1</v>
      </c>
      <c r="G1030" s="3">
        <f>'Monthly CFS'!C1030 * 86400 * DAY(EOMONTH(D1030,0)) / 43560</f>
        <v>1275.7448662618178</v>
      </c>
      <c r="H1030" s="3"/>
    </row>
    <row r="1031" spans="1:8" x14ac:dyDescent="0.25">
      <c r="A1031" s="2">
        <v>1024</v>
      </c>
      <c r="B1031" s="2">
        <f t="shared" si="38"/>
        <v>2007</v>
      </c>
      <c r="C1031" s="2">
        <f t="shared" si="39"/>
        <v>1</v>
      </c>
      <c r="D1031" s="4">
        <v>39113</v>
      </c>
      <c r="E1031" s="3">
        <v>94.480039683665964</v>
      </c>
      <c r="F1031" s="14">
        <v>1</v>
      </c>
      <c r="G1031" s="3">
        <f>'Monthly CFS'!C1031 * 86400 * DAY(EOMONTH(D1031,0)) / 43560</f>
        <v>968.96007341479503</v>
      </c>
      <c r="H1031" s="3"/>
    </row>
    <row r="1032" spans="1:8" x14ac:dyDescent="0.25">
      <c r="A1032" s="2">
        <v>1025</v>
      </c>
      <c r="B1032" s="2">
        <f t="shared" si="38"/>
        <v>2007</v>
      </c>
      <c r="C1032" s="2">
        <f t="shared" si="39"/>
        <v>2</v>
      </c>
      <c r="D1032" s="4">
        <v>39141</v>
      </c>
      <c r="E1032" s="3">
        <v>108.63618759646828</v>
      </c>
      <c r="F1032" s="14">
        <v>0.83816435433221548</v>
      </c>
      <c r="G1032" s="3">
        <f>'Monthly CFS'!C1032 * 86400 * DAY(EOMONTH(D1032,0)) / 43560</f>
        <v>714.83960694182656</v>
      </c>
      <c r="H1032" s="3"/>
    </row>
    <row r="1033" spans="1:8" x14ac:dyDescent="0.25">
      <c r="A1033" s="2">
        <v>1026</v>
      </c>
      <c r="B1033" s="2">
        <f t="shared" ref="B1033:B1096" si="40">YEAR(D1033)</f>
        <v>2007</v>
      </c>
      <c r="C1033" s="2">
        <f t="shared" ref="C1033:C1096" si="41">MONTH(D1033)</f>
        <v>3</v>
      </c>
      <c r="D1033" s="4">
        <v>39172</v>
      </c>
      <c r="E1033" s="3">
        <v>106.8871682597603</v>
      </c>
      <c r="F1033" s="14">
        <v>0.96354934761563271</v>
      </c>
      <c r="G1033" s="3">
        <f>'Monthly CFS'!C1033 * 86400 * DAY(EOMONTH(D1033,0)) / 43560</f>
        <v>883.85107608619955</v>
      </c>
      <c r="H1033" s="3"/>
    </row>
    <row r="1034" spans="1:8" x14ac:dyDescent="0.25">
      <c r="A1034" s="2">
        <v>1027</v>
      </c>
      <c r="B1034" s="2">
        <f t="shared" si="40"/>
        <v>2007</v>
      </c>
      <c r="C1034" s="2">
        <f t="shared" si="41"/>
        <v>4</v>
      </c>
      <c r="D1034" s="4">
        <v>39202</v>
      </c>
      <c r="E1034" s="3">
        <v>181.23525201198254</v>
      </c>
      <c r="F1034" s="14">
        <v>0.90493913258188541</v>
      </c>
      <c r="G1034" s="3">
        <f>'Monthly CFS'!C1034 * 86400 * DAY(EOMONTH(D1034,0)) / 43560</f>
        <v>1304.8068298663088</v>
      </c>
      <c r="H1034" s="3"/>
    </row>
    <row r="1035" spans="1:8" x14ac:dyDescent="0.25">
      <c r="A1035" s="2">
        <v>1028</v>
      </c>
      <c r="B1035" s="2">
        <f t="shared" si="40"/>
        <v>2007</v>
      </c>
      <c r="C1035" s="2">
        <f t="shared" si="41"/>
        <v>5</v>
      </c>
      <c r="D1035" s="4">
        <v>39233</v>
      </c>
      <c r="E1035" s="3">
        <v>220.07156033713082</v>
      </c>
      <c r="F1035" s="14">
        <v>0.9049391325818853</v>
      </c>
      <c r="G1035" s="3">
        <f>'Monthly CFS'!C1035 * 86400 * DAY(EOMONTH(D1035,0)) / 43560</f>
        <v>1925.0494994573746</v>
      </c>
      <c r="H1035" s="3"/>
    </row>
    <row r="1036" spans="1:8" x14ac:dyDescent="0.25">
      <c r="A1036" s="2">
        <v>1029</v>
      </c>
      <c r="B1036" s="2">
        <f t="shared" si="40"/>
        <v>2007</v>
      </c>
      <c r="C1036" s="2">
        <f t="shared" si="41"/>
        <v>6</v>
      </c>
      <c r="D1036" s="4">
        <v>39263</v>
      </c>
      <c r="E1036" s="3">
        <v>257.70906701703859</v>
      </c>
      <c r="F1036" s="14">
        <v>0.90493913258188552</v>
      </c>
      <c r="G1036" s="3">
        <f>'Monthly CFS'!C1036 * 86400 * DAY(EOMONTH(D1036,0)) / 43560</f>
        <v>2531.5090046985742</v>
      </c>
      <c r="H1036" s="3"/>
    </row>
    <row r="1037" spans="1:8" x14ac:dyDescent="0.25">
      <c r="A1037" s="2">
        <v>1030</v>
      </c>
      <c r="B1037" s="2">
        <f t="shared" si="40"/>
        <v>2007</v>
      </c>
      <c r="C1037" s="2">
        <f t="shared" si="41"/>
        <v>7</v>
      </c>
      <c r="D1037" s="4">
        <v>39294</v>
      </c>
      <c r="E1037" s="3">
        <v>288.24290179325095</v>
      </c>
      <c r="F1037" s="14">
        <v>0.90493913258188541</v>
      </c>
      <c r="G1037" s="3">
        <f>'Monthly CFS'!C1037 * 86400 * DAY(EOMONTH(D1037,0)) / 43560</f>
        <v>3248.2338247387179</v>
      </c>
      <c r="H1037" s="3"/>
    </row>
    <row r="1038" spans="1:8" x14ac:dyDescent="0.25">
      <c r="A1038" s="2">
        <v>1031</v>
      </c>
      <c r="B1038" s="2">
        <f t="shared" si="40"/>
        <v>2007</v>
      </c>
      <c r="C1038" s="2">
        <f t="shared" si="41"/>
        <v>8</v>
      </c>
      <c r="D1038" s="4">
        <v>39325</v>
      </c>
      <c r="E1038" s="3">
        <v>279.99483921206041</v>
      </c>
      <c r="F1038" s="14">
        <v>0.90493913258188541</v>
      </c>
      <c r="G1038" s="3">
        <f>'Monthly CFS'!C1038 * 86400 * DAY(EOMONTH(D1038,0)) / 43560</f>
        <v>3551.4636458210666</v>
      </c>
      <c r="H1038" s="3"/>
    </row>
    <row r="1039" spans="1:8" x14ac:dyDescent="0.25">
      <c r="A1039" s="2">
        <v>1032</v>
      </c>
      <c r="B1039" s="2">
        <f t="shared" si="40"/>
        <v>2007</v>
      </c>
      <c r="C1039" s="2">
        <f t="shared" si="41"/>
        <v>9</v>
      </c>
      <c r="D1039" s="4">
        <v>39355</v>
      </c>
      <c r="E1039" s="3">
        <v>253.56663201676474</v>
      </c>
      <c r="F1039" s="14">
        <v>0.90493913258188541</v>
      </c>
      <c r="G1039" s="3">
        <f>'Monthly CFS'!C1039 * 86400 * DAY(EOMONTH(D1039,0)) / 43560</f>
        <v>2995.5423299906779</v>
      </c>
      <c r="H1039" s="3"/>
    </row>
    <row r="1040" spans="1:8" x14ac:dyDescent="0.25">
      <c r="A1040" s="2">
        <v>1033</v>
      </c>
      <c r="B1040" s="2">
        <f t="shared" si="40"/>
        <v>2007</v>
      </c>
      <c r="C1040" s="2">
        <f t="shared" si="41"/>
        <v>10</v>
      </c>
      <c r="D1040" s="4">
        <v>39386</v>
      </c>
      <c r="E1040" s="3">
        <v>216.07475469170527</v>
      </c>
      <c r="F1040" s="14">
        <v>0.9049391325818853</v>
      </c>
      <c r="G1040" s="3">
        <f>'Monthly CFS'!C1040 * 86400 * DAY(EOMONTH(D1040,0)) / 43560</f>
        <v>2039.9092137832349</v>
      </c>
      <c r="H1040" s="3"/>
    </row>
    <row r="1041" spans="1:8" x14ac:dyDescent="0.25">
      <c r="A1041" s="2">
        <v>1034</v>
      </c>
      <c r="B1041" s="2">
        <f t="shared" si="40"/>
        <v>2007</v>
      </c>
      <c r="C1041" s="2">
        <f t="shared" si="41"/>
        <v>11</v>
      </c>
      <c r="D1041" s="4">
        <v>39416</v>
      </c>
      <c r="E1041" s="3">
        <v>174.85540601156069</v>
      </c>
      <c r="F1041" s="14">
        <v>0.90493913258188541</v>
      </c>
      <c r="G1041" s="3">
        <f>'Monthly CFS'!C1041 * 86400 * DAY(EOMONTH(D1041,0)) / 43560</f>
        <v>1295.6180650433544</v>
      </c>
      <c r="H1041" s="3"/>
    </row>
    <row r="1042" spans="1:8" x14ac:dyDescent="0.25">
      <c r="A1042" s="2">
        <v>1035</v>
      </c>
      <c r="B1042" s="2">
        <f t="shared" si="40"/>
        <v>2007</v>
      </c>
      <c r="C1042" s="2">
        <f t="shared" si="41"/>
        <v>12</v>
      </c>
      <c r="D1042" s="4">
        <v>39447</v>
      </c>
      <c r="E1042" s="3">
        <v>153.1868782359345</v>
      </c>
      <c r="F1042" s="14">
        <v>0.90493913258188563</v>
      </c>
      <c r="G1042" s="3">
        <f>'Monthly CFS'!C1042 * 86400 * DAY(EOMONTH(D1042,0)) / 43560</f>
        <v>1065.8985336990106</v>
      </c>
      <c r="H1042" s="3"/>
    </row>
    <row r="1043" spans="1:8" x14ac:dyDescent="0.25">
      <c r="A1043" s="2">
        <v>1036</v>
      </c>
      <c r="B1043" s="2">
        <f t="shared" si="40"/>
        <v>2008</v>
      </c>
      <c r="C1043" s="2">
        <f t="shared" si="41"/>
        <v>1</v>
      </c>
      <c r="D1043" s="4">
        <v>39478</v>
      </c>
      <c r="E1043" s="3">
        <v>148.33069936464571</v>
      </c>
      <c r="F1043" s="14">
        <v>0.90493913258188563</v>
      </c>
      <c r="G1043" s="3">
        <f>'Monthly CFS'!C1043 * 86400 * DAY(EOMONTH(D1043,0)) / 43560</f>
        <v>133.67826149478657</v>
      </c>
      <c r="H1043" s="3"/>
    </row>
    <row r="1044" spans="1:8" x14ac:dyDescent="0.25">
      <c r="A1044" s="2">
        <v>1037</v>
      </c>
      <c r="B1044" s="2">
        <f t="shared" si="40"/>
        <v>2008</v>
      </c>
      <c r="C1044" s="2">
        <f t="shared" si="41"/>
        <v>2</v>
      </c>
      <c r="D1044" s="4">
        <v>39507</v>
      </c>
      <c r="E1044" s="3">
        <v>140.67770845757687</v>
      </c>
      <c r="F1044" s="14">
        <v>0.75000000000000011</v>
      </c>
      <c r="G1044" s="3">
        <f>'Monthly CFS'!C1044 * 86400 * DAY(EOMONTH(D1044,0)) / 43560</f>
        <v>119.16117142312106</v>
      </c>
      <c r="H1044" s="3"/>
    </row>
    <row r="1045" spans="1:8" x14ac:dyDescent="0.25">
      <c r="A1045" s="2">
        <v>1038</v>
      </c>
      <c r="B1045" s="2">
        <f t="shared" si="40"/>
        <v>2008</v>
      </c>
      <c r="C1045" s="2">
        <f t="shared" si="41"/>
        <v>3</v>
      </c>
      <c r="D1045" s="4">
        <v>39538</v>
      </c>
      <c r="E1045" s="3">
        <v>123.59371307269296</v>
      </c>
      <c r="F1045" s="14">
        <v>0.74985472492239169</v>
      </c>
      <c r="G1045" s="3">
        <f>'Monthly CFS'!C1045 * 86400 * DAY(EOMONTH(D1045,0)) / 43560</f>
        <v>181.64354949518889</v>
      </c>
      <c r="H1045" s="3"/>
    </row>
    <row r="1046" spans="1:8" x14ac:dyDescent="0.25">
      <c r="A1046" s="2">
        <v>1039</v>
      </c>
      <c r="B1046" s="2">
        <f t="shared" si="40"/>
        <v>2008</v>
      </c>
      <c r="C1046" s="2">
        <f t="shared" si="41"/>
        <v>4</v>
      </c>
      <c r="D1046" s="4">
        <v>39568</v>
      </c>
      <c r="E1046" s="3">
        <v>181.23525201198254</v>
      </c>
      <c r="F1046" s="14">
        <v>0.75</v>
      </c>
      <c r="G1046" s="3">
        <f>'Monthly CFS'!C1046 * 86400 * DAY(EOMONTH(D1046,0)) / 43560</f>
        <v>258.66771294949086</v>
      </c>
      <c r="H1046" s="3"/>
    </row>
    <row r="1047" spans="1:8" x14ac:dyDescent="0.25">
      <c r="A1047" s="2">
        <v>1040</v>
      </c>
      <c r="B1047" s="2">
        <f t="shared" si="40"/>
        <v>2008</v>
      </c>
      <c r="C1047" s="2">
        <f t="shared" si="41"/>
        <v>5</v>
      </c>
      <c r="D1047" s="4">
        <v>39599</v>
      </c>
      <c r="E1047" s="3">
        <v>239.89165958575308</v>
      </c>
      <c r="F1047" s="14">
        <v>0.75</v>
      </c>
      <c r="G1047" s="3">
        <f>'Monthly CFS'!C1047 * 86400 * DAY(EOMONTH(D1047,0)) / 43560</f>
        <v>381.62595408105074</v>
      </c>
      <c r="H1047" s="3"/>
    </row>
    <row r="1048" spans="1:8" x14ac:dyDescent="0.25">
      <c r="A1048" s="2">
        <v>1041</v>
      </c>
      <c r="B1048" s="2">
        <f t="shared" si="40"/>
        <v>2008</v>
      </c>
      <c r="C1048" s="2">
        <f t="shared" si="41"/>
        <v>6</v>
      </c>
      <c r="D1048" s="4">
        <v>39629</v>
      </c>
      <c r="E1048" s="3">
        <v>275.36306112931697</v>
      </c>
      <c r="F1048" s="14">
        <v>0.75</v>
      </c>
      <c r="G1048" s="3">
        <f>'Monthly CFS'!C1048 * 86400 * DAY(EOMONTH(D1048,0)) / 43560</f>
        <v>501.85179106053198</v>
      </c>
      <c r="H1048" s="3"/>
    </row>
    <row r="1049" spans="1:8" x14ac:dyDescent="0.25">
      <c r="A1049" s="2">
        <v>1042</v>
      </c>
      <c r="B1049" s="2">
        <f t="shared" si="40"/>
        <v>2008</v>
      </c>
      <c r="C1049" s="2">
        <f t="shared" si="41"/>
        <v>7</v>
      </c>
      <c r="D1049" s="4">
        <v>39660</v>
      </c>
      <c r="E1049" s="3">
        <v>287.21574840608628</v>
      </c>
      <c r="F1049" s="14">
        <v>0.75</v>
      </c>
      <c r="G1049" s="3">
        <f>'Monthly CFS'!C1049 * 86400 * DAY(EOMONTH(D1049,0)) / 43560</f>
        <v>643.93686125664306</v>
      </c>
      <c r="H1049" s="3"/>
    </row>
    <row r="1050" spans="1:8" x14ac:dyDescent="0.25">
      <c r="A1050" s="2">
        <v>1043</v>
      </c>
      <c r="B1050" s="2">
        <f t="shared" si="40"/>
        <v>2008</v>
      </c>
      <c r="C1050" s="2">
        <f t="shared" si="41"/>
        <v>8</v>
      </c>
      <c r="D1050" s="4">
        <v>39691</v>
      </c>
      <c r="E1050" s="3">
        <v>278.99732431952134</v>
      </c>
      <c r="F1050" s="14">
        <v>0.75000000000000011</v>
      </c>
      <c r="G1050" s="3">
        <f>'Monthly CFS'!C1050 * 86400 * DAY(EOMONTH(D1050,0)) / 43560</f>
        <v>704.0497933183882</v>
      </c>
      <c r="H1050" s="3"/>
    </row>
    <row r="1051" spans="1:8" x14ac:dyDescent="0.25">
      <c r="A1051" s="2">
        <v>1044</v>
      </c>
      <c r="B1051" s="2">
        <f t="shared" si="40"/>
        <v>2008</v>
      </c>
      <c r="C1051" s="2">
        <f t="shared" si="41"/>
        <v>9</v>
      </c>
      <c r="D1051" s="4">
        <v>39721</v>
      </c>
      <c r="E1051" s="3">
        <v>254.31992423903674</v>
      </c>
      <c r="F1051" s="14">
        <v>0.75</v>
      </c>
      <c r="G1051" s="3">
        <f>'Monthly CFS'!C1051 * 86400 * DAY(EOMONTH(D1051,0)) / 43560</f>
        <v>593.84275572919023</v>
      </c>
      <c r="H1051" s="3"/>
    </row>
    <row r="1052" spans="1:8" x14ac:dyDescent="0.25">
      <c r="A1052" s="2">
        <v>1045</v>
      </c>
      <c r="B1052" s="2">
        <f t="shared" si="40"/>
        <v>2008</v>
      </c>
      <c r="C1052" s="2">
        <f t="shared" si="41"/>
        <v>10</v>
      </c>
      <c r="D1052" s="4">
        <v>39752</v>
      </c>
      <c r="E1052" s="3">
        <v>214.84262990667759</v>
      </c>
      <c r="F1052" s="14">
        <v>0.75</v>
      </c>
      <c r="G1052" s="3">
        <f>'Monthly CFS'!C1052 * 86400 * DAY(EOMONTH(D1052,0)) / 43560</f>
        <v>404.39599094370737</v>
      </c>
      <c r="H1052" s="3"/>
    </row>
    <row r="1053" spans="1:8" x14ac:dyDescent="0.25">
      <c r="A1053" s="2">
        <v>1046</v>
      </c>
      <c r="B1053" s="2">
        <f t="shared" si="40"/>
        <v>2008</v>
      </c>
      <c r="C1053" s="2">
        <f t="shared" si="41"/>
        <v>11</v>
      </c>
      <c r="D1053" s="4">
        <v>39782</v>
      </c>
      <c r="E1053" s="3">
        <v>177.10611356726508</v>
      </c>
      <c r="F1053" s="14">
        <v>0.75</v>
      </c>
      <c r="G1053" s="3">
        <f>'Monthly CFS'!C1053 * 86400 * DAY(EOMONTH(D1053,0)) / 43560</f>
        <v>256.84611244343904</v>
      </c>
      <c r="H1053" s="3"/>
    </row>
    <row r="1054" spans="1:8" x14ac:dyDescent="0.25">
      <c r="A1054" s="2">
        <v>1047</v>
      </c>
      <c r="B1054" s="2">
        <f t="shared" si="40"/>
        <v>2008</v>
      </c>
      <c r="C1054" s="2">
        <f t="shared" si="41"/>
        <v>12</v>
      </c>
      <c r="D1054" s="4">
        <v>39813</v>
      </c>
      <c r="E1054" s="3">
        <v>161.98826861286051</v>
      </c>
      <c r="F1054" s="14">
        <v>0.74999999999999989</v>
      </c>
      <c r="G1054" s="3">
        <f>'Monthly CFS'!C1054 * 86400 * DAY(EOMONTH(D1054,0)) / 43560</f>
        <v>211.30601836011897</v>
      </c>
      <c r="H1054" s="3"/>
    </row>
    <row r="1055" spans="1:8" x14ac:dyDescent="0.25">
      <c r="A1055" s="2">
        <v>1048</v>
      </c>
      <c r="B1055" s="2">
        <f t="shared" si="40"/>
        <v>2009</v>
      </c>
      <c r="C1055" s="2">
        <f t="shared" si="41"/>
        <v>1</v>
      </c>
      <c r="D1055" s="4">
        <v>39844</v>
      </c>
      <c r="E1055" s="3">
        <v>157.69227420397431</v>
      </c>
      <c r="F1055" s="14">
        <v>0.75000000000000011</v>
      </c>
      <c r="G1055" s="3">
        <f>'Monthly CFS'!C1055 * 86400 * DAY(EOMONTH(D1055,0)) / 43560</f>
        <v>133.67826149478657</v>
      </c>
      <c r="H1055" s="3"/>
    </row>
    <row r="1056" spans="1:8" x14ac:dyDescent="0.25">
      <c r="A1056" s="2">
        <v>1049</v>
      </c>
      <c r="B1056" s="2">
        <f t="shared" si="40"/>
        <v>2009</v>
      </c>
      <c r="C1056" s="2">
        <f t="shared" si="41"/>
        <v>2</v>
      </c>
      <c r="D1056" s="4">
        <v>39872</v>
      </c>
      <c r="E1056" s="3">
        <v>173.743928821011</v>
      </c>
      <c r="F1056" s="14">
        <v>0.5</v>
      </c>
      <c r="G1056" s="3">
        <f>'Monthly CFS'!C1056 * 86400 * DAY(EOMONTH(D1056,0)) / 43560</f>
        <v>119.16117142312106</v>
      </c>
      <c r="H1056" s="3"/>
    </row>
    <row r="1057" spans="1:8" x14ac:dyDescent="0.25">
      <c r="A1057" s="2">
        <v>1050</v>
      </c>
      <c r="B1057" s="2">
        <f t="shared" si="40"/>
        <v>2009</v>
      </c>
      <c r="C1057" s="2">
        <f t="shared" si="41"/>
        <v>3</v>
      </c>
      <c r="D1057" s="4">
        <v>39903</v>
      </c>
      <c r="E1057" s="3">
        <v>123.59371307269362</v>
      </c>
      <c r="F1057" s="14">
        <v>0.5</v>
      </c>
      <c r="G1057" s="3">
        <f>'Monthly CFS'!C1057 * 86400 * DAY(EOMONTH(D1057,0)) / 43560</f>
        <v>282.91239626512885</v>
      </c>
      <c r="H1057" s="3"/>
    </row>
    <row r="1058" spans="1:8" x14ac:dyDescent="0.25">
      <c r="A1058" s="2">
        <v>1051</v>
      </c>
      <c r="B1058" s="2">
        <f t="shared" si="40"/>
        <v>2009</v>
      </c>
      <c r="C1058" s="2">
        <f t="shared" si="41"/>
        <v>4</v>
      </c>
      <c r="D1058" s="4">
        <v>39933</v>
      </c>
      <c r="E1058" s="3">
        <v>181.23525201198251</v>
      </c>
      <c r="F1058" s="14">
        <v>0.90754879209865313</v>
      </c>
      <c r="G1058" s="3">
        <f>'Monthly CFS'!C1058 * 86400 * DAY(EOMONTH(D1058,0)) / 43560</f>
        <v>1063.8266529130815</v>
      </c>
      <c r="H1058" s="3"/>
    </row>
    <row r="1059" spans="1:8" x14ac:dyDescent="0.25">
      <c r="A1059" s="2">
        <v>1052</v>
      </c>
      <c r="B1059" s="2">
        <f t="shared" si="40"/>
        <v>2009</v>
      </c>
      <c r="C1059" s="2">
        <f t="shared" si="41"/>
        <v>5</v>
      </c>
      <c r="D1059" s="4">
        <v>39964</v>
      </c>
      <c r="E1059" s="3">
        <v>220.07156033713082</v>
      </c>
      <c r="F1059" s="14">
        <v>0.86168263289626923</v>
      </c>
      <c r="G1059" s="3">
        <f>'Monthly CFS'!C1059 * 86400 * DAY(EOMONTH(D1059,0)) / 43560</f>
        <v>1569.5188887918175</v>
      </c>
      <c r="H1059" s="3"/>
    </row>
    <row r="1060" spans="1:8" x14ac:dyDescent="0.25">
      <c r="A1060" s="2">
        <v>1053</v>
      </c>
      <c r="B1060" s="2">
        <f t="shared" si="40"/>
        <v>2009</v>
      </c>
      <c r="C1060" s="2">
        <f t="shared" si="41"/>
        <v>6</v>
      </c>
      <c r="D1060" s="4">
        <v>39994</v>
      </c>
      <c r="E1060" s="3">
        <v>257.70906701703865</v>
      </c>
      <c r="F1060" s="14">
        <v>0.86168263289626923</v>
      </c>
      <c r="G1060" s="3">
        <f>'Monthly CFS'!C1060 * 86400 * DAY(EOMONTH(D1060,0)) / 43560</f>
        <v>2063.9735243903865</v>
      </c>
      <c r="H1060" s="3"/>
    </row>
    <row r="1061" spans="1:8" x14ac:dyDescent="0.25">
      <c r="A1061" s="2">
        <v>1054</v>
      </c>
      <c r="B1061" s="2">
        <f t="shared" si="40"/>
        <v>2009</v>
      </c>
      <c r="C1061" s="2">
        <f t="shared" si="41"/>
        <v>7</v>
      </c>
      <c r="D1061" s="4">
        <v>40025</v>
      </c>
      <c r="E1061" s="3">
        <v>288.24290179325095</v>
      </c>
      <c r="F1061" s="14">
        <v>0.86168263289626912</v>
      </c>
      <c r="G1061" s="3">
        <f>'Monthly CFS'!C1061 * 86400 * DAY(EOMONTH(D1061,0)) / 43560</f>
        <v>2648.3289622302987</v>
      </c>
      <c r="H1061" s="3"/>
    </row>
    <row r="1062" spans="1:8" x14ac:dyDescent="0.25">
      <c r="A1062" s="2">
        <v>1055</v>
      </c>
      <c r="B1062" s="2">
        <f t="shared" si="40"/>
        <v>2009</v>
      </c>
      <c r="C1062" s="2">
        <f t="shared" si="41"/>
        <v>8</v>
      </c>
      <c r="D1062" s="4">
        <v>40056</v>
      </c>
      <c r="E1062" s="3">
        <v>279.99483921206041</v>
      </c>
      <c r="F1062" s="14">
        <v>0.86168263289626923</v>
      </c>
      <c r="G1062" s="3">
        <f>'Monthly CFS'!C1062 * 86400 * DAY(EOMONTH(D1062,0)) / 43560</f>
        <v>2895.5563358473723</v>
      </c>
      <c r="H1062" s="3"/>
    </row>
    <row r="1063" spans="1:8" x14ac:dyDescent="0.25">
      <c r="A1063" s="2">
        <v>1056</v>
      </c>
      <c r="B1063" s="2">
        <f t="shared" si="40"/>
        <v>2009</v>
      </c>
      <c r="C1063" s="2">
        <f t="shared" si="41"/>
        <v>9</v>
      </c>
      <c r="D1063" s="4">
        <v>40086</v>
      </c>
      <c r="E1063" s="3">
        <v>253.56663201676474</v>
      </c>
      <c r="F1063" s="14">
        <v>0.86168263289626923</v>
      </c>
      <c r="G1063" s="3">
        <f>'Monthly CFS'!C1063 * 86400 * DAY(EOMONTH(D1063,0)) / 43560</f>
        <v>2442.3061694886669</v>
      </c>
      <c r="H1063" s="3"/>
    </row>
    <row r="1064" spans="1:8" x14ac:dyDescent="0.25">
      <c r="A1064" s="2">
        <v>1057</v>
      </c>
      <c r="B1064" s="2">
        <f t="shared" si="40"/>
        <v>2009</v>
      </c>
      <c r="C1064" s="2">
        <f t="shared" si="41"/>
        <v>10</v>
      </c>
      <c r="D1064" s="4">
        <v>40117</v>
      </c>
      <c r="E1064" s="3">
        <v>216.07475469170529</v>
      </c>
      <c r="F1064" s="14">
        <v>0.86168263289626934</v>
      </c>
      <c r="G1064" s="3">
        <f>'Monthly CFS'!C1064 * 86400 * DAY(EOMONTH(D1064,0)) / 43560</f>
        <v>1663.1655670961857</v>
      </c>
      <c r="H1064" s="3"/>
    </row>
    <row r="1065" spans="1:8" x14ac:dyDescent="0.25">
      <c r="A1065" s="2">
        <v>1058</v>
      </c>
      <c r="B1065" s="2">
        <f t="shared" si="40"/>
        <v>2009</v>
      </c>
      <c r="C1065" s="2">
        <f t="shared" si="41"/>
        <v>11</v>
      </c>
      <c r="D1065" s="4">
        <v>40147</v>
      </c>
      <c r="E1065" s="3">
        <v>174.85540601156069</v>
      </c>
      <c r="F1065" s="14">
        <v>0.86168263289626923</v>
      </c>
      <c r="G1065" s="3">
        <f>'Monthly CFS'!C1065 * 86400 * DAY(EOMONTH(D1065,0)) / 43560</f>
        <v>1056.3349286959351</v>
      </c>
      <c r="H1065" s="3"/>
    </row>
    <row r="1066" spans="1:8" x14ac:dyDescent="0.25">
      <c r="A1066" s="2">
        <v>1059</v>
      </c>
      <c r="B1066" s="2">
        <f t="shared" si="40"/>
        <v>2009</v>
      </c>
      <c r="C1066" s="2">
        <f t="shared" si="41"/>
        <v>12</v>
      </c>
      <c r="D1066" s="4">
        <v>40178</v>
      </c>
      <c r="E1066" s="3">
        <v>153.1868782359345</v>
      </c>
      <c r="F1066" s="14">
        <v>0.86168263289626934</v>
      </c>
      <c r="G1066" s="3">
        <f>'Monthly CFS'!C1066 * 86400 * DAY(EOMONTH(D1066,0)) / 43560</f>
        <v>869.04148836051388</v>
      </c>
      <c r="H1066" s="3"/>
    </row>
    <row r="1067" spans="1:8" x14ac:dyDescent="0.25">
      <c r="A1067" s="2">
        <v>1060</v>
      </c>
      <c r="B1067" s="2">
        <f t="shared" si="40"/>
        <v>2010</v>
      </c>
      <c r="C1067" s="2">
        <f t="shared" si="41"/>
        <v>1</v>
      </c>
      <c r="D1067" s="4">
        <v>40209</v>
      </c>
      <c r="E1067" s="3">
        <v>148.33069936464571</v>
      </c>
      <c r="F1067" s="14">
        <v>0.86168263289626923</v>
      </c>
      <c r="G1067" s="3">
        <f>'Monthly CFS'!C1067 * 86400 * DAY(EOMONTH(D1067,0)) / 43560</f>
        <v>133.6782614947866</v>
      </c>
      <c r="H1067" s="3"/>
    </row>
    <row r="1068" spans="1:8" x14ac:dyDescent="0.25">
      <c r="A1068" s="2">
        <v>1061</v>
      </c>
      <c r="B1068" s="2">
        <f t="shared" si="40"/>
        <v>2010</v>
      </c>
      <c r="C1068" s="2">
        <f t="shared" si="41"/>
        <v>2</v>
      </c>
      <c r="D1068" s="4">
        <v>40237</v>
      </c>
      <c r="E1068" s="3">
        <v>145.70191233106175</v>
      </c>
      <c r="F1068" s="14">
        <v>0.85334289986826073</v>
      </c>
      <c r="G1068" s="3">
        <f>'Monthly CFS'!C1068 * 86400 * DAY(EOMONTH(D1068,0)) / 43560</f>
        <v>176.18707179624468</v>
      </c>
      <c r="H1068" s="3"/>
    </row>
    <row r="1069" spans="1:8" x14ac:dyDescent="0.25">
      <c r="A1069" s="2">
        <v>1062</v>
      </c>
      <c r="B1069" s="2">
        <f t="shared" si="40"/>
        <v>2010</v>
      </c>
      <c r="C1069" s="2">
        <f t="shared" si="41"/>
        <v>3</v>
      </c>
      <c r="D1069" s="4">
        <v>40268</v>
      </c>
      <c r="E1069" s="3">
        <v>123.59371307269303</v>
      </c>
      <c r="F1069" s="14">
        <v>0.81283933928062668</v>
      </c>
      <c r="G1069" s="3">
        <f>'Monthly CFS'!C1069 * 86400 * DAY(EOMONTH(D1069,0)) / 43560</f>
        <v>228.99952204820957</v>
      </c>
      <c r="H1069" s="3"/>
    </row>
    <row r="1070" spans="1:8" x14ac:dyDescent="0.25">
      <c r="A1070" s="2">
        <v>1063</v>
      </c>
      <c r="B1070" s="2">
        <f t="shared" si="40"/>
        <v>2010</v>
      </c>
      <c r="C1070" s="2">
        <f t="shared" si="41"/>
        <v>4</v>
      </c>
      <c r="D1070" s="4">
        <v>40298</v>
      </c>
      <c r="E1070" s="3">
        <v>181.23525201198254</v>
      </c>
      <c r="F1070" s="14">
        <v>0.99999999999999989</v>
      </c>
      <c r="G1070" s="3">
        <f>'Monthly CFS'!C1070 * 86400 * DAY(EOMONTH(D1070,0)) / 43560</f>
        <v>977.10144638772272</v>
      </c>
      <c r="H1070" s="3"/>
    </row>
    <row r="1071" spans="1:8" x14ac:dyDescent="0.25">
      <c r="A1071" s="2">
        <v>1064</v>
      </c>
      <c r="B1071" s="2">
        <f t="shared" si="40"/>
        <v>2010</v>
      </c>
      <c r="C1071" s="2">
        <f t="shared" si="41"/>
        <v>5</v>
      </c>
      <c r="D1071" s="4">
        <v>40329</v>
      </c>
      <c r="E1071" s="3">
        <v>189.91672423298661</v>
      </c>
      <c r="F1071" s="14">
        <v>1</v>
      </c>
      <c r="G1071" s="3">
        <f>'Monthly CFS'!C1071 * 86400 * DAY(EOMONTH(D1071,0)) / 43560</f>
        <v>1573.187109243735</v>
      </c>
      <c r="H1071" s="3"/>
    </row>
    <row r="1072" spans="1:8" x14ac:dyDescent="0.25">
      <c r="A1072" s="2">
        <v>1065</v>
      </c>
      <c r="B1072" s="2">
        <f t="shared" si="40"/>
        <v>2010</v>
      </c>
      <c r="C1072" s="2">
        <f t="shared" si="41"/>
        <v>6</v>
      </c>
      <c r="D1072" s="4">
        <v>40359</v>
      </c>
      <c r="E1072" s="3">
        <v>249.94227532208069</v>
      </c>
      <c r="F1072" s="14">
        <v>1</v>
      </c>
      <c r="G1072" s="3">
        <f>'Monthly CFS'!C1072 * 86400 * DAY(EOMONTH(D1072,0)) / 43560</f>
        <v>2068.7973655995938</v>
      </c>
      <c r="H1072" s="3"/>
    </row>
    <row r="1073" spans="1:8" x14ac:dyDescent="0.25">
      <c r="A1073" s="2">
        <v>1066</v>
      </c>
      <c r="B1073" s="2">
        <f t="shared" si="40"/>
        <v>2010</v>
      </c>
      <c r="C1073" s="2">
        <f t="shared" si="41"/>
        <v>7</v>
      </c>
      <c r="D1073" s="4">
        <v>40390</v>
      </c>
      <c r="E1073" s="3">
        <v>278.83348316359661</v>
      </c>
      <c r="F1073" s="14">
        <v>1</v>
      </c>
      <c r="G1073" s="3">
        <f>'Monthly CFS'!C1073 * 86400 * DAY(EOMONTH(D1073,0)) / 43560</f>
        <v>2654.5185369668839</v>
      </c>
      <c r="H1073" s="3"/>
    </row>
    <row r="1074" spans="1:8" x14ac:dyDescent="0.25">
      <c r="A1074" s="2">
        <v>1067</v>
      </c>
      <c r="B1074" s="2">
        <f t="shared" si="40"/>
        <v>2010</v>
      </c>
      <c r="C1074" s="2">
        <f t="shared" si="41"/>
        <v>8</v>
      </c>
      <c r="D1074" s="4">
        <v>40421</v>
      </c>
      <c r="E1074" s="3">
        <v>281.64601106700837</v>
      </c>
      <c r="F1074" s="14">
        <v>1</v>
      </c>
      <c r="G1074" s="3">
        <f>'Monthly CFS'!C1074 * 86400 * DAY(EOMONTH(D1074,0)) / 43560</f>
        <v>2902.3237210930583</v>
      </c>
      <c r="H1074" s="3"/>
    </row>
    <row r="1075" spans="1:8" x14ac:dyDescent="0.25">
      <c r="A1075" s="2">
        <v>1068</v>
      </c>
      <c r="B1075" s="2">
        <f t="shared" si="40"/>
        <v>2010</v>
      </c>
      <c r="C1075" s="2">
        <f t="shared" si="41"/>
        <v>9</v>
      </c>
      <c r="D1075" s="4">
        <v>40451</v>
      </c>
      <c r="E1075" s="3">
        <v>247.80503551638381</v>
      </c>
      <c r="F1075" s="14">
        <v>1</v>
      </c>
      <c r="G1075" s="3">
        <f>'Monthly CFS'!C1075 * 86400 * DAY(EOMONTH(D1075,0)) / 43560</f>
        <v>2448.0142355111543</v>
      </c>
      <c r="H1075" s="3"/>
    </row>
    <row r="1076" spans="1:8" x14ac:dyDescent="0.25">
      <c r="A1076" s="2">
        <v>1069</v>
      </c>
      <c r="B1076" s="2">
        <f t="shared" si="40"/>
        <v>2010</v>
      </c>
      <c r="C1076" s="2">
        <f t="shared" si="41"/>
        <v>10</v>
      </c>
      <c r="D1076" s="4">
        <v>40482</v>
      </c>
      <c r="E1076" s="3">
        <v>213.68325149262247</v>
      </c>
      <c r="F1076" s="14">
        <v>1</v>
      </c>
      <c r="G1076" s="3">
        <f>'Monthly CFS'!C1076 * 86400 * DAY(EOMONTH(D1076,0)) / 43560</f>
        <v>1667.052655038684</v>
      </c>
      <c r="H1076" s="3"/>
    </row>
    <row r="1077" spans="1:8" x14ac:dyDescent="0.25">
      <c r="A1077" s="2">
        <v>1070</v>
      </c>
      <c r="B1077" s="2">
        <f t="shared" si="40"/>
        <v>2010</v>
      </c>
      <c r="C1077" s="2">
        <f t="shared" si="41"/>
        <v>11</v>
      </c>
      <c r="D1077" s="4">
        <v>40512</v>
      </c>
      <c r="E1077" s="3">
        <v>158.89264570494973</v>
      </c>
      <c r="F1077" s="14">
        <v>1</v>
      </c>
      <c r="G1077" s="3">
        <f>'Monthly CFS'!C1077 * 86400 * DAY(EOMONTH(D1077,0)) / 43560</f>
        <v>1058.8037549185365</v>
      </c>
      <c r="H1077" s="3"/>
    </row>
    <row r="1078" spans="1:8" x14ac:dyDescent="0.25">
      <c r="A1078" s="2">
        <v>1071</v>
      </c>
      <c r="B1078" s="2">
        <f t="shared" si="40"/>
        <v>2010</v>
      </c>
      <c r="C1078" s="2">
        <f t="shared" si="41"/>
        <v>12</v>
      </c>
      <c r="D1078" s="4">
        <v>40543</v>
      </c>
      <c r="E1078" s="3">
        <v>140.7197017834973</v>
      </c>
      <c r="F1078" s="14">
        <v>1</v>
      </c>
      <c r="G1078" s="3">
        <f>'Monthly CFS'!C1078 * 86400 * DAY(EOMONTH(D1078,0)) / 43560</f>
        <v>871.0725794062696</v>
      </c>
      <c r="H1078" s="3"/>
    </row>
    <row r="1079" spans="1:8" x14ac:dyDescent="0.25">
      <c r="A1079" s="2">
        <v>1072</v>
      </c>
      <c r="B1079" s="2">
        <f t="shared" si="40"/>
        <v>2011</v>
      </c>
      <c r="C1079" s="2">
        <f t="shared" si="41"/>
        <v>1</v>
      </c>
      <c r="D1079" s="4">
        <v>40574</v>
      </c>
      <c r="E1079" s="3">
        <v>120.71654124454039</v>
      </c>
      <c r="F1079" s="14">
        <v>1</v>
      </c>
      <c r="G1079" s="3">
        <f>'Monthly CFS'!C1079 * 86400 * DAY(EOMONTH(D1079,0)) / 43560</f>
        <v>1215.256922679878</v>
      </c>
      <c r="H1079" s="3"/>
    </row>
    <row r="1080" spans="1:8" x14ac:dyDescent="0.25">
      <c r="A1080" s="2">
        <v>1073</v>
      </c>
      <c r="B1080" s="2">
        <f t="shared" si="40"/>
        <v>2011</v>
      </c>
      <c r="C1080" s="2">
        <f t="shared" si="41"/>
        <v>2</v>
      </c>
      <c r="D1080" s="4">
        <v>40602</v>
      </c>
      <c r="E1080" s="3">
        <v>114.45563578137684</v>
      </c>
      <c r="F1080" s="14">
        <v>1</v>
      </c>
      <c r="G1080" s="3">
        <f>'Monthly CFS'!C1080 * 86400 * DAY(EOMONTH(D1080,0)) / 43560</f>
        <v>1083.2833765738274</v>
      </c>
      <c r="H1080" s="3"/>
    </row>
    <row r="1081" spans="1:8" x14ac:dyDescent="0.25">
      <c r="A1081" s="2">
        <v>1074</v>
      </c>
      <c r="B1081" s="2">
        <f t="shared" si="40"/>
        <v>2011</v>
      </c>
      <c r="C1081" s="2">
        <f t="shared" si="41"/>
        <v>3</v>
      </c>
      <c r="D1081" s="4">
        <v>40633</v>
      </c>
      <c r="E1081" s="3">
        <v>96.914806888135658</v>
      </c>
      <c r="F1081" s="14">
        <v>1</v>
      </c>
      <c r="G1081" s="3">
        <f>'Monthly CFS'!C1081 * 86400 * DAY(EOMONTH(D1081,0)) / 43560</f>
        <v>1314.2371232294149</v>
      </c>
      <c r="H1081" s="3"/>
    </row>
    <row r="1082" spans="1:8" x14ac:dyDescent="0.25">
      <c r="A1082" s="2">
        <v>1075</v>
      </c>
      <c r="B1082" s="2">
        <f t="shared" si="40"/>
        <v>2011</v>
      </c>
      <c r="C1082" s="2">
        <f t="shared" si="41"/>
        <v>4</v>
      </c>
      <c r="D1082" s="4">
        <v>40663</v>
      </c>
      <c r="E1082" s="3">
        <v>127.84175342511904</v>
      </c>
      <c r="F1082" s="14">
        <v>1</v>
      </c>
      <c r="G1082" s="3">
        <f>'Monthly CFS'!C1082 * 86400 * DAY(EOMONTH(D1082,0)) / 43560</f>
        <v>1561.6876860582588</v>
      </c>
      <c r="H1082" s="3"/>
    </row>
    <row r="1083" spans="1:8" x14ac:dyDescent="0.25">
      <c r="A1083" s="2">
        <v>1076</v>
      </c>
      <c r="B1083" s="2">
        <f t="shared" si="40"/>
        <v>2011</v>
      </c>
      <c r="C1083" s="2">
        <f t="shared" si="41"/>
        <v>5</v>
      </c>
      <c r="D1083" s="4">
        <v>40694</v>
      </c>
      <c r="E1083" s="3">
        <v>173.69722718890347</v>
      </c>
      <c r="F1083" s="14">
        <v>1</v>
      </c>
      <c r="G1083" s="3">
        <f>'Monthly CFS'!C1083 * 86400 * DAY(EOMONTH(D1083,0)) / 43560</f>
        <v>2304.0392106647896</v>
      </c>
      <c r="H1083" s="3"/>
    </row>
    <row r="1084" spans="1:8" x14ac:dyDescent="0.25">
      <c r="A1084" s="2">
        <v>1077</v>
      </c>
      <c r="B1084" s="2">
        <f t="shared" si="40"/>
        <v>2011</v>
      </c>
      <c r="C1084" s="2">
        <f t="shared" si="41"/>
        <v>6</v>
      </c>
      <c r="D1084" s="4">
        <v>40724</v>
      </c>
      <c r="E1084" s="3">
        <v>230.63820084858216</v>
      </c>
      <c r="F1084" s="14">
        <v>1</v>
      </c>
      <c r="G1084" s="3">
        <f>'Monthly CFS'!C1084 * 86400 * DAY(EOMONTH(D1084,0)) / 43560</f>
        <v>3029.8940420080648</v>
      </c>
      <c r="H1084" s="3"/>
    </row>
    <row r="1085" spans="1:8" x14ac:dyDescent="0.25">
      <c r="A1085" s="2">
        <v>1078</v>
      </c>
      <c r="B1085" s="2">
        <f t="shared" si="40"/>
        <v>2011</v>
      </c>
      <c r="C1085" s="2">
        <f t="shared" si="41"/>
        <v>7</v>
      </c>
      <c r="D1085" s="4">
        <v>40755</v>
      </c>
      <c r="E1085" s="3">
        <v>271.71188667119026</v>
      </c>
      <c r="F1085" s="14">
        <v>1</v>
      </c>
      <c r="G1085" s="3">
        <f>'Monthly CFS'!C1085 * 86400 * DAY(EOMONTH(D1085,0)) / 43560</f>
        <v>3887.7224194573919</v>
      </c>
      <c r="H1085" s="3"/>
    </row>
    <row r="1086" spans="1:8" x14ac:dyDescent="0.25">
      <c r="A1086" s="2">
        <v>1079</v>
      </c>
      <c r="B1086" s="2">
        <f t="shared" si="40"/>
        <v>2011</v>
      </c>
      <c r="C1086" s="2">
        <f t="shared" si="41"/>
        <v>8</v>
      </c>
      <c r="D1086" s="4">
        <v>40786</v>
      </c>
      <c r="E1086" s="3">
        <v>282.21761897027193</v>
      </c>
      <c r="F1086" s="14">
        <v>0.99999999999999989</v>
      </c>
      <c r="G1086" s="3">
        <f>'Monthly CFS'!C1086 * 86400 * DAY(EOMONTH(D1086,0)) / 43560</f>
        <v>4250.6499170690267</v>
      </c>
      <c r="H1086" s="3"/>
    </row>
    <row r="1087" spans="1:8" x14ac:dyDescent="0.25">
      <c r="A1087" s="2">
        <v>1080</v>
      </c>
      <c r="B1087" s="2">
        <f t="shared" si="40"/>
        <v>2011</v>
      </c>
      <c r="C1087" s="2">
        <f t="shared" si="41"/>
        <v>9</v>
      </c>
      <c r="D1087" s="4">
        <v>40816</v>
      </c>
      <c r="E1087" s="3">
        <v>245.18670139121073</v>
      </c>
      <c r="F1087" s="14">
        <v>1</v>
      </c>
      <c r="G1087" s="3">
        <f>'Monthly CFS'!C1087 * 86400 * DAY(EOMONTH(D1087,0)) / 43560</f>
        <v>3585.2828654276932</v>
      </c>
      <c r="H1087" s="3"/>
    </row>
    <row r="1088" spans="1:8" x14ac:dyDescent="0.25">
      <c r="A1088" s="2">
        <v>1081</v>
      </c>
      <c r="B1088" s="2">
        <f t="shared" si="40"/>
        <v>2011</v>
      </c>
      <c r="C1088" s="2">
        <f t="shared" si="41"/>
        <v>10</v>
      </c>
      <c r="D1088" s="4">
        <v>40847</v>
      </c>
      <c r="E1088" s="3">
        <v>208.40764336055321</v>
      </c>
      <c r="F1088" s="14">
        <v>1</v>
      </c>
      <c r="G1088" s="3">
        <f>'Monthly CFS'!C1088 * 86400 * DAY(EOMONTH(D1088,0)) / 43560</f>
        <v>2441.5116681819259</v>
      </c>
      <c r="H1088" s="3"/>
    </row>
    <row r="1089" spans="1:8" x14ac:dyDescent="0.25">
      <c r="A1089" s="2">
        <v>1082</v>
      </c>
      <c r="B1089" s="2">
        <f t="shared" si="40"/>
        <v>2011</v>
      </c>
      <c r="C1089" s="2">
        <f t="shared" si="41"/>
        <v>11</v>
      </c>
      <c r="D1089" s="4">
        <v>40877</v>
      </c>
      <c r="E1089" s="3">
        <v>139.90811542591678</v>
      </c>
      <c r="F1089" s="14">
        <v>1</v>
      </c>
      <c r="G1089" s="3">
        <f>'Monthly CFS'!C1089 * 86400 * DAY(EOMONTH(D1089,0)) / 43560</f>
        <v>1550.6899042060884</v>
      </c>
      <c r="H1089" s="3"/>
    </row>
    <row r="1090" spans="1:8" x14ac:dyDescent="0.25">
      <c r="A1090" s="2">
        <v>1083</v>
      </c>
      <c r="B1090" s="2">
        <f t="shared" si="40"/>
        <v>2011</v>
      </c>
      <c r="C1090" s="2">
        <f t="shared" si="41"/>
        <v>12</v>
      </c>
      <c r="D1090" s="4">
        <v>40908</v>
      </c>
      <c r="E1090" s="3">
        <v>100.09781597435999</v>
      </c>
      <c r="F1090" s="14">
        <v>1</v>
      </c>
      <c r="G1090" s="3">
        <f>'Monthly CFS'!C1090 * 86400 * DAY(EOMONTH(D1090,0)) / 43560</f>
        <v>1275.7448662618178</v>
      </c>
      <c r="H1090" s="3"/>
    </row>
    <row r="1091" spans="1:8" x14ac:dyDescent="0.25">
      <c r="A1091" s="2">
        <v>1084</v>
      </c>
      <c r="B1091" s="2">
        <f t="shared" si="40"/>
        <v>2012</v>
      </c>
      <c r="C1091" s="2">
        <f t="shared" si="41"/>
        <v>1</v>
      </c>
      <c r="D1091" s="4">
        <v>40939</v>
      </c>
      <c r="E1091" s="3">
        <v>94.480039683665964</v>
      </c>
      <c r="F1091" s="14">
        <v>1</v>
      </c>
      <c r="G1091" s="3">
        <f>'Monthly CFS'!C1091 * 86400 * DAY(EOMONTH(D1091,0)) / 43560</f>
        <v>795.24573209377979</v>
      </c>
      <c r="H1091" s="3"/>
    </row>
    <row r="1092" spans="1:8" x14ac:dyDescent="0.25">
      <c r="A1092" s="2">
        <v>1085</v>
      </c>
      <c r="B1092" s="2">
        <f t="shared" si="40"/>
        <v>2012</v>
      </c>
      <c r="C1092" s="2">
        <f t="shared" si="41"/>
        <v>2</v>
      </c>
      <c r="D1092" s="4">
        <v>40968</v>
      </c>
      <c r="E1092" s="3">
        <v>104.8901121621073</v>
      </c>
      <c r="F1092" s="14">
        <v>0.88015869813538083</v>
      </c>
      <c r="G1092" s="3">
        <f>'Monthly CFS'!C1092 * 86400 * DAY(EOMONTH(D1092,0)) / 43560</f>
        <v>800.0780961917344</v>
      </c>
      <c r="H1092" s="3"/>
    </row>
    <row r="1093" spans="1:8" x14ac:dyDescent="0.25">
      <c r="A1093" s="2">
        <v>1086</v>
      </c>
      <c r="B1093" s="2">
        <f t="shared" si="40"/>
        <v>2012</v>
      </c>
      <c r="C1093" s="2">
        <f t="shared" si="41"/>
        <v>3</v>
      </c>
      <c r="D1093" s="4">
        <v>40999</v>
      </c>
      <c r="E1093" s="3">
        <v>123.59371307269652</v>
      </c>
      <c r="F1093" s="14">
        <v>0.63683812137878493</v>
      </c>
      <c r="G1093" s="3">
        <f>'Monthly CFS'!C1093 * 86400 * DAY(EOMONTH(D1093,0)) / 43560</f>
        <v>957.41430514775823</v>
      </c>
      <c r="H1093" s="3"/>
    </row>
    <row r="1094" spans="1:8" x14ac:dyDescent="0.25">
      <c r="A1094" s="2">
        <v>1087</v>
      </c>
      <c r="B1094" s="2">
        <f t="shared" si="40"/>
        <v>2012</v>
      </c>
      <c r="C1094" s="2">
        <f t="shared" si="41"/>
        <v>4</v>
      </c>
      <c r="D1094" s="4">
        <v>41029</v>
      </c>
      <c r="E1094" s="3">
        <v>155.35965745471617</v>
      </c>
      <c r="F1094" s="14">
        <v>0.95695449708675429</v>
      </c>
      <c r="G1094" s="3">
        <f>'Monthly CFS'!C1094 * 86400 * DAY(EOMONTH(D1094,0)) / 43560</f>
        <v>1561.6876860582595</v>
      </c>
      <c r="H1094" s="3"/>
    </row>
    <row r="1095" spans="1:8" x14ac:dyDescent="0.25">
      <c r="A1095" s="2">
        <v>1088</v>
      </c>
      <c r="B1095" s="2">
        <f t="shared" si="40"/>
        <v>2012</v>
      </c>
      <c r="C1095" s="2">
        <f t="shared" si="41"/>
        <v>5</v>
      </c>
      <c r="D1095" s="4">
        <v>41060</v>
      </c>
      <c r="E1095" s="3">
        <v>189.91672423298658</v>
      </c>
      <c r="F1095" s="14">
        <v>1</v>
      </c>
      <c r="G1095" s="3">
        <f>'Monthly CFS'!C1095 * 86400 * DAY(EOMONTH(D1095,0)) / 43560</f>
        <v>2304.039210664791</v>
      </c>
      <c r="H1095" s="3"/>
    </row>
    <row r="1096" spans="1:8" x14ac:dyDescent="0.25">
      <c r="A1096" s="2">
        <v>1089</v>
      </c>
      <c r="B1096" s="2">
        <f t="shared" si="40"/>
        <v>2012</v>
      </c>
      <c r="C1096" s="2">
        <f t="shared" si="41"/>
        <v>6</v>
      </c>
      <c r="D1096" s="4">
        <v>41090</v>
      </c>
      <c r="E1096" s="3">
        <v>249.94227532208066</v>
      </c>
      <c r="F1096" s="14">
        <v>1</v>
      </c>
      <c r="G1096" s="3">
        <f>'Monthly CFS'!C1096 * 86400 * DAY(EOMONTH(D1096,0)) / 43560</f>
        <v>3029.8940420080662</v>
      </c>
      <c r="H1096" s="3"/>
    </row>
    <row r="1097" spans="1:8" x14ac:dyDescent="0.25">
      <c r="A1097" s="2">
        <v>1090</v>
      </c>
      <c r="B1097" s="2">
        <f t="shared" ref="B1097:B1160" si="42">YEAR(D1097)</f>
        <v>2012</v>
      </c>
      <c r="C1097" s="2">
        <f t="shared" ref="C1097:C1160" si="43">MONTH(D1097)</f>
        <v>7</v>
      </c>
      <c r="D1097" s="4">
        <v>41121</v>
      </c>
      <c r="E1097" s="3">
        <v>278.83348316359661</v>
      </c>
      <c r="F1097" s="14">
        <v>1</v>
      </c>
      <c r="G1097" s="3">
        <f>'Monthly CFS'!C1097 * 86400 * DAY(EOMONTH(D1097,0)) / 43560</f>
        <v>3887.7224194573928</v>
      </c>
      <c r="H1097" s="3"/>
    </row>
    <row r="1098" spans="1:8" x14ac:dyDescent="0.25">
      <c r="A1098" s="2">
        <v>1091</v>
      </c>
      <c r="B1098" s="2">
        <f t="shared" si="42"/>
        <v>2012</v>
      </c>
      <c r="C1098" s="2">
        <f t="shared" si="43"/>
        <v>8</v>
      </c>
      <c r="D1098" s="4">
        <v>41152</v>
      </c>
      <c r="E1098" s="3">
        <v>281.64601106700837</v>
      </c>
      <c r="F1098" s="14">
        <v>1</v>
      </c>
      <c r="G1098" s="3">
        <f>'Monthly CFS'!C1098 * 86400 * DAY(EOMONTH(D1098,0)) / 43560</f>
        <v>4250.6499170690286</v>
      </c>
      <c r="H1098" s="3"/>
    </row>
    <row r="1099" spans="1:8" x14ac:dyDescent="0.25">
      <c r="A1099" s="2">
        <v>1092</v>
      </c>
      <c r="B1099" s="2">
        <f t="shared" si="42"/>
        <v>2012</v>
      </c>
      <c r="C1099" s="2">
        <f t="shared" si="43"/>
        <v>9</v>
      </c>
      <c r="D1099" s="4">
        <v>41182</v>
      </c>
      <c r="E1099" s="3">
        <v>247.80503551638381</v>
      </c>
      <c r="F1099" s="14">
        <v>1</v>
      </c>
      <c r="G1099" s="3">
        <f>'Monthly CFS'!C1099 * 86400 * DAY(EOMONTH(D1099,0)) / 43560</f>
        <v>3585.2828654276937</v>
      </c>
      <c r="H1099" s="3"/>
    </row>
    <row r="1100" spans="1:8" x14ac:dyDescent="0.25">
      <c r="A1100" s="2">
        <v>1093</v>
      </c>
      <c r="B1100" s="2">
        <f t="shared" si="42"/>
        <v>2012</v>
      </c>
      <c r="C1100" s="2">
        <f t="shared" si="43"/>
        <v>10</v>
      </c>
      <c r="D1100" s="4">
        <v>41213</v>
      </c>
      <c r="E1100" s="3">
        <v>213.68325149262245</v>
      </c>
      <c r="F1100" s="14">
        <v>1</v>
      </c>
      <c r="G1100" s="3">
        <f>'Monthly CFS'!C1100 * 86400 * DAY(EOMONTH(D1100,0)) / 43560</f>
        <v>2441.5116681819272</v>
      </c>
      <c r="H1100" s="3"/>
    </row>
    <row r="1101" spans="1:8" x14ac:dyDescent="0.25">
      <c r="A1101" s="2">
        <v>1094</v>
      </c>
      <c r="B1101" s="2">
        <f t="shared" si="42"/>
        <v>2012</v>
      </c>
      <c r="C1101" s="2">
        <f t="shared" si="43"/>
        <v>11</v>
      </c>
      <c r="D1101" s="4">
        <v>41243</v>
      </c>
      <c r="E1101" s="3">
        <v>158.89264570494973</v>
      </c>
      <c r="F1101" s="14">
        <v>1</v>
      </c>
      <c r="G1101" s="3">
        <f>'Monthly CFS'!C1101 * 86400 * DAY(EOMONTH(D1101,0)) / 43560</f>
        <v>1550.6899042060877</v>
      </c>
      <c r="H1101" s="3"/>
    </row>
    <row r="1102" spans="1:8" x14ac:dyDescent="0.25">
      <c r="A1102" s="2">
        <v>1095</v>
      </c>
      <c r="B1102" s="2">
        <f t="shared" si="42"/>
        <v>2012</v>
      </c>
      <c r="C1102" s="2">
        <f t="shared" si="43"/>
        <v>12</v>
      </c>
      <c r="D1102" s="4">
        <v>41274</v>
      </c>
      <c r="E1102" s="3">
        <v>140.7197017834973</v>
      </c>
      <c r="F1102" s="14">
        <v>1</v>
      </c>
      <c r="G1102" s="3">
        <f>'Monthly CFS'!C1102 * 86400 * DAY(EOMONTH(D1102,0)) / 43560</f>
        <v>1275.7448662618174</v>
      </c>
      <c r="H1102" s="3"/>
    </row>
    <row r="1103" spans="1:8" x14ac:dyDescent="0.25">
      <c r="A1103" s="2">
        <v>1096</v>
      </c>
      <c r="B1103" s="2">
        <f t="shared" si="42"/>
        <v>2013</v>
      </c>
      <c r="C1103" s="2">
        <f t="shared" si="43"/>
        <v>1</v>
      </c>
      <c r="D1103" s="4">
        <v>41305</v>
      </c>
      <c r="E1103" s="3">
        <v>120.71654124454039</v>
      </c>
      <c r="F1103" s="14">
        <v>1</v>
      </c>
      <c r="G1103" s="3">
        <f>'Monthly CFS'!C1103 * 86400 * DAY(EOMONTH(D1103,0)) / 43560</f>
        <v>1057.7836304829675</v>
      </c>
      <c r="H1103" s="3"/>
    </row>
    <row r="1104" spans="1:8" x14ac:dyDescent="0.25">
      <c r="A1104" s="2">
        <v>1097</v>
      </c>
      <c r="B1104" s="2">
        <f t="shared" si="42"/>
        <v>2013</v>
      </c>
      <c r="C1104" s="2">
        <f t="shared" si="43"/>
        <v>2</v>
      </c>
      <c r="D1104" s="4">
        <v>41333</v>
      </c>
      <c r="E1104" s="3">
        <v>114.45563578137686</v>
      </c>
      <c r="F1104" s="14">
        <v>1</v>
      </c>
      <c r="G1104" s="3">
        <f>'Monthly CFS'!C1104 * 86400 * DAY(EOMONTH(D1104,0)) / 43560</f>
        <v>840.26604850803369</v>
      </c>
      <c r="H1104" s="3"/>
    </row>
    <row r="1105" spans="1:8" x14ac:dyDescent="0.25">
      <c r="A1105" s="2">
        <v>1098</v>
      </c>
      <c r="B1105" s="2">
        <f t="shared" si="42"/>
        <v>2013</v>
      </c>
      <c r="C1105" s="2">
        <f t="shared" si="43"/>
        <v>3</v>
      </c>
      <c r="D1105" s="4">
        <v>41364</v>
      </c>
      <c r="E1105" s="3">
        <v>106.88716825976027</v>
      </c>
      <c r="F1105" s="14">
        <v>0.75</v>
      </c>
      <c r="G1105" s="3">
        <f>'Monthly CFS'!C1105 * 86400 * DAY(EOMONTH(D1105,0)) / 43560</f>
        <v>746.21741691337138</v>
      </c>
      <c r="H1105" s="3"/>
    </row>
    <row r="1106" spans="1:8" x14ac:dyDescent="0.25">
      <c r="A1106" s="2">
        <v>1099</v>
      </c>
      <c r="B1106" s="2">
        <f t="shared" si="42"/>
        <v>2013</v>
      </c>
      <c r="C1106" s="2">
        <f t="shared" si="43"/>
        <v>4</v>
      </c>
      <c r="D1106" s="4">
        <v>41394</v>
      </c>
      <c r="E1106" s="3">
        <v>181.23525201198254</v>
      </c>
      <c r="F1106" s="14">
        <v>0.73781287738546353</v>
      </c>
      <c r="G1106" s="3">
        <f>'Monthly CFS'!C1106 * 86400 * DAY(EOMONTH(D1106,0)) / 43560</f>
        <v>950.73949219393569</v>
      </c>
      <c r="H1106" s="3"/>
    </row>
    <row r="1107" spans="1:8" x14ac:dyDescent="0.25">
      <c r="A1107" s="2">
        <v>1100</v>
      </c>
      <c r="B1107" s="2">
        <f t="shared" si="42"/>
        <v>2013</v>
      </c>
      <c r="C1107" s="2">
        <f t="shared" si="43"/>
        <v>5</v>
      </c>
      <c r="D1107" s="4">
        <v>41425</v>
      </c>
      <c r="E1107" s="3">
        <v>220.07156033713082</v>
      </c>
      <c r="F1107" s="14">
        <v>0.74419322539324162</v>
      </c>
      <c r="G1107" s="3">
        <f>'Monthly CFS'!C1107 * 86400 * DAY(EOMONTH(D1107,0)) / 43560</f>
        <v>1402.6755084887322</v>
      </c>
      <c r="H1107" s="3"/>
    </row>
    <row r="1108" spans="1:8" x14ac:dyDescent="0.25">
      <c r="A1108" s="2">
        <v>1101</v>
      </c>
      <c r="B1108" s="2">
        <f t="shared" si="42"/>
        <v>2013</v>
      </c>
      <c r="C1108" s="2">
        <f t="shared" si="43"/>
        <v>6</v>
      </c>
      <c r="D1108" s="4">
        <v>41455</v>
      </c>
      <c r="E1108" s="3">
        <v>257.70906701703865</v>
      </c>
      <c r="F1108" s="14">
        <v>0.74419322539324151</v>
      </c>
      <c r="G1108" s="3">
        <f>'Monthly CFS'!C1108 * 86400 * DAY(EOMONTH(D1108,0)) / 43560</f>
        <v>1844.5685066333538</v>
      </c>
      <c r="H1108" s="3"/>
    </row>
    <row r="1109" spans="1:8" x14ac:dyDescent="0.25">
      <c r="A1109" s="2">
        <v>1102</v>
      </c>
      <c r="B1109" s="2">
        <f t="shared" si="42"/>
        <v>2013</v>
      </c>
      <c r="C1109" s="2">
        <f t="shared" si="43"/>
        <v>7</v>
      </c>
      <c r="D1109" s="4">
        <v>41486</v>
      </c>
      <c r="E1109" s="3">
        <v>288.24290179325095</v>
      </c>
      <c r="F1109" s="14">
        <v>0.74419322539324151</v>
      </c>
      <c r="G1109" s="3">
        <f>'Monthly CFS'!C1109 * 86400 * DAY(EOMONTH(D1109,0)) / 43560</f>
        <v>2366.8056499793724</v>
      </c>
      <c r="H1109" s="3"/>
    </row>
    <row r="1110" spans="1:8" x14ac:dyDescent="0.25">
      <c r="A1110" s="2">
        <v>1103</v>
      </c>
      <c r="B1110" s="2">
        <f t="shared" si="42"/>
        <v>2013</v>
      </c>
      <c r="C1110" s="2">
        <f t="shared" si="43"/>
        <v>8</v>
      </c>
      <c r="D1110" s="4">
        <v>41517</v>
      </c>
      <c r="E1110" s="3">
        <v>279.99483921206036</v>
      </c>
      <c r="F1110" s="14">
        <v>0.74419322539324151</v>
      </c>
      <c r="G1110" s="3">
        <f>'Monthly CFS'!C1110 * 86400 * DAY(EOMONTH(D1110,0)) / 43560</f>
        <v>2587.7521989359184</v>
      </c>
      <c r="H1110" s="3"/>
    </row>
    <row r="1111" spans="1:8" x14ac:dyDescent="0.25">
      <c r="A1111" s="2">
        <v>1104</v>
      </c>
      <c r="B1111" s="2">
        <f t="shared" si="42"/>
        <v>2013</v>
      </c>
      <c r="C1111" s="2">
        <f t="shared" si="43"/>
        <v>9</v>
      </c>
      <c r="D1111" s="4">
        <v>41547</v>
      </c>
      <c r="E1111" s="3">
        <v>253.56663201676471</v>
      </c>
      <c r="F1111" s="14">
        <v>0.7441932253932414</v>
      </c>
      <c r="G1111" s="3">
        <f>'Monthly CFS'!C1111 * 86400 * DAY(EOMONTH(D1111,0)) / 43560</f>
        <v>2182.6835424769965</v>
      </c>
      <c r="H1111" s="3"/>
    </row>
    <row r="1112" spans="1:8" x14ac:dyDescent="0.25">
      <c r="A1112" s="2">
        <v>1105</v>
      </c>
      <c r="B1112" s="2">
        <f t="shared" si="42"/>
        <v>2013</v>
      </c>
      <c r="C1112" s="2">
        <f t="shared" si="43"/>
        <v>10</v>
      </c>
      <c r="D1112" s="4">
        <v>41578</v>
      </c>
      <c r="E1112" s="3">
        <v>216.07475469170529</v>
      </c>
      <c r="F1112" s="14">
        <v>0.74419322539324151</v>
      </c>
      <c r="G1112" s="3">
        <f>'Monthly CFS'!C1112 * 86400 * DAY(EOMONTH(D1112,0)) / 43560</f>
        <v>1486.367334720894</v>
      </c>
      <c r="H1112" s="3"/>
    </row>
    <row r="1113" spans="1:8" x14ac:dyDescent="0.25">
      <c r="A1113" s="2">
        <v>1106</v>
      </c>
      <c r="B1113" s="2">
        <f t="shared" si="42"/>
        <v>2013</v>
      </c>
      <c r="C1113" s="2">
        <f t="shared" si="43"/>
        <v>11</v>
      </c>
      <c r="D1113" s="4">
        <v>41608</v>
      </c>
      <c r="E1113" s="3">
        <v>174.85540601156069</v>
      </c>
      <c r="F1113" s="14">
        <v>0.7441932253932414</v>
      </c>
      <c r="G1113" s="3">
        <f>'Monthly CFS'!C1113 * 86400 * DAY(EOMONTH(D1113,0)) / 43560</f>
        <v>944.04415507452495</v>
      </c>
      <c r="H1113" s="3"/>
    </row>
    <row r="1114" spans="1:8" x14ac:dyDescent="0.25">
      <c r="A1114" s="2">
        <v>1107</v>
      </c>
      <c r="B1114" s="2">
        <f t="shared" si="42"/>
        <v>2013</v>
      </c>
      <c r="C1114" s="2">
        <f t="shared" si="43"/>
        <v>12</v>
      </c>
      <c r="D1114" s="4">
        <v>41639</v>
      </c>
      <c r="E1114" s="3">
        <v>153.1868782359345</v>
      </c>
      <c r="F1114" s="14">
        <v>0.74419322539324151</v>
      </c>
      <c r="G1114" s="3">
        <f>'Monthly CFS'!C1114 * 86400 * DAY(EOMONTH(D1114,0)) / 43560</f>
        <v>776.66042778385156</v>
      </c>
      <c r="H1114" s="3"/>
    </row>
    <row r="1115" spans="1:8" x14ac:dyDescent="0.25">
      <c r="A1115" s="2">
        <v>1108</v>
      </c>
      <c r="B1115" s="2">
        <f t="shared" si="42"/>
        <v>2014</v>
      </c>
      <c r="C1115" s="2">
        <f t="shared" si="43"/>
        <v>1</v>
      </c>
      <c r="D1115" s="4">
        <v>41670</v>
      </c>
      <c r="E1115" s="3">
        <v>148.33069936464571</v>
      </c>
      <c r="F1115" s="14">
        <v>0.74419322539324151</v>
      </c>
      <c r="G1115" s="3">
        <f>'Monthly CFS'!C1115 * 86400 * DAY(EOMONTH(D1115,0)) / 43560</f>
        <v>133.67826149478654</v>
      </c>
      <c r="H1115" s="3"/>
    </row>
    <row r="1116" spans="1:8" x14ac:dyDescent="0.25">
      <c r="A1116" s="2">
        <v>1109</v>
      </c>
      <c r="B1116" s="2">
        <f t="shared" si="42"/>
        <v>2014</v>
      </c>
      <c r="C1116" s="2">
        <f t="shared" si="43"/>
        <v>2</v>
      </c>
      <c r="D1116" s="4">
        <v>41698</v>
      </c>
      <c r="E1116" s="3">
        <v>145.70191233106172</v>
      </c>
      <c r="F1116" s="14">
        <v>0.25</v>
      </c>
      <c r="G1116" s="3">
        <f>'Monthly CFS'!C1116 * 86400 * DAY(EOMONTH(D1116,0)) / 43560</f>
        <v>119.16117142312106</v>
      </c>
      <c r="H1116" s="3"/>
    </row>
    <row r="1117" spans="1:8" x14ac:dyDescent="0.25">
      <c r="A1117" s="2">
        <v>1110</v>
      </c>
      <c r="B1117" s="2">
        <f t="shared" si="42"/>
        <v>2014</v>
      </c>
      <c r="C1117" s="2">
        <f t="shared" si="43"/>
        <v>3</v>
      </c>
      <c r="D1117" s="4">
        <v>41729</v>
      </c>
      <c r="E1117" s="3">
        <v>152.55323506386273</v>
      </c>
      <c r="F1117" s="14">
        <v>0.25</v>
      </c>
      <c r="G1117" s="3">
        <f>'Monthly CFS'!C1117 * 86400 * DAY(EOMONTH(D1117,0)) / 43560</f>
        <v>153.35931306289436</v>
      </c>
      <c r="H1117" s="3"/>
    </row>
    <row r="1118" spans="1:8" x14ac:dyDescent="0.25">
      <c r="A1118" s="2">
        <v>1111</v>
      </c>
      <c r="B1118" s="2">
        <f t="shared" si="42"/>
        <v>2014</v>
      </c>
      <c r="C1118" s="2">
        <f t="shared" si="43"/>
        <v>4</v>
      </c>
      <c r="D1118" s="4">
        <v>41759</v>
      </c>
      <c r="E1118" s="3">
        <v>196.32088667964658</v>
      </c>
      <c r="F1118" s="14">
        <v>0.25</v>
      </c>
      <c r="G1118" s="3">
        <f>'Monthly CFS'!C1118 * 86400 * DAY(EOMONTH(D1118,0)) / 43560</f>
        <v>189.36884209086739</v>
      </c>
      <c r="H1118" s="3"/>
    </row>
    <row r="1119" spans="1:8" x14ac:dyDescent="0.25">
      <c r="A1119" s="2">
        <v>1112</v>
      </c>
      <c r="B1119" s="2">
        <f t="shared" si="42"/>
        <v>2014</v>
      </c>
      <c r="C1119" s="2">
        <f t="shared" si="43"/>
        <v>5</v>
      </c>
      <c r="D1119" s="4">
        <v>41790</v>
      </c>
      <c r="E1119" s="3">
        <v>239.89165958575308</v>
      </c>
      <c r="F1119" s="14">
        <v>0.25</v>
      </c>
      <c r="G1119" s="3">
        <f>'Monthly CFS'!C1119 * 86400 * DAY(EOMONTH(D1119,0)) / 43560</f>
        <v>287.46694850786508</v>
      </c>
      <c r="H1119" s="3"/>
    </row>
    <row r="1120" spans="1:8" x14ac:dyDescent="0.25">
      <c r="A1120" s="2">
        <v>1113</v>
      </c>
      <c r="B1120" s="2">
        <f t="shared" si="42"/>
        <v>2014</v>
      </c>
      <c r="C1120" s="2">
        <f t="shared" si="43"/>
        <v>6</v>
      </c>
      <c r="D1120" s="4">
        <v>41820</v>
      </c>
      <c r="E1120" s="3">
        <v>275.36306112931697</v>
      </c>
      <c r="F1120" s="14">
        <v>0.25</v>
      </c>
      <c r="G1120" s="3">
        <f>'Monthly CFS'!C1120 * 86400 * DAY(EOMONTH(D1120,0)) / 43560</f>
        <v>378.02932802819328</v>
      </c>
      <c r="H1120" s="3"/>
    </row>
    <row r="1121" spans="1:8" x14ac:dyDescent="0.25">
      <c r="A1121" s="2">
        <v>1114</v>
      </c>
      <c r="B1121" s="2">
        <f t="shared" si="42"/>
        <v>2014</v>
      </c>
      <c r="C1121" s="2">
        <f t="shared" si="43"/>
        <v>7</v>
      </c>
      <c r="D1121" s="4">
        <v>41851</v>
      </c>
      <c r="E1121" s="3">
        <v>287.21574840608622</v>
      </c>
      <c r="F1121" s="14">
        <v>0.25</v>
      </c>
      <c r="G1121" s="3">
        <f>'Monthly CFS'!C1121 * 86400 * DAY(EOMONTH(D1121,0)) / 43560</f>
        <v>485.05758729885878</v>
      </c>
      <c r="H1121" s="3"/>
    </row>
    <row r="1122" spans="1:8" x14ac:dyDescent="0.25">
      <c r="A1122" s="2">
        <v>1115</v>
      </c>
      <c r="B1122" s="2">
        <f t="shared" si="42"/>
        <v>2014</v>
      </c>
      <c r="C1122" s="2">
        <f t="shared" si="43"/>
        <v>8</v>
      </c>
      <c r="D1122" s="4">
        <v>41882</v>
      </c>
      <c r="E1122" s="3">
        <v>278.99732431952134</v>
      </c>
      <c r="F1122" s="14">
        <v>0.25</v>
      </c>
      <c r="G1122" s="3">
        <f>'Monthly CFS'!C1122 * 86400 * DAY(EOMONTH(D1122,0)) / 43560</f>
        <v>530.33878728239119</v>
      </c>
      <c r="H1122" s="3"/>
    </row>
    <row r="1123" spans="1:8" x14ac:dyDescent="0.25">
      <c r="A1123" s="2">
        <v>1116</v>
      </c>
      <c r="B1123" s="2">
        <f t="shared" si="42"/>
        <v>2014</v>
      </c>
      <c r="C1123" s="2">
        <f t="shared" si="43"/>
        <v>9</v>
      </c>
      <c r="D1123" s="4">
        <v>41912</v>
      </c>
      <c r="E1123" s="3">
        <v>254.31992423903677</v>
      </c>
      <c r="F1123" s="14">
        <v>0.25</v>
      </c>
      <c r="G1123" s="3">
        <f>'Monthly CFS'!C1123 * 86400 * DAY(EOMONTH(D1123,0)) / 43560</f>
        <v>447.3232573870377</v>
      </c>
      <c r="H1123" s="3"/>
    </row>
    <row r="1124" spans="1:8" x14ac:dyDescent="0.25">
      <c r="A1124" s="2">
        <v>1117</v>
      </c>
      <c r="B1124" s="2">
        <f t="shared" si="42"/>
        <v>2014</v>
      </c>
      <c r="C1124" s="2">
        <f t="shared" si="43"/>
        <v>10</v>
      </c>
      <c r="D1124" s="4">
        <v>41943</v>
      </c>
      <c r="E1124" s="3">
        <v>214.84262990667759</v>
      </c>
      <c r="F1124" s="14">
        <v>0.25</v>
      </c>
      <c r="G1124" s="3">
        <f>'Monthly CFS'!C1124 * 86400 * DAY(EOMONTH(D1124,0)) / 43560</f>
        <v>304.61890828502766</v>
      </c>
      <c r="H1124" s="3"/>
    </row>
    <row r="1125" spans="1:8" x14ac:dyDescent="0.25">
      <c r="A1125" s="2">
        <v>1118</v>
      </c>
      <c r="B1125" s="2">
        <f t="shared" si="42"/>
        <v>2014</v>
      </c>
      <c r="C1125" s="2">
        <f t="shared" si="43"/>
        <v>11</v>
      </c>
      <c r="D1125" s="4">
        <v>41973</v>
      </c>
      <c r="E1125" s="3">
        <v>177.10611356726511</v>
      </c>
      <c r="F1125" s="14">
        <v>0.25</v>
      </c>
      <c r="G1125" s="3">
        <f>'Monthly CFS'!C1125 * 86400 * DAY(EOMONTH(D1125,0)) / 43560</f>
        <v>193.47417907677792</v>
      </c>
      <c r="H1125" s="3"/>
    </row>
    <row r="1126" spans="1:8" x14ac:dyDescent="0.25">
      <c r="A1126" s="2">
        <v>1119</v>
      </c>
      <c r="B1126" s="2">
        <f t="shared" si="42"/>
        <v>2014</v>
      </c>
      <c r="C1126" s="2">
        <f t="shared" si="43"/>
        <v>12</v>
      </c>
      <c r="D1126" s="4">
        <v>42004</v>
      </c>
      <c r="E1126" s="3">
        <v>161.98826861286051</v>
      </c>
      <c r="F1126" s="14">
        <v>0.25</v>
      </c>
      <c r="G1126" s="3">
        <f>'Monthly CFS'!C1126 * 86400 * DAY(EOMONTH(D1126,0)) / 43560</f>
        <v>159.1702441873999</v>
      </c>
      <c r="H1126" s="3"/>
    </row>
    <row r="1127" spans="1:8" x14ac:dyDescent="0.25">
      <c r="A1127" s="2">
        <v>1120</v>
      </c>
      <c r="B1127" s="2">
        <f t="shared" si="42"/>
        <v>2015</v>
      </c>
      <c r="C1127" s="2">
        <f t="shared" si="43"/>
        <v>1</v>
      </c>
      <c r="D1127" s="4">
        <v>42035</v>
      </c>
      <c r="E1127" s="3">
        <v>157.69227420397434</v>
      </c>
      <c r="F1127" s="14">
        <v>0.25</v>
      </c>
      <c r="G1127" s="3">
        <f>'Monthly CFS'!C1127 * 86400 * DAY(EOMONTH(D1127,0)) / 43560</f>
        <v>205.98817685636314</v>
      </c>
      <c r="H1127" s="3"/>
    </row>
    <row r="1128" spans="1:8" x14ac:dyDescent="0.25">
      <c r="A1128" s="2">
        <v>1121</v>
      </c>
      <c r="B1128" s="2">
        <f t="shared" si="42"/>
        <v>2015</v>
      </c>
      <c r="C1128" s="2">
        <f t="shared" si="43"/>
        <v>2</v>
      </c>
      <c r="D1128" s="4">
        <v>42063</v>
      </c>
      <c r="E1128" s="3">
        <v>173.743928821011</v>
      </c>
      <c r="F1128" s="14">
        <v>0.5</v>
      </c>
      <c r="G1128" s="3">
        <f>'Monthly CFS'!C1128 * 86400 * DAY(EOMONTH(D1128,0)) / 43560</f>
        <v>119.16117142312102</v>
      </c>
      <c r="H1128" s="3"/>
    </row>
    <row r="1129" spans="1:8" x14ac:dyDescent="0.25">
      <c r="A1129" s="2">
        <v>1122</v>
      </c>
      <c r="B1129" s="2">
        <f t="shared" si="42"/>
        <v>2015</v>
      </c>
      <c r="C1129" s="2">
        <f t="shared" si="43"/>
        <v>3</v>
      </c>
      <c r="D1129" s="4">
        <v>42094</v>
      </c>
      <c r="E1129" s="3">
        <v>152.5532350638496</v>
      </c>
      <c r="F1129" s="14">
        <v>0.5</v>
      </c>
      <c r="G1129" s="3">
        <f>'Monthly CFS'!C1129 * 86400 * DAY(EOMONTH(D1129,0)) / 43560</f>
        <v>735.55259378878418</v>
      </c>
      <c r="H1129" s="3"/>
    </row>
    <row r="1130" spans="1:8" x14ac:dyDescent="0.25">
      <c r="A1130" s="2">
        <v>1123</v>
      </c>
      <c r="B1130" s="2">
        <f t="shared" si="42"/>
        <v>2015</v>
      </c>
      <c r="C1130" s="2">
        <f t="shared" si="43"/>
        <v>4</v>
      </c>
      <c r="D1130" s="4">
        <v>42124</v>
      </c>
      <c r="E1130" s="3">
        <v>196.32088667964658</v>
      </c>
      <c r="F1130" s="14">
        <v>0.5</v>
      </c>
      <c r="G1130" s="3">
        <f>'Monthly CFS'!C1130 * 86400 * DAY(EOMONTH(D1130,0)) / 43560</f>
        <v>254.12242324281422</v>
      </c>
      <c r="H1130" s="3"/>
    </row>
    <row r="1131" spans="1:8" x14ac:dyDescent="0.25">
      <c r="A1131" s="2">
        <v>1124</v>
      </c>
      <c r="B1131" s="2">
        <f t="shared" si="42"/>
        <v>2015</v>
      </c>
      <c r="C1131" s="2">
        <f t="shared" si="43"/>
        <v>5</v>
      </c>
      <c r="D1131" s="4">
        <v>42155</v>
      </c>
      <c r="E1131" s="3">
        <v>239.89165958575305</v>
      </c>
      <c r="F1131" s="14">
        <v>0.5</v>
      </c>
      <c r="G1131" s="3">
        <f>'Monthly CFS'!C1131 * 86400 * DAY(EOMONTH(D1131,0)) / 43560</f>
        <v>374.92005135702567</v>
      </c>
      <c r="H1131" s="3"/>
    </row>
    <row r="1132" spans="1:8" x14ac:dyDescent="0.25">
      <c r="A1132" s="2">
        <v>1125</v>
      </c>
      <c r="B1132" s="2">
        <f t="shared" si="42"/>
        <v>2015</v>
      </c>
      <c r="C1132" s="2">
        <f t="shared" si="43"/>
        <v>6</v>
      </c>
      <c r="D1132" s="4">
        <v>42185</v>
      </c>
      <c r="E1132" s="3">
        <v>275.36306112931697</v>
      </c>
      <c r="F1132" s="14">
        <v>0.5</v>
      </c>
      <c r="G1132" s="3">
        <f>'Monthly CFS'!C1132 * 86400 * DAY(EOMONTH(D1132,0)) / 43560</f>
        <v>493.03328892056805</v>
      </c>
      <c r="H1132" s="3"/>
    </row>
    <row r="1133" spans="1:8" x14ac:dyDescent="0.25">
      <c r="A1133" s="2">
        <v>1126</v>
      </c>
      <c r="B1133" s="2">
        <f t="shared" si="42"/>
        <v>2015</v>
      </c>
      <c r="C1133" s="2">
        <f t="shared" si="43"/>
        <v>7</v>
      </c>
      <c r="D1133" s="4">
        <v>42216</v>
      </c>
      <c r="E1133" s="3">
        <v>287.21574840608622</v>
      </c>
      <c r="F1133" s="14">
        <v>0.5</v>
      </c>
      <c r="G1133" s="3">
        <f>'Monthly CFS'!C1133 * 86400 * DAY(EOMONTH(D1133,0)) / 43560</f>
        <v>632.62165088946779</v>
      </c>
      <c r="H1133" s="3"/>
    </row>
    <row r="1134" spans="1:8" x14ac:dyDescent="0.25">
      <c r="A1134" s="2">
        <v>1127</v>
      </c>
      <c r="B1134" s="2">
        <f t="shared" si="42"/>
        <v>2015</v>
      </c>
      <c r="C1134" s="2">
        <f t="shared" si="43"/>
        <v>8</v>
      </c>
      <c r="D1134" s="4">
        <v>42247</v>
      </c>
      <c r="E1134" s="3">
        <v>278.99732431952134</v>
      </c>
      <c r="F1134" s="14">
        <v>0.5</v>
      </c>
      <c r="G1134" s="3">
        <f>'Monthly CFS'!C1134 * 86400 * DAY(EOMONTH(D1134,0)) / 43560</f>
        <v>691.6782830047573</v>
      </c>
      <c r="H1134" s="3"/>
    </row>
    <row r="1135" spans="1:8" x14ac:dyDescent="0.25">
      <c r="A1135" s="2">
        <v>1128</v>
      </c>
      <c r="B1135" s="2">
        <f t="shared" si="42"/>
        <v>2015</v>
      </c>
      <c r="C1135" s="2">
        <f t="shared" si="43"/>
        <v>9</v>
      </c>
      <c r="D1135" s="4">
        <v>42277</v>
      </c>
      <c r="E1135" s="3">
        <v>254.31992423903679</v>
      </c>
      <c r="F1135" s="14">
        <v>0.5</v>
      </c>
      <c r="G1135" s="3">
        <f>'Monthly CFS'!C1135 * 86400 * DAY(EOMONTH(D1135,0)) / 43560</f>
        <v>583.40779523789979</v>
      </c>
      <c r="H1135" s="3"/>
    </row>
    <row r="1136" spans="1:8" x14ac:dyDescent="0.25">
      <c r="A1136" s="2">
        <v>1129</v>
      </c>
      <c r="B1136" s="2">
        <f t="shared" si="42"/>
        <v>2015</v>
      </c>
      <c r="C1136" s="2">
        <f t="shared" si="43"/>
        <v>10</v>
      </c>
      <c r="D1136" s="4">
        <v>42308</v>
      </c>
      <c r="E1136" s="3">
        <v>214.84262990667759</v>
      </c>
      <c r="F1136" s="14">
        <v>0.5</v>
      </c>
      <c r="G1136" s="3">
        <f>'Monthly CFS'!C1136 * 86400 * DAY(EOMONTH(D1136,0)) / 43560</f>
        <v>397.28997483486017</v>
      </c>
      <c r="H1136" s="3"/>
    </row>
    <row r="1137" spans="1:8" x14ac:dyDescent="0.25">
      <c r="A1137" s="2">
        <v>1130</v>
      </c>
      <c r="B1137" s="2">
        <f t="shared" si="42"/>
        <v>2015</v>
      </c>
      <c r="C1137" s="2">
        <f t="shared" si="43"/>
        <v>11</v>
      </c>
      <c r="D1137" s="4">
        <v>42338</v>
      </c>
      <c r="E1137" s="3">
        <v>177.10611356726508</v>
      </c>
      <c r="F1137" s="14">
        <v>0.5</v>
      </c>
      <c r="G1137" s="3">
        <f>'Monthly CFS'!C1137 * 86400 * DAY(EOMONTH(D1137,0)) / 43560</f>
        <v>252.33283176462075</v>
      </c>
      <c r="H1137" s="3"/>
    </row>
    <row r="1138" spans="1:8" x14ac:dyDescent="0.25">
      <c r="A1138" s="2">
        <v>1131</v>
      </c>
      <c r="B1138" s="2">
        <f t="shared" si="42"/>
        <v>2015</v>
      </c>
      <c r="C1138" s="2">
        <f t="shared" si="43"/>
        <v>12</v>
      </c>
      <c r="D1138" s="4">
        <v>42369</v>
      </c>
      <c r="E1138" s="3">
        <v>161.98826861286051</v>
      </c>
      <c r="F1138" s="14">
        <v>0.5</v>
      </c>
      <c r="G1138" s="3">
        <f>'Monthly CFS'!C1138 * 86400 * DAY(EOMONTH(D1138,0)) / 43560</f>
        <v>207.59296480867471</v>
      </c>
      <c r="H1138" s="3"/>
    </row>
    <row r="1139" spans="1:8" x14ac:dyDescent="0.25">
      <c r="A1139" s="2">
        <v>1132</v>
      </c>
      <c r="B1139" s="2">
        <f t="shared" si="42"/>
        <v>2016</v>
      </c>
      <c r="C1139" s="2">
        <f t="shared" si="43"/>
        <v>1</v>
      </c>
      <c r="D1139" s="4">
        <v>42400</v>
      </c>
      <c r="E1139" s="3">
        <v>157.69227420397434</v>
      </c>
      <c r="F1139" s="14">
        <v>0.5</v>
      </c>
      <c r="G1139" s="3">
        <f>'Monthly CFS'!C1139 * 86400 * DAY(EOMONTH(D1139,0)) / 43560</f>
        <v>133.67826149478654</v>
      </c>
      <c r="H1139" s="3"/>
    </row>
    <row r="1140" spans="1:8" x14ac:dyDescent="0.25">
      <c r="A1140" s="2">
        <v>1133</v>
      </c>
      <c r="B1140" s="2">
        <f t="shared" si="42"/>
        <v>2016</v>
      </c>
      <c r="C1140" s="2">
        <f t="shared" si="43"/>
        <v>2</v>
      </c>
      <c r="D1140" s="4">
        <v>42429</v>
      </c>
      <c r="E1140" s="3">
        <v>167.7527588616658</v>
      </c>
      <c r="F1140" s="14">
        <v>0.5</v>
      </c>
      <c r="G1140" s="3">
        <f>'Monthly CFS'!C1140 * 86400 * DAY(EOMONTH(D1140,0)) / 43560</f>
        <v>163.48609419170378</v>
      </c>
      <c r="H1140" s="3"/>
    </row>
    <row r="1141" spans="1:8" x14ac:dyDescent="0.25">
      <c r="A1141" s="2">
        <v>1134</v>
      </c>
      <c r="B1141" s="2">
        <f t="shared" si="42"/>
        <v>2016</v>
      </c>
      <c r="C1141" s="2">
        <f t="shared" si="43"/>
        <v>3</v>
      </c>
      <c r="D1141" s="4">
        <v>42460</v>
      </c>
      <c r="E1141" s="3">
        <v>123.59371307268762</v>
      </c>
      <c r="F1141" s="14">
        <v>0.49999999999999994</v>
      </c>
      <c r="G1141" s="3">
        <f>'Monthly CFS'!C1141 * 86400 * DAY(EOMONTH(D1141,0)) / 43560</f>
        <v>733.90477803846045</v>
      </c>
      <c r="H1141" s="3"/>
    </row>
    <row r="1142" spans="1:8" x14ac:dyDescent="0.25">
      <c r="A1142" s="2">
        <v>1135</v>
      </c>
      <c r="B1142" s="2">
        <f t="shared" si="42"/>
        <v>2016</v>
      </c>
      <c r="C1142" s="2">
        <f t="shared" si="43"/>
        <v>4</v>
      </c>
      <c r="D1142" s="4">
        <v>42490</v>
      </c>
      <c r="E1142" s="3">
        <v>155.35965745471617</v>
      </c>
      <c r="F1142" s="14">
        <v>1</v>
      </c>
      <c r="G1142" s="3">
        <f>'Monthly CFS'!C1142 * 86400 * DAY(EOMONTH(D1142,0)) / 43560</f>
        <v>1561.6876860582595</v>
      </c>
      <c r="H1142" s="3"/>
    </row>
    <row r="1143" spans="1:8" x14ac:dyDescent="0.25">
      <c r="A1143" s="2">
        <v>1136</v>
      </c>
      <c r="B1143" s="2">
        <f t="shared" si="42"/>
        <v>2016</v>
      </c>
      <c r="C1143" s="2">
        <f t="shared" si="43"/>
        <v>5</v>
      </c>
      <c r="D1143" s="4">
        <v>42521</v>
      </c>
      <c r="E1143" s="3">
        <v>189.91672423298658</v>
      </c>
      <c r="F1143" s="14">
        <v>0.79471692193080246</v>
      </c>
      <c r="G1143" s="3">
        <f>'Monthly CFS'!C1143 * 86400 * DAY(EOMONTH(D1143,0)) / 43560</f>
        <v>2304.039210664791</v>
      </c>
      <c r="H1143" s="3"/>
    </row>
    <row r="1144" spans="1:8" x14ac:dyDescent="0.25">
      <c r="A1144" s="2">
        <v>1137</v>
      </c>
      <c r="B1144" s="2">
        <f t="shared" si="42"/>
        <v>2016</v>
      </c>
      <c r="C1144" s="2">
        <f t="shared" si="43"/>
        <v>6</v>
      </c>
      <c r="D1144" s="4">
        <v>42551</v>
      </c>
      <c r="E1144" s="3">
        <v>249.94227532208066</v>
      </c>
      <c r="F1144" s="14">
        <v>0.79471692193080257</v>
      </c>
      <c r="G1144" s="3">
        <f>'Monthly CFS'!C1144 * 86400 * DAY(EOMONTH(D1144,0)) / 43560</f>
        <v>3029.8940420080662</v>
      </c>
      <c r="H1144" s="3"/>
    </row>
    <row r="1145" spans="1:8" x14ac:dyDescent="0.25">
      <c r="A1145" s="2">
        <v>1138</v>
      </c>
      <c r="B1145" s="2">
        <f t="shared" si="42"/>
        <v>2016</v>
      </c>
      <c r="C1145" s="2">
        <f t="shared" si="43"/>
        <v>7</v>
      </c>
      <c r="D1145" s="4">
        <v>42582</v>
      </c>
      <c r="E1145" s="3">
        <v>278.83348316359661</v>
      </c>
      <c r="F1145" s="14">
        <v>0.79471692193080257</v>
      </c>
      <c r="G1145" s="3">
        <f>'Monthly CFS'!C1145 * 86400 * DAY(EOMONTH(D1145,0)) / 43560</f>
        <v>3887.7224194573928</v>
      </c>
      <c r="H1145" s="3"/>
    </row>
    <row r="1146" spans="1:8" x14ac:dyDescent="0.25">
      <c r="A1146" s="2">
        <v>1139</v>
      </c>
      <c r="B1146" s="2">
        <f t="shared" si="42"/>
        <v>2016</v>
      </c>
      <c r="C1146" s="2">
        <f t="shared" si="43"/>
        <v>8</v>
      </c>
      <c r="D1146" s="4">
        <v>42613</v>
      </c>
      <c r="E1146" s="3">
        <v>281.64601106700837</v>
      </c>
      <c r="F1146" s="14">
        <v>0.79471692193080257</v>
      </c>
      <c r="G1146" s="3">
        <f>'Monthly CFS'!C1146 * 86400 * DAY(EOMONTH(D1146,0)) / 43560</f>
        <v>4250.6499170690286</v>
      </c>
      <c r="H1146" s="3"/>
    </row>
    <row r="1147" spans="1:8" x14ac:dyDescent="0.25">
      <c r="A1147" s="2">
        <v>1140</v>
      </c>
      <c r="B1147" s="2">
        <f t="shared" si="42"/>
        <v>2016</v>
      </c>
      <c r="C1147" s="2">
        <f t="shared" si="43"/>
        <v>9</v>
      </c>
      <c r="D1147" s="4">
        <v>42643</v>
      </c>
      <c r="E1147" s="3">
        <v>247.80503551638378</v>
      </c>
      <c r="F1147" s="14">
        <v>0.79471692193080257</v>
      </c>
      <c r="G1147" s="3">
        <f>'Monthly CFS'!C1147 * 86400 * DAY(EOMONTH(D1147,0)) / 43560</f>
        <v>3585.2828654276946</v>
      </c>
      <c r="H1147" s="3"/>
    </row>
    <row r="1148" spans="1:8" x14ac:dyDescent="0.25">
      <c r="A1148" s="2">
        <v>1141</v>
      </c>
      <c r="B1148" s="2">
        <f t="shared" si="42"/>
        <v>2016</v>
      </c>
      <c r="C1148" s="2">
        <f t="shared" si="43"/>
        <v>10</v>
      </c>
      <c r="D1148" s="4">
        <v>42674</v>
      </c>
      <c r="E1148" s="3">
        <v>213.68325149262247</v>
      </c>
      <c r="F1148" s="14">
        <v>0.79471692193080257</v>
      </c>
      <c r="G1148" s="3">
        <f>'Monthly CFS'!C1148 * 86400 * DAY(EOMONTH(D1148,0)) / 43560</f>
        <v>2441.5116681819263</v>
      </c>
      <c r="H1148" s="3"/>
    </row>
    <row r="1149" spans="1:8" x14ac:dyDescent="0.25">
      <c r="A1149" s="2">
        <v>1142</v>
      </c>
      <c r="B1149" s="2">
        <f t="shared" si="42"/>
        <v>2016</v>
      </c>
      <c r="C1149" s="2">
        <f t="shared" si="43"/>
        <v>11</v>
      </c>
      <c r="D1149" s="4">
        <v>42704</v>
      </c>
      <c r="E1149" s="3">
        <v>158.89264570494973</v>
      </c>
      <c r="F1149" s="14">
        <v>0.79471692193080257</v>
      </c>
      <c r="G1149" s="3">
        <f>'Monthly CFS'!C1149 * 86400 * DAY(EOMONTH(D1149,0)) / 43560</f>
        <v>1550.6899042060877</v>
      </c>
      <c r="H1149" s="3"/>
    </row>
    <row r="1150" spans="1:8" x14ac:dyDescent="0.25">
      <c r="A1150" s="2">
        <v>1143</v>
      </c>
      <c r="B1150" s="2">
        <f t="shared" si="42"/>
        <v>2016</v>
      </c>
      <c r="C1150" s="2">
        <f t="shared" si="43"/>
        <v>12</v>
      </c>
      <c r="D1150" s="4">
        <v>42735</v>
      </c>
      <c r="E1150" s="3">
        <v>140.7197017834973</v>
      </c>
      <c r="F1150" s="14">
        <v>0.79471692193080257</v>
      </c>
      <c r="G1150" s="3">
        <f>'Monthly CFS'!C1150 * 86400 * DAY(EOMONTH(D1150,0)) / 43560</f>
        <v>1275.7448662618174</v>
      </c>
      <c r="H1150" s="3"/>
    </row>
    <row r="1151" spans="1:8" x14ac:dyDescent="0.25">
      <c r="A1151" s="2">
        <v>1144</v>
      </c>
      <c r="B1151" s="2">
        <f t="shared" si="42"/>
        <v>2017</v>
      </c>
      <c r="C1151" s="2">
        <f t="shared" si="43"/>
        <v>1</v>
      </c>
      <c r="D1151" s="4">
        <v>42766</v>
      </c>
      <c r="E1151" s="3">
        <v>120.71654124454039</v>
      </c>
      <c r="F1151" s="14">
        <v>0.79471692193080257</v>
      </c>
      <c r="G1151" s="3">
        <f>'Monthly CFS'!C1151 * 86400 * DAY(EOMONTH(D1151,0)) / 43560</f>
        <v>842.15455689851819</v>
      </c>
      <c r="H1151" s="3"/>
    </row>
    <row r="1152" spans="1:8" x14ac:dyDescent="0.25">
      <c r="A1152" s="2">
        <v>1145</v>
      </c>
      <c r="B1152" s="2">
        <f t="shared" si="42"/>
        <v>2017</v>
      </c>
      <c r="C1152" s="2">
        <f t="shared" si="43"/>
        <v>2</v>
      </c>
      <c r="D1152" s="4">
        <v>42794</v>
      </c>
      <c r="E1152" s="3">
        <v>114.45563578137684</v>
      </c>
      <c r="F1152" s="14">
        <v>0.79471692193080257</v>
      </c>
      <c r="G1152" s="3">
        <f>'Monthly CFS'!C1152 * 86400 * DAY(EOMONTH(D1152,0)) / 43560</f>
        <v>1083.2833765738274</v>
      </c>
      <c r="H1152" s="3"/>
    </row>
    <row r="1153" spans="1:8" x14ac:dyDescent="0.25">
      <c r="A1153" s="2">
        <v>1146</v>
      </c>
      <c r="B1153" s="2">
        <f t="shared" si="42"/>
        <v>2017</v>
      </c>
      <c r="C1153" s="2">
        <f t="shared" si="43"/>
        <v>3</v>
      </c>
      <c r="D1153" s="4">
        <v>42825</v>
      </c>
      <c r="E1153" s="3">
        <v>95.988743796674527</v>
      </c>
      <c r="F1153" s="14">
        <v>1</v>
      </c>
      <c r="G1153" s="3">
        <f>'Monthly CFS'!C1153 * 86400 * DAY(EOMONTH(D1153,0)) / 43560</f>
        <v>1314.2371232294161</v>
      </c>
      <c r="H1153" s="3"/>
    </row>
    <row r="1154" spans="1:8" x14ac:dyDescent="0.25">
      <c r="A1154" s="2">
        <v>1147</v>
      </c>
      <c r="B1154" s="2">
        <f t="shared" si="42"/>
        <v>2017</v>
      </c>
      <c r="C1154" s="2">
        <f t="shared" si="43"/>
        <v>4</v>
      </c>
      <c r="D1154" s="4">
        <v>42855</v>
      </c>
      <c r="E1154" s="3">
        <v>127.84175342511904</v>
      </c>
      <c r="F1154" s="14">
        <v>1</v>
      </c>
      <c r="G1154" s="3">
        <f>'Monthly CFS'!C1154 * 86400 * DAY(EOMONTH(D1154,0)) / 43560</f>
        <v>1561.6876860582595</v>
      </c>
      <c r="H1154" s="3"/>
    </row>
    <row r="1155" spans="1:8" x14ac:dyDescent="0.25">
      <c r="A1155" s="2">
        <v>1148</v>
      </c>
      <c r="B1155" s="2">
        <f t="shared" si="42"/>
        <v>2017</v>
      </c>
      <c r="C1155" s="2">
        <f t="shared" si="43"/>
        <v>5</v>
      </c>
      <c r="D1155" s="4">
        <v>42886</v>
      </c>
      <c r="E1155" s="3">
        <v>173.69722718890344</v>
      </c>
      <c r="F1155" s="14">
        <v>1</v>
      </c>
      <c r="G1155" s="3">
        <f>'Monthly CFS'!C1155 * 86400 * DAY(EOMONTH(D1155,0)) / 43560</f>
        <v>2304.039210664791</v>
      </c>
      <c r="H1155" s="3"/>
    </row>
    <row r="1156" spans="1:8" x14ac:dyDescent="0.25">
      <c r="A1156" s="2">
        <v>1149</v>
      </c>
      <c r="B1156" s="2">
        <f t="shared" si="42"/>
        <v>2017</v>
      </c>
      <c r="C1156" s="2">
        <f t="shared" si="43"/>
        <v>6</v>
      </c>
      <c r="D1156" s="4">
        <v>42916</v>
      </c>
      <c r="E1156" s="3">
        <v>230.63820084858216</v>
      </c>
      <c r="F1156" s="14">
        <v>1</v>
      </c>
      <c r="G1156" s="3">
        <f>'Monthly CFS'!C1156 * 86400 * DAY(EOMONTH(D1156,0)) / 43560</f>
        <v>3029.8940420080658</v>
      </c>
      <c r="H1156" s="3"/>
    </row>
    <row r="1157" spans="1:8" x14ac:dyDescent="0.25">
      <c r="A1157" s="2">
        <v>1150</v>
      </c>
      <c r="B1157" s="2">
        <f t="shared" si="42"/>
        <v>2017</v>
      </c>
      <c r="C1157" s="2">
        <f t="shared" si="43"/>
        <v>7</v>
      </c>
      <c r="D1157" s="4">
        <v>42947</v>
      </c>
      <c r="E1157" s="3">
        <v>271.71188667119026</v>
      </c>
      <c r="F1157" s="14">
        <v>1</v>
      </c>
      <c r="G1157" s="3">
        <f>'Monthly CFS'!C1157 * 86400 * DAY(EOMONTH(D1157,0)) / 43560</f>
        <v>3887.7224194573905</v>
      </c>
      <c r="H1157" s="3"/>
    </row>
    <row r="1158" spans="1:8" x14ac:dyDescent="0.25">
      <c r="A1158" s="2">
        <v>1151</v>
      </c>
      <c r="B1158" s="2">
        <f t="shared" si="42"/>
        <v>2017</v>
      </c>
      <c r="C1158" s="2">
        <f t="shared" si="43"/>
        <v>8</v>
      </c>
      <c r="D1158" s="4">
        <v>42978</v>
      </c>
      <c r="E1158" s="3">
        <v>282.21761897027193</v>
      </c>
      <c r="F1158" s="14">
        <v>1</v>
      </c>
      <c r="G1158" s="3">
        <f>'Monthly CFS'!C1158 * 86400 * DAY(EOMONTH(D1158,0)) / 43560</f>
        <v>4250.6499170690267</v>
      </c>
      <c r="H1158" s="3"/>
    </row>
    <row r="1159" spans="1:8" x14ac:dyDescent="0.25">
      <c r="A1159" s="2">
        <v>1152</v>
      </c>
      <c r="B1159" s="2">
        <f t="shared" si="42"/>
        <v>2017</v>
      </c>
      <c r="C1159" s="2">
        <f t="shared" si="43"/>
        <v>9</v>
      </c>
      <c r="D1159" s="4">
        <v>43008</v>
      </c>
      <c r="E1159" s="3">
        <v>245.18670139121073</v>
      </c>
      <c r="F1159" s="14">
        <v>1</v>
      </c>
      <c r="G1159" s="3">
        <f>'Monthly CFS'!C1159 * 86400 * DAY(EOMONTH(D1159,0)) / 43560</f>
        <v>3585.2828654276937</v>
      </c>
      <c r="H1159" s="3"/>
    </row>
    <row r="1160" spans="1:8" x14ac:dyDescent="0.25">
      <c r="A1160" s="2">
        <v>1153</v>
      </c>
      <c r="B1160" s="2">
        <f t="shared" si="42"/>
        <v>2017</v>
      </c>
      <c r="C1160" s="2">
        <f t="shared" si="43"/>
        <v>10</v>
      </c>
      <c r="D1160" s="4">
        <v>43039</v>
      </c>
      <c r="E1160" s="3">
        <v>208.40764336055321</v>
      </c>
      <c r="F1160" s="14">
        <v>1</v>
      </c>
      <c r="G1160" s="3">
        <f>'Monthly CFS'!C1160 * 86400 * DAY(EOMONTH(D1160,0)) / 43560</f>
        <v>2441.5116681819263</v>
      </c>
      <c r="H1160" s="3"/>
    </row>
    <row r="1161" spans="1:8" x14ac:dyDescent="0.25">
      <c r="A1161" s="2">
        <v>1154</v>
      </c>
      <c r="B1161" s="2">
        <f t="shared" ref="B1161:B1207" si="44">YEAR(D1161)</f>
        <v>2017</v>
      </c>
      <c r="C1161" s="2">
        <f t="shared" ref="C1161:C1207" si="45">MONTH(D1161)</f>
        <v>11</v>
      </c>
      <c r="D1161" s="4">
        <v>43069</v>
      </c>
      <c r="E1161" s="3">
        <v>139.9081154259168</v>
      </c>
      <c r="F1161" s="14">
        <v>1</v>
      </c>
      <c r="G1161" s="3">
        <f>'Monthly CFS'!C1161 * 86400 * DAY(EOMONTH(D1161,0)) / 43560</f>
        <v>1550.6899042060882</v>
      </c>
      <c r="H1161" s="3"/>
    </row>
    <row r="1162" spans="1:8" x14ac:dyDescent="0.25">
      <c r="A1162" s="2">
        <v>1155</v>
      </c>
      <c r="B1162" s="2">
        <f t="shared" si="44"/>
        <v>2017</v>
      </c>
      <c r="C1162" s="2">
        <f t="shared" si="45"/>
        <v>12</v>
      </c>
      <c r="D1162" s="4">
        <v>43100</v>
      </c>
      <c r="E1162" s="3">
        <v>100.09781597435999</v>
      </c>
      <c r="F1162" s="14">
        <v>1</v>
      </c>
      <c r="G1162" s="3">
        <f>'Monthly CFS'!C1162 * 86400 * DAY(EOMONTH(D1162,0)) / 43560</f>
        <v>1275.7448662618172</v>
      </c>
      <c r="H1162" s="3"/>
    </row>
    <row r="1163" spans="1:8" x14ac:dyDescent="0.25">
      <c r="A1163" s="2">
        <v>1156</v>
      </c>
      <c r="B1163" s="2">
        <f t="shared" si="44"/>
        <v>2018</v>
      </c>
      <c r="C1163" s="2">
        <f t="shared" si="45"/>
        <v>1</v>
      </c>
      <c r="D1163" s="4">
        <v>43131</v>
      </c>
      <c r="E1163" s="3">
        <v>94.480039683665979</v>
      </c>
      <c r="F1163" s="14">
        <v>1</v>
      </c>
      <c r="G1163" s="3">
        <f>'Monthly CFS'!C1163 * 86400 * DAY(EOMONTH(D1163,0)) / 43560</f>
        <v>956.75520131378937</v>
      </c>
      <c r="H1163" s="3"/>
    </row>
    <row r="1164" spans="1:8" x14ac:dyDescent="0.25">
      <c r="A1164" s="2">
        <v>1157</v>
      </c>
      <c r="B1164" s="2">
        <f t="shared" si="44"/>
        <v>2018</v>
      </c>
      <c r="C1164" s="2">
        <f t="shared" si="45"/>
        <v>2</v>
      </c>
      <c r="D1164" s="4">
        <v>43159</v>
      </c>
      <c r="E1164" s="3">
        <v>108.63618759646829</v>
      </c>
      <c r="F1164" s="14">
        <v>1</v>
      </c>
      <c r="G1164" s="3">
        <f>'Monthly CFS'!C1164 * 86400 * DAY(EOMONTH(D1164,0)) / 43560</f>
        <v>980.31221027748359</v>
      </c>
      <c r="H1164" s="3"/>
    </row>
    <row r="1165" spans="1:8" x14ac:dyDescent="0.25">
      <c r="A1165" s="2">
        <v>1158</v>
      </c>
      <c r="B1165" s="2">
        <f t="shared" si="44"/>
        <v>2018</v>
      </c>
      <c r="C1165" s="2">
        <f t="shared" si="45"/>
        <v>3</v>
      </c>
      <c r="D1165" s="4">
        <v>43190</v>
      </c>
      <c r="E1165" s="3">
        <v>106.88716825976086</v>
      </c>
      <c r="F1165" s="14">
        <v>0.59926903667890929</v>
      </c>
      <c r="G1165" s="3">
        <f>'Monthly CFS'!C1165 * 86400 * DAY(EOMONTH(D1165,0)) / 43560</f>
        <v>956.62192543352546</v>
      </c>
      <c r="H1165" s="3"/>
    </row>
    <row r="1166" spans="1:8" x14ac:dyDescent="0.25">
      <c r="A1166" s="2">
        <v>1159</v>
      </c>
      <c r="B1166" s="2">
        <f t="shared" si="44"/>
        <v>2018</v>
      </c>
      <c r="C1166" s="2">
        <f t="shared" si="45"/>
        <v>4</v>
      </c>
      <c r="D1166" s="4">
        <v>43220</v>
      </c>
      <c r="E1166" s="3">
        <v>155.3596574547162</v>
      </c>
      <c r="F1166" s="14">
        <v>0.78754426919829879</v>
      </c>
      <c r="G1166" s="3">
        <f>'Monthly CFS'!C1166 * 86400 * DAY(EOMONTH(D1166,0)) / 43560</f>
        <v>1561.6876860582595</v>
      </c>
      <c r="H1166" s="3"/>
    </row>
    <row r="1167" spans="1:8" x14ac:dyDescent="0.25">
      <c r="A1167" s="2">
        <v>1160</v>
      </c>
      <c r="B1167" s="2">
        <f t="shared" si="44"/>
        <v>2018</v>
      </c>
      <c r="C1167" s="2">
        <f t="shared" si="45"/>
        <v>5</v>
      </c>
      <c r="D1167" s="4">
        <v>43251</v>
      </c>
      <c r="E1167" s="3">
        <v>189.91672423298658</v>
      </c>
      <c r="F1167" s="14">
        <v>1</v>
      </c>
      <c r="G1167" s="3">
        <f>'Monthly CFS'!C1167 * 86400 * DAY(EOMONTH(D1167,0)) / 43560</f>
        <v>2304.0392106647896</v>
      </c>
      <c r="H1167" s="3"/>
    </row>
    <row r="1168" spans="1:8" x14ac:dyDescent="0.25">
      <c r="A1168" s="2">
        <v>1161</v>
      </c>
      <c r="B1168" s="2">
        <f t="shared" si="44"/>
        <v>2018</v>
      </c>
      <c r="C1168" s="2">
        <f t="shared" si="45"/>
        <v>6</v>
      </c>
      <c r="D1168" s="4">
        <v>43281</v>
      </c>
      <c r="E1168" s="3">
        <v>249.9422753220806</v>
      </c>
      <c r="F1168" s="14">
        <v>1</v>
      </c>
      <c r="G1168" s="3">
        <f>'Monthly CFS'!C1168 * 86400 * DAY(EOMONTH(D1168,0)) / 43560</f>
        <v>3029.8940420080662</v>
      </c>
      <c r="H1168" s="3"/>
    </row>
    <row r="1169" spans="1:8" x14ac:dyDescent="0.25">
      <c r="A1169" s="2">
        <v>1162</v>
      </c>
      <c r="B1169" s="2">
        <f t="shared" si="44"/>
        <v>2018</v>
      </c>
      <c r="C1169" s="2">
        <f t="shared" si="45"/>
        <v>7</v>
      </c>
      <c r="D1169" s="4">
        <v>43312</v>
      </c>
      <c r="E1169" s="3">
        <v>278.83348316359661</v>
      </c>
      <c r="F1169" s="14">
        <v>1</v>
      </c>
      <c r="G1169" s="3">
        <f>'Monthly CFS'!C1169 * 86400 * DAY(EOMONTH(D1169,0)) / 43560</f>
        <v>3887.7224194573901</v>
      </c>
      <c r="H1169" s="3"/>
    </row>
    <row r="1170" spans="1:8" x14ac:dyDescent="0.25">
      <c r="A1170" s="2">
        <v>1163</v>
      </c>
      <c r="B1170" s="2">
        <f t="shared" si="44"/>
        <v>2018</v>
      </c>
      <c r="C1170" s="2">
        <f t="shared" si="45"/>
        <v>8</v>
      </c>
      <c r="D1170" s="4">
        <v>43343</v>
      </c>
      <c r="E1170" s="3">
        <v>281.64601106700832</v>
      </c>
      <c r="F1170" s="14">
        <v>1</v>
      </c>
      <c r="G1170" s="3">
        <f>'Monthly CFS'!C1170 * 86400 * DAY(EOMONTH(D1170,0)) / 43560</f>
        <v>4250.6499170690258</v>
      </c>
      <c r="H1170" s="3"/>
    </row>
    <row r="1171" spans="1:8" x14ac:dyDescent="0.25">
      <c r="A1171" s="2">
        <v>1164</v>
      </c>
      <c r="B1171" s="2">
        <f t="shared" si="44"/>
        <v>2018</v>
      </c>
      <c r="C1171" s="2">
        <f t="shared" si="45"/>
        <v>9</v>
      </c>
      <c r="D1171" s="4">
        <v>43373</v>
      </c>
      <c r="E1171" s="3">
        <v>247.80503551638381</v>
      </c>
      <c r="F1171" s="14">
        <v>1</v>
      </c>
      <c r="G1171" s="3">
        <f>'Monthly CFS'!C1171 * 86400 * DAY(EOMONTH(D1171,0)) / 43560</f>
        <v>3585.2828654276923</v>
      </c>
      <c r="H1171" s="3"/>
    </row>
    <row r="1172" spans="1:8" x14ac:dyDescent="0.25">
      <c r="A1172" s="2">
        <v>1165</v>
      </c>
      <c r="B1172" s="2">
        <f t="shared" si="44"/>
        <v>2018</v>
      </c>
      <c r="C1172" s="2">
        <f t="shared" si="45"/>
        <v>10</v>
      </c>
      <c r="D1172" s="4">
        <v>43404</v>
      </c>
      <c r="E1172" s="3">
        <v>213.68325149262245</v>
      </c>
      <c r="F1172" s="14">
        <v>1</v>
      </c>
      <c r="G1172" s="3">
        <f>'Monthly CFS'!C1172 * 86400 * DAY(EOMONTH(D1172,0)) / 43560</f>
        <v>2441.5116681819259</v>
      </c>
      <c r="H1172" s="3"/>
    </row>
    <row r="1173" spans="1:8" x14ac:dyDescent="0.25">
      <c r="A1173" s="2">
        <v>1166</v>
      </c>
      <c r="B1173" s="2">
        <f t="shared" si="44"/>
        <v>2018</v>
      </c>
      <c r="C1173" s="2">
        <f t="shared" si="45"/>
        <v>11</v>
      </c>
      <c r="D1173" s="4">
        <v>43434</v>
      </c>
      <c r="E1173" s="3">
        <v>158.8926457049497</v>
      </c>
      <c r="F1173" s="14">
        <v>1</v>
      </c>
      <c r="G1173" s="3">
        <f>'Monthly CFS'!C1173 * 86400 * DAY(EOMONTH(D1173,0)) / 43560</f>
        <v>1550.6899042060877</v>
      </c>
      <c r="H1173" s="3"/>
    </row>
    <row r="1174" spans="1:8" x14ac:dyDescent="0.25">
      <c r="A1174" s="2">
        <v>1167</v>
      </c>
      <c r="B1174" s="2">
        <f t="shared" si="44"/>
        <v>2018</v>
      </c>
      <c r="C1174" s="2">
        <f t="shared" si="45"/>
        <v>12</v>
      </c>
      <c r="D1174" s="4">
        <v>43465</v>
      </c>
      <c r="E1174" s="3">
        <v>140.7197017834973</v>
      </c>
      <c r="F1174" s="14">
        <v>1</v>
      </c>
      <c r="G1174" s="3">
        <f>'Monthly CFS'!C1174 * 86400 * DAY(EOMONTH(D1174,0)) / 43560</f>
        <v>1275.7448662618165</v>
      </c>
      <c r="H1174" s="3"/>
    </row>
    <row r="1175" spans="1:8" x14ac:dyDescent="0.25">
      <c r="A1175" s="2">
        <v>1168</v>
      </c>
      <c r="B1175" s="2">
        <f t="shared" si="44"/>
        <v>2019</v>
      </c>
      <c r="C1175" s="2">
        <f t="shared" si="45"/>
        <v>1</v>
      </c>
      <c r="D1175" s="4">
        <v>43496</v>
      </c>
      <c r="E1175" s="3">
        <v>120.71654124454039</v>
      </c>
      <c r="F1175" s="14">
        <v>1</v>
      </c>
      <c r="G1175" s="3">
        <f>'Monthly CFS'!C1175 * 86400 * DAY(EOMONTH(D1175,0)) / 43560</f>
        <v>133.67826149478657</v>
      </c>
      <c r="H1175" s="3"/>
    </row>
    <row r="1176" spans="1:8" x14ac:dyDescent="0.25">
      <c r="A1176" s="2">
        <v>1169</v>
      </c>
      <c r="B1176" s="2">
        <f t="shared" si="44"/>
        <v>2019</v>
      </c>
      <c r="C1176" s="2">
        <f t="shared" si="45"/>
        <v>2</v>
      </c>
      <c r="D1176" s="4">
        <v>43524</v>
      </c>
      <c r="E1176" s="3">
        <v>114.45563578137683</v>
      </c>
      <c r="F1176" s="14">
        <v>1</v>
      </c>
      <c r="G1176" s="3">
        <f>'Monthly CFS'!C1176 * 86400 * DAY(EOMONTH(D1176,0)) / 43560</f>
        <v>168.02245879053959</v>
      </c>
      <c r="H1176" s="3"/>
    </row>
    <row r="1177" spans="1:8" x14ac:dyDescent="0.25">
      <c r="A1177" s="2">
        <v>1170</v>
      </c>
      <c r="B1177" s="2">
        <f t="shared" si="44"/>
        <v>2019</v>
      </c>
      <c r="C1177" s="2">
        <f t="shared" si="45"/>
        <v>3</v>
      </c>
      <c r="D1177" s="4">
        <v>43555</v>
      </c>
      <c r="E1177" s="3">
        <v>96.914806888136866</v>
      </c>
      <c r="F1177" s="14">
        <v>1</v>
      </c>
      <c r="G1177" s="3">
        <f>'Monthly CFS'!C1177 * 86400 * DAY(EOMONTH(D1177,0)) / 43560</f>
        <v>1101.0671114611541</v>
      </c>
      <c r="H1177" s="3"/>
    </row>
    <row r="1178" spans="1:8" x14ac:dyDescent="0.25">
      <c r="A1178" s="2">
        <v>1171</v>
      </c>
      <c r="B1178" s="2">
        <f t="shared" si="44"/>
        <v>2019</v>
      </c>
      <c r="C1178" s="2">
        <f t="shared" si="45"/>
        <v>4</v>
      </c>
      <c r="D1178" s="4">
        <v>43585</v>
      </c>
      <c r="E1178" s="3">
        <v>127.84175342511905</v>
      </c>
      <c r="F1178" s="14">
        <v>1</v>
      </c>
      <c r="G1178" s="3">
        <f>'Monthly CFS'!C1178 * 86400 * DAY(EOMONTH(D1178,0)) / 43560</f>
        <v>1561.687686058259</v>
      </c>
      <c r="H1178" s="3"/>
    </row>
    <row r="1179" spans="1:8" x14ac:dyDescent="0.25">
      <c r="A1179" s="2">
        <v>1172</v>
      </c>
      <c r="B1179" s="2">
        <f t="shared" si="44"/>
        <v>2019</v>
      </c>
      <c r="C1179" s="2">
        <f t="shared" si="45"/>
        <v>5</v>
      </c>
      <c r="D1179" s="4">
        <v>43616</v>
      </c>
      <c r="E1179" s="3">
        <v>173.69722718890347</v>
      </c>
      <c r="F1179" s="14">
        <v>1</v>
      </c>
      <c r="G1179" s="3">
        <f>'Monthly CFS'!C1179 * 86400 * DAY(EOMONTH(D1179,0)) / 43560</f>
        <v>2304.0392106647901</v>
      </c>
      <c r="H1179" s="3"/>
    </row>
    <row r="1180" spans="1:8" x14ac:dyDescent="0.25">
      <c r="A1180" s="2">
        <v>1173</v>
      </c>
      <c r="B1180" s="2">
        <f t="shared" si="44"/>
        <v>2019</v>
      </c>
      <c r="C1180" s="2">
        <f t="shared" si="45"/>
        <v>6</v>
      </c>
      <c r="D1180" s="4">
        <v>43646</v>
      </c>
      <c r="E1180" s="3">
        <v>230.63820084858216</v>
      </c>
      <c r="F1180" s="14">
        <v>1</v>
      </c>
      <c r="G1180" s="3">
        <f>'Monthly CFS'!C1180 * 86400 * DAY(EOMONTH(D1180,0)) / 43560</f>
        <v>3029.8940420080662</v>
      </c>
      <c r="H1180" s="3"/>
    </row>
    <row r="1181" spans="1:8" x14ac:dyDescent="0.25">
      <c r="A1181" s="2">
        <v>1174</v>
      </c>
      <c r="B1181" s="2">
        <f t="shared" si="44"/>
        <v>2019</v>
      </c>
      <c r="C1181" s="2">
        <f t="shared" si="45"/>
        <v>7</v>
      </c>
      <c r="D1181" s="4">
        <v>43677</v>
      </c>
      <c r="E1181" s="3">
        <v>271.7118866711902</v>
      </c>
      <c r="F1181" s="14">
        <v>1</v>
      </c>
      <c r="G1181" s="3">
        <f>'Monthly CFS'!C1181 * 86400 * DAY(EOMONTH(D1181,0)) / 43560</f>
        <v>3887.7224194573901</v>
      </c>
      <c r="H1181" s="3"/>
    </row>
    <row r="1182" spans="1:8" x14ac:dyDescent="0.25">
      <c r="A1182" s="2">
        <v>1175</v>
      </c>
      <c r="B1182" s="2">
        <f t="shared" si="44"/>
        <v>2019</v>
      </c>
      <c r="C1182" s="2">
        <f t="shared" si="45"/>
        <v>8</v>
      </c>
      <c r="D1182" s="4">
        <v>43708</v>
      </c>
      <c r="E1182" s="3">
        <v>282.21761897027193</v>
      </c>
      <c r="F1182" s="14">
        <v>1</v>
      </c>
      <c r="G1182" s="3">
        <f>'Monthly CFS'!C1182 * 86400 * DAY(EOMONTH(D1182,0)) / 43560</f>
        <v>4250.6499170690267</v>
      </c>
      <c r="H1182" s="3"/>
    </row>
    <row r="1183" spans="1:8" x14ac:dyDescent="0.25">
      <c r="A1183" s="2">
        <v>1176</v>
      </c>
      <c r="B1183" s="2">
        <f t="shared" si="44"/>
        <v>2019</v>
      </c>
      <c r="C1183" s="2">
        <f t="shared" si="45"/>
        <v>9</v>
      </c>
      <c r="D1183" s="4">
        <v>43738</v>
      </c>
      <c r="E1183" s="3">
        <v>245.18670139121073</v>
      </c>
      <c r="F1183" s="14">
        <v>1</v>
      </c>
      <c r="G1183" s="3">
        <f>'Monthly CFS'!C1183 * 86400 * DAY(EOMONTH(D1183,0)) / 43560</f>
        <v>3585.2828654276909</v>
      </c>
      <c r="H1183" s="3"/>
    </row>
    <row r="1184" spans="1:8" x14ac:dyDescent="0.25">
      <c r="A1184" s="2">
        <v>1177</v>
      </c>
      <c r="B1184" s="2">
        <f t="shared" si="44"/>
        <v>2019</v>
      </c>
      <c r="C1184" s="2">
        <f t="shared" si="45"/>
        <v>10</v>
      </c>
      <c r="D1184" s="4">
        <v>43769</v>
      </c>
      <c r="E1184" s="3">
        <v>208.40764336055318</v>
      </c>
      <c r="F1184" s="14">
        <v>1</v>
      </c>
      <c r="G1184" s="3">
        <f>'Monthly CFS'!C1184 * 86400 * DAY(EOMONTH(D1184,0)) / 43560</f>
        <v>2441.5116681819259</v>
      </c>
      <c r="H1184" s="3"/>
    </row>
    <row r="1185" spans="1:8" x14ac:dyDescent="0.25">
      <c r="A1185" s="2">
        <v>1178</v>
      </c>
      <c r="B1185" s="2">
        <f t="shared" si="44"/>
        <v>2019</v>
      </c>
      <c r="C1185" s="2">
        <f t="shared" si="45"/>
        <v>11</v>
      </c>
      <c r="D1185" s="4">
        <v>43799</v>
      </c>
      <c r="E1185" s="3">
        <v>139.9081154259168</v>
      </c>
      <c r="F1185" s="14">
        <v>1</v>
      </c>
      <c r="G1185" s="3">
        <f>'Monthly CFS'!C1185 * 86400 * DAY(EOMONTH(D1185,0)) / 43560</f>
        <v>1550.6899042060875</v>
      </c>
      <c r="H1185" s="3"/>
    </row>
    <row r="1186" spans="1:8" x14ac:dyDescent="0.25">
      <c r="A1186" s="2">
        <v>1179</v>
      </c>
      <c r="B1186" s="2">
        <f t="shared" si="44"/>
        <v>2019</v>
      </c>
      <c r="C1186" s="2">
        <f t="shared" si="45"/>
        <v>12</v>
      </c>
      <c r="D1186" s="4">
        <v>43830</v>
      </c>
      <c r="E1186" s="3">
        <v>100.09781597435997</v>
      </c>
      <c r="F1186" s="14">
        <v>1</v>
      </c>
      <c r="G1186" s="3">
        <f>'Monthly CFS'!C1186 * 86400 * DAY(EOMONTH(D1186,0)) / 43560</f>
        <v>1275.7448662618172</v>
      </c>
      <c r="H1186" s="3"/>
    </row>
    <row r="1187" spans="1:8" x14ac:dyDescent="0.25">
      <c r="A1187" s="2">
        <v>1180</v>
      </c>
      <c r="B1187" s="2">
        <f t="shared" si="44"/>
        <v>2020</v>
      </c>
      <c r="C1187" s="2">
        <f t="shared" si="45"/>
        <v>1</v>
      </c>
      <c r="D1187" s="4">
        <v>43861</v>
      </c>
      <c r="E1187" s="3">
        <v>94.480039683665979</v>
      </c>
      <c r="F1187" s="14">
        <v>1</v>
      </c>
      <c r="G1187" s="3">
        <f>'Monthly CFS'!C1187 * 86400 * DAY(EOMONTH(D1187,0)) / 43560</f>
        <v>792.63559845426107</v>
      </c>
      <c r="H1187" s="3"/>
    </row>
    <row r="1188" spans="1:8" x14ac:dyDescent="0.25">
      <c r="A1188" s="2">
        <v>1181</v>
      </c>
      <c r="B1188" s="2">
        <f t="shared" si="44"/>
        <v>2020</v>
      </c>
      <c r="C1188" s="2">
        <f t="shared" si="45"/>
        <v>2</v>
      </c>
      <c r="D1188" s="4">
        <v>43890</v>
      </c>
      <c r="E1188" s="3">
        <v>104.89011216210731</v>
      </c>
      <c r="F1188" s="14">
        <v>1</v>
      </c>
      <c r="G1188" s="3">
        <f>'Monthly CFS'!C1188 * 86400 * DAY(EOMONTH(D1188,0)) / 43560</f>
        <v>647.55902943150329</v>
      </c>
      <c r="H1188" s="3"/>
    </row>
    <row r="1189" spans="1:8" x14ac:dyDescent="0.25">
      <c r="A1189" s="2">
        <v>1182</v>
      </c>
      <c r="B1189" s="2">
        <f t="shared" si="44"/>
        <v>2020</v>
      </c>
      <c r="C1189" s="2">
        <f t="shared" si="45"/>
        <v>3</v>
      </c>
      <c r="D1189" s="4">
        <v>43921</v>
      </c>
      <c r="E1189" s="3">
        <v>123.59371307269531</v>
      </c>
      <c r="F1189" s="14">
        <v>0.50554016069869134</v>
      </c>
      <c r="G1189" s="3">
        <f>'Monthly CFS'!C1189 * 86400 * DAY(EOMONTH(D1189,0)) / 43560</f>
        <v>467.21975982308464</v>
      </c>
      <c r="H1189" s="3"/>
    </row>
    <row r="1190" spans="1:8" x14ac:dyDescent="0.25">
      <c r="A1190" s="2">
        <v>1183</v>
      </c>
      <c r="B1190" s="2">
        <f t="shared" si="44"/>
        <v>2020</v>
      </c>
      <c r="C1190" s="2">
        <f t="shared" si="45"/>
        <v>4</v>
      </c>
      <c r="D1190" s="4">
        <v>43951</v>
      </c>
      <c r="E1190" s="3">
        <v>181.23525201198251</v>
      </c>
      <c r="F1190" s="14">
        <v>0.62762378798449181</v>
      </c>
      <c r="G1190" s="3">
        <f>'Monthly CFS'!C1190 * 86400 * DAY(EOMONTH(D1190,0)) / 43560</f>
        <v>1032.1506936044873</v>
      </c>
      <c r="H1190" s="3"/>
    </row>
    <row r="1191" spans="1:8" x14ac:dyDescent="0.25">
      <c r="A1191" s="2">
        <v>1184</v>
      </c>
      <c r="B1191" s="2">
        <f t="shared" si="44"/>
        <v>2020</v>
      </c>
      <c r="C1191" s="2">
        <f t="shared" si="45"/>
        <v>5</v>
      </c>
      <c r="D1191" s="4">
        <v>43982</v>
      </c>
      <c r="E1191" s="3">
        <v>220.07156033713082</v>
      </c>
      <c r="F1191" s="14">
        <v>0.75</v>
      </c>
      <c r="G1191" s="3">
        <f>'Monthly CFS'!C1191 * 86400 * DAY(EOMONTH(D1191,0)) / 43560</f>
        <v>1522.7856956354863</v>
      </c>
      <c r="H1191" s="3"/>
    </row>
    <row r="1192" spans="1:8" x14ac:dyDescent="0.25">
      <c r="A1192" s="2">
        <v>1185</v>
      </c>
      <c r="B1192" s="2">
        <f t="shared" si="44"/>
        <v>2020</v>
      </c>
      <c r="C1192" s="2">
        <f t="shared" si="45"/>
        <v>6</v>
      </c>
      <c r="D1192" s="4">
        <v>44012</v>
      </c>
      <c r="E1192" s="3">
        <v>257.70906701703859</v>
      </c>
      <c r="F1192" s="14">
        <v>0.75</v>
      </c>
      <c r="G1192" s="3">
        <f>'Monthly CFS'!C1192 * 86400 * DAY(EOMONTH(D1192,0)) / 43560</f>
        <v>2002.5177024351995</v>
      </c>
      <c r="H1192" s="3"/>
    </row>
    <row r="1193" spans="1:8" x14ac:dyDescent="0.25">
      <c r="A1193" s="2">
        <v>1186</v>
      </c>
      <c r="B1193" s="2">
        <f t="shared" si="44"/>
        <v>2020</v>
      </c>
      <c r="C1193" s="2">
        <f t="shared" si="45"/>
        <v>7</v>
      </c>
      <c r="D1193" s="4">
        <v>44043</v>
      </c>
      <c r="E1193" s="3">
        <v>288.24290179325095</v>
      </c>
      <c r="F1193" s="14">
        <v>0.75</v>
      </c>
      <c r="G1193" s="3">
        <f>'Monthly CFS'!C1193 * 86400 * DAY(EOMONTH(D1193,0)) / 43560</f>
        <v>2569.4736710851985</v>
      </c>
      <c r="H1193" s="3"/>
    </row>
    <row r="1194" spans="1:8" x14ac:dyDescent="0.25">
      <c r="A1194" s="2">
        <v>1187</v>
      </c>
      <c r="B1194" s="2">
        <f t="shared" si="44"/>
        <v>2020</v>
      </c>
      <c r="C1194" s="2">
        <f t="shared" si="45"/>
        <v>8</v>
      </c>
      <c r="D1194" s="4">
        <v>44074</v>
      </c>
      <c r="E1194" s="3">
        <v>279.99483921206041</v>
      </c>
      <c r="F1194" s="14">
        <v>0.75</v>
      </c>
      <c r="G1194" s="3">
        <f>'Monthly CFS'!C1194 * 86400 * DAY(EOMONTH(D1194,0)) / 43560</f>
        <v>2809.3397286408426</v>
      </c>
      <c r="H1194" s="3"/>
    </row>
    <row r="1195" spans="1:8" x14ac:dyDescent="0.25">
      <c r="A1195" s="2">
        <v>1188</v>
      </c>
      <c r="B1195" s="2">
        <f t="shared" si="44"/>
        <v>2020</v>
      </c>
      <c r="C1195" s="2">
        <f t="shared" si="45"/>
        <v>9</v>
      </c>
      <c r="D1195" s="4">
        <v>44104</v>
      </c>
      <c r="E1195" s="3">
        <v>253.56663201676474</v>
      </c>
      <c r="F1195" s="14">
        <v>0.75</v>
      </c>
      <c r="G1195" s="3">
        <f>'Monthly CFS'!C1195 * 86400 * DAY(EOMONTH(D1195,0)) / 43560</f>
        <v>2369.5853078407554</v>
      </c>
      <c r="H1195" s="3"/>
    </row>
    <row r="1196" spans="1:8" x14ac:dyDescent="0.25">
      <c r="A1196" s="2">
        <v>1189</v>
      </c>
      <c r="B1196" s="2">
        <f t="shared" si="44"/>
        <v>2020</v>
      </c>
      <c r="C1196" s="2">
        <f t="shared" si="45"/>
        <v>10</v>
      </c>
      <c r="D1196" s="4">
        <v>44135</v>
      </c>
      <c r="E1196" s="3">
        <v>216.07475469170529</v>
      </c>
      <c r="F1196" s="14">
        <v>0.75</v>
      </c>
      <c r="G1196" s="3">
        <f>'Monthly CFS'!C1196 * 86400 * DAY(EOMONTH(D1196,0)) / 43560</f>
        <v>1613.6439982554957</v>
      </c>
      <c r="H1196" s="3"/>
    </row>
    <row r="1197" spans="1:8" x14ac:dyDescent="0.25">
      <c r="A1197" s="2">
        <v>1190</v>
      </c>
      <c r="B1197" s="2">
        <f t="shared" si="44"/>
        <v>2020</v>
      </c>
      <c r="C1197" s="2">
        <f t="shared" si="45"/>
        <v>11</v>
      </c>
      <c r="D1197" s="4">
        <v>44165</v>
      </c>
      <c r="E1197" s="3">
        <v>174.85540601156069</v>
      </c>
      <c r="F1197" s="14">
        <v>0.74999999999999989</v>
      </c>
      <c r="G1197" s="3">
        <f>'Monthly CFS'!C1197 * 86400 * DAY(EOMONTH(D1197,0)) / 43560</f>
        <v>1024.8820391429279</v>
      </c>
      <c r="H1197" s="3"/>
    </row>
    <row r="1198" spans="1:8" x14ac:dyDescent="0.25">
      <c r="A1198" s="2">
        <v>1191</v>
      </c>
      <c r="B1198" s="2">
        <f t="shared" si="44"/>
        <v>2020</v>
      </c>
      <c r="C1198" s="2">
        <f t="shared" si="45"/>
        <v>12</v>
      </c>
      <c r="D1198" s="4">
        <v>44196</v>
      </c>
      <c r="E1198" s="3">
        <v>153.1868782359345</v>
      </c>
      <c r="F1198" s="14">
        <v>0.75</v>
      </c>
      <c r="G1198" s="3">
        <f>'Monthly CFS'!C1198 * 86400 * DAY(EOMONTH(D1198,0)) / 43560</f>
        <v>843.1653526692254</v>
      </c>
      <c r="H1198" s="3"/>
    </row>
    <row r="1199" spans="1:8" x14ac:dyDescent="0.25">
      <c r="A1199" s="2">
        <v>1192</v>
      </c>
      <c r="B1199" s="2">
        <f t="shared" si="44"/>
        <v>2021</v>
      </c>
      <c r="C1199" s="2">
        <f t="shared" si="45"/>
        <v>1</v>
      </c>
      <c r="D1199" s="4">
        <v>44227</v>
      </c>
      <c r="E1199" s="3">
        <v>148.33069936464571</v>
      </c>
      <c r="F1199" s="14">
        <v>0.75</v>
      </c>
      <c r="G1199" s="3">
        <f>'Monthly CFS'!C1199 * 86400 * DAY(EOMONTH(D1199,0)) / 43560</f>
        <v>133.67826149478648</v>
      </c>
      <c r="H1199" s="3"/>
    </row>
    <row r="1200" spans="1:8" x14ac:dyDescent="0.25">
      <c r="A1200" s="2">
        <v>1193</v>
      </c>
      <c r="B1200" s="2">
        <f t="shared" si="44"/>
        <v>2021</v>
      </c>
      <c r="C1200" s="2">
        <f t="shared" si="45"/>
        <v>2</v>
      </c>
      <c r="D1200" s="4">
        <v>44255</v>
      </c>
      <c r="E1200" s="3">
        <v>145.70191233106172</v>
      </c>
      <c r="F1200" s="14">
        <v>0.5</v>
      </c>
      <c r="G1200" s="3">
        <f>'Monthly CFS'!C1200 * 86400 * DAY(EOMONTH(D1200,0)) / 43560</f>
        <v>119.16117142312108</v>
      </c>
      <c r="H1200" s="3"/>
    </row>
    <row r="1201" spans="1:8" x14ac:dyDescent="0.25">
      <c r="A1201" s="2">
        <v>1194</v>
      </c>
      <c r="B1201" s="2">
        <f t="shared" si="44"/>
        <v>2021</v>
      </c>
      <c r="C1201" s="2">
        <f t="shared" si="45"/>
        <v>3</v>
      </c>
      <c r="D1201" s="4">
        <v>44286</v>
      </c>
      <c r="E1201" s="3">
        <v>152.55323506385784</v>
      </c>
      <c r="F1201" s="14">
        <v>0.5</v>
      </c>
      <c r="G1201" s="3">
        <f>'Monthly CFS'!C1201 * 86400 * DAY(EOMONTH(D1201,0)) / 43560</f>
        <v>240.87021549705932</v>
      </c>
      <c r="H1201" s="3"/>
    </row>
    <row r="1202" spans="1:8" x14ac:dyDescent="0.25">
      <c r="A1202" s="2">
        <v>1195</v>
      </c>
      <c r="B1202" s="2">
        <f t="shared" si="44"/>
        <v>2021</v>
      </c>
      <c r="C1202" s="2">
        <f t="shared" si="45"/>
        <v>4</v>
      </c>
      <c r="D1202" s="4">
        <v>44316</v>
      </c>
      <c r="E1202" s="3">
        <v>196.32088667964655</v>
      </c>
      <c r="F1202" s="14">
        <v>0.5</v>
      </c>
      <c r="G1202" s="3">
        <f>'Monthly CFS'!C1202 * 86400 * DAY(EOMONTH(D1202,0)) / 43560</f>
        <v>201.64790460360524</v>
      </c>
      <c r="H1202" s="3"/>
    </row>
    <row r="1203" spans="1:8" x14ac:dyDescent="0.25">
      <c r="A1203" s="2">
        <v>1196</v>
      </c>
      <c r="B1203" s="2">
        <f t="shared" si="44"/>
        <v>2021</v>
      </c>
      <c r="C1203" s="2">
        <f t="shared" si="45"/>
        <v>5</v>
      </c>
      <c r="D1203" s="4">
        <v>44347</v>
      </c>
      <c r="E1203" s="3">
        <v>239.89165958575308</v>
      </c>
      <c r="F1203" s="14">
        <v>0.25</v>
      </c>
      <c r="G1203" s="3">
        <f>'Monthly CFS'!C1203 * 86400 * DAY(EOMONTH(D1203,0)) / 43560</f>
        <v>297.50165996875734</v>
      </c>
      <c r="H1203" s="3"/>
    </row>
    <row r="1204" spans="1:8" x14ac:dyDescent="0.25">
      <c r="A1204" s="2">
        <v>1197</v>
      </c>
      <c r="B1204" s="2">
        <f t="shared" si="44"/>
        <v>2021</v>
      </c>
      <c r="C1204" s="2">
        <f t="shared" si="45"/>
        <v>6</v>
      </c>
      <c r="D1204" s="4">
        <v>44377</v>
      </c>
      <c r="E1204" s="3">
        <v>275.36306112931697</v>
      </c>
      <c r="F1204" s="14">
        <v>0.25</v>
      </c>
      <c r="G1204" s="3">
        <f>'Monthly CFS'!C1204 * 86400 * DAY(EOMONTH(D1204,0)) / 43560</f>
        <v>391.22533282181627</v>
      </c>
      <c r="H1204" s="3"/>
    </row>
    <row r="1205" spans="1:8" x14ac:dyDescent="0.25">
      <c r="A1205" s="2">
        <v>1198</v>
      </c>
      <c r="B1205" s="2">
        <f t="shared" si="44"/>
        <v>2021</v>
      </c>
      <c r="C1205" s="2">
        <f t="shared" si="45"/>
        <v>7</v>
      </c>
      <c r="D1205" s="4">
        <v>44408</v>
      </c>
      <c r="E1205" s="3">
        <v>287.21574840608628</v>
      </c>
      <c r="F1205" s="14">
        <v>0.24999999999999997</v>
      </c>
      <c r="G1205" s="3">
        <f>'Monthly CFS'!C1205 * 86400 * DAY(EOMONTH(D1205,0)) / 43560</f>
        <v>501.98966577162111</v>
      </c>
      <c r="H1205" s="3"/>
    </row>
    <row r="1206" spans="1:8" x14ac:dyDescent="0.25">
      <c r="A1206" s="2">
        <v>1199</v>
      </c>
      <c r="B1206" s="2">
        <f t="shared" si="44"/>
        <v>2021</v>
      </c>
      <c r="C1206" s="2">
        <f t="shared" si="45"/>
        <v>8</v>
      </c>
      <c r="D1206" s="4">
        <v>44439</v>
      </c>
      <c r="E1206" s="3">
        <v>278.99732431952128</v>
      </c>
      <c r="F1206" s="14">
        <v>0.25</v>
      </c>
      <c r="G1206" s="3">
        <f>'Monthly CFS'!C1206 * 86400 * DAY(EOMONTH(D1206,0)) / 43560</f>
        <v>548.85151277838941</v>
      </c>
      <c r="H1206" s="3"/>
    </row>
    <row r="1207" spans="1:8" x14ac:dyDescent="0.25">
      <c r="A1207" s="2">
        <v>1200</v>
      </c>
      <c r="B1207" s="2">
        <f t="shared" si="44"/>
        <v>2021</v>
      </c>
      <c r="C1207" s="2">
        <f t="shared" si="45"/>
        <v>9</v>
      </c>
      <c r="D1207" s="4">
        <v>44469</v>
      </c>
      <c r="E1207" s="3">
        <v>254.31992423903677</v>
      </c>
      <c r="F1207" s="14">
        <v>0.25</v>
      </c>
      <c r="G1207" s="3">
        <f>'Monthly CFS'!C1207 * 86400 * DAY(EOMONTH(D1207,0)) / 43560</f>
        <v>462.93813012606012</v>
      </c>
      <c r="H12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swpCVPSupplyData_CCA1_v3.7.0__B</vt:lpstr>
      <vt:lpstr>Monthly CFS</vt:lpstr>
      <vt:lpstr>Monthly AF</vt:lpstr>
      <vt:lpstr>Annual AF</vt:lpstr>
      <vt:lpstr>CCWD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Daly, Kensey</cp:lastModifiedBy>
  <dcterms:created xsi:type="dcterms:W3CDTF">2026-02-23T20:06:32Z</dcterms:created>
  <dcterms:modified xsi:type="dcterms:W3CDTF">2026-02-24T00:49:08Z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2026-02-23T20:06:32Z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d25222d4-9678-44b6-95e9-f94d1fe15f38</vt:lpwstr>
  </property>
  <property fmtid="{D5CDD505-2E9C-101B-9397-08002B2CF9AE}" pid="8" name="MSIP_Label_7d95f39c-8218-4425-a791-63c9e13c8708_ContentBits">
    <vt:lpwstr>0</vt:lpwstr>
  </property>
  <property fmtid="{D5CDD505-2E9C-101B-9397-08002B2CF9AE}" pid="9" name="MSIP_Label_7d95f39c-8218-4425-a791-63c9e13c8708_Tag">
    <vt:lpwstr>10, 0, 1, 1</vt:lpwstr>
  </property>
</Properties>
</file>
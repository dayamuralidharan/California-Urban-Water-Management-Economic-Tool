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KD012200\GitHub_Repos\California-Urban-Water-Management-Economic-Tool\CaUWMET\src\inputData\"/>
    </mc:Choice>
  </mc:AlternateContent>
  <xr:revisionPtr revIDLastSave="0" documentId="13_ncr:1_{A32DACFD-0094-4B0A-95B8-8DC49A20B72D}" xr6:coauthVersionLast="47" xr6:coauthVersionMax="47" xr10:uidLastSave="{00000000-0000-0000-0000-000000000000}"/>
  <bookViews>
    <workbookView xWindow="23880" yWindow="-120" windowWidth="24240" windowHeight="130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5" i="1" l="1"/>
  <c r="G1117" i="1" s="1"/>
  <c r="J101" i="1" s="1"/>
  <c r="J18" i="1"/>
  <c r="J19" i="1"/>
  <c r="J20" i="1"/>
  <c r="J21" i="1"/>
  <c r="J22" i="1"/>
  <c r="J23" i="1"/>
  <c r="J24" i="1"/>
  <c r="J25" i="1"/>
  <c r="J26" i="1"/>
  <c r="J27" i="1"/>
  <c r="J28" i="1"/>
  <c r="J29" i="1"/>
  <c r="J30" i="1"/>
  <c r="J31" i="1"/>
  <c r="J32" i="1"/>
  <c r="J33" i="1"/>
  <c r="J34" i="1"/>
  <c r="J35" i="1"/>
  <c r="J36" i="1"/>
  <c r="J37" i="1"/>
  <c r="J38" i="1"/>
  <c r="J39" i="1"/>
  <c r="J40" i="1"/>
  <c r="J41" i="1"/>
  <c r="J42" i="1"/>
  <c r="J43" i="1"/>
  <c r="J44" i="1"/>
  <c r="J45" i="1"/>
  <c r="J46" i="1"/>
  <c r="J47" i="1"/>
  <c r="J48" i="1"/>
  <c r="J49" i="1"/>
  <c r="J50" i="1"/>
  <c r="J51" i="1"/>
  <c r="J52" i="1"/>
  <c r="J53" i="1"/>
  <c r="J54" i="1"/>
  <c r="J55" i="1"/>
  <c r="J56" i="1"/>
  <c r="J57" i="1"/>
  <c r="J58" i="1"/>
  <c r="J59" i="1"/>
  <c r="J60" i="1"/>
  <c r="J61" i="1"/>
  <c r="J62" i="1"/>
  <c r="J63" i="1"/>
  <c r="J64" i="1"/>
  <c r="J65" i="1"/>
  <c r="J66" i="1"/>
  <c r="J67" i="1"/>
  <c r="J68" i="1"/>
  <c r="J69" i="1"/>
  <c r="J70" i="1"/>
  <c r="J71" i="1"/>
  <c r="J72" i="1"/>
  <c r="J73" i="1"/>
  <c r="J74" i="1"/>
  <c r="J75" i="1"/>
  <c r="J76" i="1"/>
  <c r="J77" i="1"/>
  <c r="J78" i="1"/>
  <c r="J79" i="1"/>
  <c r="J80" i="1"/>
  <c r="J81" i="1"/>
  <c r="J82" i="1"/>
  <c r="J83" i="1"/>
  <c r="J84" i="1"/>
  <c r="J85" i="1"/>
  <c r="J86" i="1"/>
  <c r="J87" i="1"/>
  <c r="J88" i="1"/>
  <c r="J89" i="1"/>
  <c r="J90" i="1"/>
  <c r="J91" i="1"/>
  <c r="J92" i="1"/>
  <c r="J93" i="1"/>
  <c r="J94" i="1"/>
  <c r="J95" i="1"/>
  <c r="J96" i="1"/>
  <c r="J97" i="1"/>
  <c r="J98" i="1"/>
  <c r="J99" i="1"/>
  <c r="J100" i="1"/>
  <c r="J9" i="1"/>
  <c r="G10" i="1"/>
  <c r="G11" i="1"/>
  <c r="G12" i="1"/>
  <c r="G13" i="1"/>
  <c r="G14" i="1"/>
  <c r="G15" i="1"/>
  <c r="G16" i="1"/>
  <c r="G17" i="1"/>
  <c r="G18" i="1"/>
  <c r="G19" i="1"/>
  <c r="G20" i="1"/>
  <c r="G21" i="1"/>
  <c r="G22" i="1"/>
  <c r="G23" i="1"/>
  <c r="G24" i="1"/>
  <c r="J10" i="1" s="1"/>
  <c r="G25" i="1"/>
  <c r="G26" i="1"/>
  <c r="G27" i="1"/>
  <c r="G28" i="1"/>
  <c r="G29" i="1"/>
  <c r="G30" i="1"/>
  <c r="G31" i="1"/>
  <c r="G32" i="1"/>
  <c r="G33" i="1"/>
  <c r="G34" i="1"/>
  <c r="G35" i="1"/>
  <c r="G36" i="1"/>
  <c r="J11" i="1" s="1"/>
  <c r="G37" i="1"/>
  <c r="G38" i="1"/>
  <c r="G39" i="1"/>
  <c r="G40" i="1"/>
  <c r="G41" i="1"/>
  <c r="G42" i="1"/>
  <c r="G43" i="1"/>
  <c r="G44" i="1"/>
  <c r="G45" i="1"/>
  <c r="G46" i="1"/>
  <c r="G47" i="1"/>
  <c r="G48" i="1"/>
  <c r="J12" i="1" s="1"/>
  <c r="G49" i="1"/>
  <c r="G50" i="1"/>
  <c r="G51" i="1"/>
  <c r="G52" i="1"/>
  <c r="G53" i="1"/>
  <c r="G54" i="1"/>
  <c r="G55" i="1"/>
  <c r="G56" i="1"/>
  <c r="G57" i="1"/>
  <c r="G58" i="1"/>
  <c r="G59" i="1"/>
  <c r="G60" i="1"/>
  <c r="J13" i="1" s="1"/>
  <c r="G61" i="1"/>
  <c r="G62" i="1"/>
  <c r="G63" i="1"/>
  <c r="G64" i="1"/>
  <c r="G65" i="1"/>
  <c r="G66" i="1"/>
  <c r="G67" i="1"/>
  <c r="G68" i="1"/>
  <c r="G69" i="1"/>
  <c r="G70" i="1"/>
  <c r="G71" i="1"/>
  <c r="G72" i="1"/>
  <c r="J14" i="1" s="1"/>
  <c r="G73" i="1"/>
  <c r="G74" i="1"/>
  <c r="G75" i="1"/>
  <c r="G76" i="1"/>
  <c r="G77" i="1"/>
  <c r="G78" i="1"/>
  <c r="G79" i="1"/>
  <c r="G80" i="1"/>
  <c r="G81" i="1"/>
  <c r="G82" i="1"/>
  <c r="G83" i="1"/>
  <c r="G84" i="1"/>
  <c r="J15" i="1" s="1"/>
  <c r="G85" i="1"/>
  <c r="G86" i="1"/>
  <c r="G87" i="1"/>
  <c r="G88" i="1"/>
  <c r="G89" i="1"/>
  <c r="G90" i="1"/>
  <c r="G91" i="1"/>
  <c r="G92" i="1"/>
  <c r="G93" i="1"/>
  <c r="G94" i="1"/>
  <c r="G95" i="1"/>
  <c r="G96" i="1"/>
  <c r="J16" i="1" s="1"/>
  <c r="G97" i="1"/>
  <c r="G98" i="1"/>
  <c r="G99" i="1"/>
  <c r="G100" i="1"/>
  <c r="G101" i="1"/>
  <c r="G102" i="1"/>
  <c r="G103" i="1"/>
  <c r="G104" i="1"/>
  <c r="G105" i="1"/>
  <c r="G106" i="1"/>
  <c r="G107" i="1"/>
  <c r="G108" i="1"/>
  <c r="J17" i="1" s="1"/>
  <c r="G109" i="1"/>
  <c r="G110" i="1"/>
  <c r="G111" i="1"/>
  <c r="G112" i="1"/>
  <c r="G113" i="1"/>
  <c r="G114" i="1"/>
  <c r="G115" i="1"/>
  <c r="G116" i="1"/>
  <c r="G117" i="1"/>
  <c r="G118" i="1"/>
  <c r="G119" i="1"/>
  <c r="G120" i="1"/>
  <c r="G121" i="1"/>
  <c r="G122" i="1"/>
  <c r="G123" i="1"/>
  <c r="G124" i="1"/>
  <c r="G125" i="1"/>
  <c r="G126" i="1"/>
  <c r="G127" i="1"/>
  <c r="G128" i="1"/>
  <c r="G129" i="1"/>
  <c r="G130" i="1"/>
  <c r="G131" i="1"/>
  <c r="G132" i="1"/>
  <c r="G133" i="1"/>
  <c r="G134" i="1"/>
  <c r="G135" i="1"/>
  <c r="G136" i="1"/>
  <c r="G137" i="1"/>
  <c r="G138" i="1"/>
  <c r="G139" i="1"/>
  <c r="G140" i="1"/>
  <c r="G141" i="1"/>
  <c r="G142" i="1"/>
  <c r="G143" i="1"/>
  <c r="G144" i="1"/>
  <c r="G145" i="1"/>
  <c r="G146" i="1"/>
  <c r="G147" i="1"/>
  <c r="G148" i="1"/>
  <c r="G149" i="1"/>
  <c r="G150" i="1"/>
  <c r="G151" i="1"/>
  <c r="G152" i="1"/>
  <c r="G153" i="1"/>
  <c r="G154" i="1"/>
  <c r="G155" i="1"/>
  <c r="G156" i="1"/>
  <c r="G157" i="1"/>
  <c r="G158" i="1"/>
  <c r="G159" i="1"/>
  <c r="G160" i="1"/>
  <c r="G161" i="1"/>
  <c r="G162" i="1"/>
  <c r="G163" i="1"/>
  <c r="G164" i="1"/>
  <c r="G165" i="1"/>
  <c r="G166" i="1"/>
  <c r="G167" i="1"/>
  <c r="G168" i="1"/>
  <c r="G169" i="1"/>
  <c r="G170" i="1"/>
  <c r="G171" i="1"/>
  <c r="G172" i="1"/>
  <c r="G173" i="1"/>
  <c r="G174" i="1"/>
  <c r="G175" i="1"/>
  <c r="G176" i="1"/>
  <c r="G177" i="1"/>
  <c r="G178" i="1"/>
  <c r="G179" i="1"/>
  <c r="G180" i="1"/>
  <c r="G181" i="1"/>
  <c r="G182" i="1"/>
  <c r="G183" i="1"/>
  <c r="G184" i="1"/>
  <c r="G185" i="1"/>
  <c r="G186" i="1"/>
  <c r="G187" i="1"/>
  <c r="G188" i="1"/>
  <c r="G189" i="1"/>
  <c r="G190" i="1"/>
  <c r="G191" i="1"/>
  <c r="G192" i="1"/>
  <c r="G193" i="1"/>
  <c r="G194" i="1"/>
  <c r="G195" i="1"/>
  <c r="G196" i="1"/>
  <c r="G197" i="1"/>
  <c r="G198" i="1"/>
  <c r="G199" i="1"/>
  <c r="G200" i="1"/>
  <c r="G201" i="1"/>
  <c r="G202" i="1"/>
  <c r="G203" i="1"/>
  <c r="G204" i="1"/>
  <c r="G205" i="1"/>
  <c r="G206" i="1"/>
  <c r="G207" i="1"/>
  <c r="G208" i="1"/>
  <c r="G209" i="1"/>
  <c r="G210" i="1"/>
  <c r="G211" i="1"/>
  <c r="G212" i="1"/>
  <c r="G213" i="1"/>
  <c r="G214" i="1"/>
  <c r="G215" i="1"/>
  <c r="G216" i="1"/>
  <c r="G217" i="1"/>
  <c r="G218" i="1"/>
  <c r="G219" i="1"/>
  <c r="G220" i="1"/>
  <c r="G221" i="1"/>
  <c r="G222" i="1"/>
  <c r="G223" i="1"/>
  <c r="G224" i="1"/>
  <c r="G225" i="1"/>
  <c r="G226" i="1"/>
  <c r="G227" i="1"/>
  <c r="G228" i="1"/>
  <c r="G229" i="1"/>
  <c r="G230" i="1"/>
  <c r="G231" i="1"/>
  <c r="G232" i="1"/>
  <c r="G233" i="1"/>
  <c r="G234" i="1"/>
  <c r="G235" i="1"/>
  <c r="G236" i="1"/>
  <c r="G237" i="1"/>
  <c r="G238" i="1"/>
  <c r="G239" i="1"/>
  <c r="G240" i="1"/>
  <c r="G241" i="1"/>
  <c r="G242" i="1"/>
  <c r="G243" i="1"/>
  <c r="G244" i="1"/>
  <c r="G245" i="1"/>
  <c r="G246" i="1"/>
  <c r="G247" i="1"/>
  <c r="G248" i="1"/>
  <c r="G249" i="1"/>
  <c r="G250" i="1"/>
  <c r="G251" i="1"/>
  <c r="G252" i="1"/>
  <c r="G253" i="1"/>
  <c r="G254" i="1"/>
  <c r="G255" i="1"/>
  <c r="G256" i="1"/>
  <c r="G257" i="1"/>
  <c r="G258" i="1"/>
  <c r="G259" i="1"/>
  <c r="G260" i="1"/>
  <c r="G261" i="1"/>
  <c r="G262" i="1"/>
  <c r="G263" i="1"/>
  <c r="G264" i="1"/>
  <c r="G265" i="1"/>
  <c r="G266" i="1"/>
  <c r="G267" i="1"/>
  <c r="G268" i="1"/>
  <c r="G269" i="1"/>
  <c r="G270" i="1"/>
  <c r="G271" i="1"/>
  <c r="G272" i="1"/>
  <c r="G273" i="1"/>
  <c r="G274" i="1"/>
  <c r="G275" i="1"/>
  <c r="G276" i="1"/>
  <c r="G277" i="1"/>
  <c r="G278" i="1"/>
  <c r="G279" i="1"/>
  <c r="G280" i="1"/>
  <c r="G281" i="1"/>
  <c r="G282" i="1"/>
  <c r="G283" i="1"/>
  <c r="G284" i="1"/>
  <c r="G285" i="1"/>
  <c r="G286" i="1"/>
  <c r="G287" i="1"/>
  <c r="G288" i="1"/>
  <c r="G289" i="1"/>
  <c r="G290" i="1"/>
  <c r="G291" i="1"/>
  <c r="G292" i="1"/>
  <c r="G293" i="1"/>
  <c r="G294" i="1"/>
  <c r="G295" i="1"/>
  <c r="G296" i="1"/>
  <c r="G297" i="1"/>
  <c r="G298" i="1"/>
  <c r="G299" i="1"/>
  <c r="G300" i="1"/>
  <c r="G301" i="1"/>
  <c r="G302" i="1"/>
  <c r="G303" i="1"/>
  <c r="G304" i="1"/>
  <c r="G305" i="1"/>
  <c r="G306" i="1"/>
  <c r="G307" i="1"/>
  <c r="G308" i="1"/>
  <c r="G309" i="1"/>
  <c r="G310" i="1"/>
  <c r="G311" i="1"/>
  <c r="G312" i="1"/>
  <c r="G313" i="1"/>
  <c r="G314" i="1"/>
  <c r="G315" i="1"/>
  <c r="G316" i="1"/>
  <c r="G317" i="1"/>
  <c r="G318" i="1"/>
  <c r="G319" i="1"/>
  <c r="G320" i="1"/>
  <c r="G321" i="1"/>
  <c r="G322" i="1"/>
  <c r="G323" i="1"/>
  <c r="G324" i="1"/>
  <c r="G325" i="1"/>
  <c r="G326" i="1"/>
  <c r="G327" i="1"/>
  <c r="G328" i="1"/>
  <c r="G329" i="1"/>
  <c r="G330" i="1"/>
  <c r="G331" i="1"/>
  <c r="G332" i="1"/>
  <c r="G333" i="1"/>
  <c r="G334" i="1"/>
  <c r="G335" i="1"/>
  <c r="G336" i="1"/>
  <c r="G337" i="1"/>
  <c r="G338" i="1"/>
  <c r="G339" i="1"/>
  <c r="G340" i="1"/>
  <c r="G341" i="1"/>
  <c r="G342" i="1"/>
  <c r="G343" i="1"/>
  <c r="G344" i="1"/>
  <c r="G345" i="1"/>
  <c r="G346" i="1"/>
  <c r="G347" i="1"/>
  <c r="G348" i="1"/>
  <c r="G349" i="1"/>
  <c r="G350" i="1"/>
  <c r="G351" i="1"/>
  <c r="G352" i="1"/>
  <c r="G353" i="1"/>
  <c r="G354" i="1"/>
  <c r="G355" i="1"/>
  <c r="G356" i="1"/>
  <c r="G357" i="1"/>
  <c r="G358" i="1"/>
  <c r="G359" i="1"/>
  <c r="G360" i="1"/>
  <c r="G361" i="1"/>
  <c r="G362" i="1"/>
  <c r="G363" i="1"/>
  <c r="G364" i="1"/>
  <c r="G365" i="1"/>
  <c r="G366" i="1"/>
  <c r="G367" i="1"/>
  <c r="G368" i="1"/>
  <c r="G369" i="1"/>
  <c r="G370" i="1"/>
  <c r="G371" i="1"/>
  <c r="G372" i="1"/>
  <c r="G373" i="1"/>
  <c r="G374" i="1"/>
  <c r="G375" i="1"/>
  <c r="G376" i="1"/>
  <c r="G377" i="1"/>
  <c r="G378" i="1"/>
  <c r="G379" i="1"/>
  <c r="G380" i="1"/>
  <c r="G381" i="1"/>
  <c r="G382" i="1"/>
  <c r="G383" i="1"/>
  <c r="G384" i="1"/>
  <c r="G385" i="1"/>
  <c r="G386" i="1"/>
  <c r="G387" i="1"/>
  <c r="G388" i="1"/>
  <c r="G389" i="1"/>
  <c r="G390" i="1"/>
  <c r="G391" i="1"/>
  <c r="G392" i="1"/>
  <c r="G393" i="1"/>
  <c r="G394" i="1"/>
  <c r="G395" i="1"/>
  <c r="G396" i="1"/>
  <c r="G397" i="1"/>
  <c r="G398" i="1"/>
  <c r="G399" i="1"/>
  <c r="G400" i="1"/>
  <c r="G401" i="1"/>
  <c r="G402" i="1"/>
  <c r="G403" i="1"/>
  <c r="G404" i="1"/>
  <c r="G405" i="1"/>
  <c r="G406" i="1"/>
  <c r="G407" i="1"/>
  <c r="G408" i="1"/>
  <c r="G409" i="1"/>
  <c r="G410" i="1"/>
  <c r="G411" i="1"/>
  <c r="G412" i="1"/>
  <c r="G413" i="1"/>
  <c r="G414" i="1"/>
  <c r="G415" i="1"/>
  <c r="G416" i="1"/>
  <c r="G417" i="1"/>
  <c r="G418" i="1"/>
  <c r="G419" i="1"/>
  <c r="G420" i="1"/>
  <c r="G421" i="1"/>
  <c r="G422" i="1"/>
  <c r="G423" i="1"/>
  <c r="G424" i="1"/>
  <c r="G425" i="1"/>
  <c r="G426" i="1"/>
  <c r="G427" i="1"/>
  <c r="G428" i="1"/>
  <c r="G429" i="1"/>
  <c r="G430" i="1"/>
  <c r="G431" i="1"/>
  <c r="G432" i="1"/>
  <c r="G433" i="1"/>
  <c r="G434" i="1"/>
  <c r="G435" i="1"/>
  <c r="G436" i="1"/>
  <c r="G437" i="1"/>
  <c r="G438" i="1"/>
  <c r="G439" i="1"/>
  <c r="G440" i="1"/>
  <c r="G441" i="1"/>
  <c r="G442" i="1"/>
  <c r="G443" i="1"/>
  <c r="G444" i="1"/>
  <c r="G445" i="1"/>
  <c r="G446" i="1"/>
  <c r="G447" i="1"/>
  <c r="G448" i="1"/>
  <c r="G449" i="1"/>
  <c r="G450" i="1"/>
  <c r="G451" i="1"/>
  <c r="G452" i="1"/>
  <c r="G453" i="1"/>
  <c r="G454" i="1"/>
  <c r="G455" i="1"/>
  <c r="G456" i="1"/>
  <c r="G457" i="1"/>
  <c r="G458" i="1"/>
  <c r="G459" i="1"/>
  <c r="G460" i="1"/>
  <c r="G461" i="1"/>
  <c r="G462" i="1"/>
  <c r="G463" i="1"/>
  <c r="G464" i="1"/>
  <c r="G465" i="1"/>
  <c r="G466" i="1"/>
  <c r="G467" i="1"/>
  <c r="G468" i="1"/>
  <c r="G469" i="1"/>
  <c r="G470" i="1"/>
  <c r="G471" i="1"/>
  <c r="G472" i="1"/>
  <c r="G473" i="1"/>
  <c r="G474" i="1"/>
  <c r="G475" i="1"/>
  <c r="G476" i="1"/>
  <c r="G477" i="1"/>
  <c r="G478" i="1"/>
  <c r="G479" i="1"/>
  <c r="G480" i="1"/>
  <c r="G481" i="1"/>
  <c r="G482" i="1"/>
  <c r="G483" i="1"/>
  <c r="G484" i="1"/>
  <c r="G485" i="1"/>
  <c r="G486" i="1"/>
  <c r="G487" i="1"/>
  <c r="G488" i="1"/>
  <c r="G489" i="1"/>
  <c r="G490" i="1"/>
  <c r="G491" i="1"/>
  <c r="G492" i="1"/>
  <c r="G493" i="1"/>
  <c r="G494" i="1"/>
  <c r="G495" i="1"/>
  <c r="G496" i="1"/>
  <c r="G497" i="1"/>
  <c r="G498" i="1"/>
  <c r="G499" i="1"/>
  <c r="G500" i="1"/>
  <c r="G501" i="1"/>
  <c r="G502" i="1"/>
  <c r="G503" i="1"/>
  <c r="G504" i="1"/>
  <c r="G505" i="1"/>
  <c r="G506" i="1"/>
  <c r="G507" i="1"/>
  <c r="G508" i="1"/>
  <c r="G509" i="1"/>
  <c r="G510" i="1"/>
  <c r="G511" i="1"/>
  <c r="G512" i="1"/>
  <c r="G513" i="1"/>
  <c r="G514" i="1"/>
  <c r="G515" i="1"/>
  <c r="G516" i="1"/>
  <c r="G517" i="1"/>
  <c r="G518" i="1"/>
  <c r="G519" i="1"/>
  <c r="G520" i="1"/>
  <c r="G521" i="1"/>
  <c r="G522" i="1"/>
  <c r="G523" i="1"/>
  <c r="G524" i="1"/>
  <c r="G525" i="1"/>
  <c r="G526" i="1"/>
  <c r="G527" i="1"/>
  <c r="G528" i="1"/>
  <c r="G529" i="1"/>
  <c r="G530" i="1"/>
  <c r="G531" i="1"/>
  <c r="G532" i="1"/>
  <c r="G533" i="1"/>
  <c r="G534" i="1"/>
  <c r="G535" i="1"/>
  <c r="G536" i="1"/>
  <c r="G537" i="1"/>
  <c r="G538" i="1"/>
  <c r="G539" i="1"/>
  <c r="G540" i="1"/>
  <c r="G541" i="1"/>
  <c r="G542" i="1"/>
  <c r="G543" i="1"/>
  <c r="G544" i="1"/>
  <c r="G545" i="1"/>
  <c r="G546" i="1"/>
  <c r="G547" i="1"/>
  <c r="G548" i="1"/>
  <c r="G549" i="1"/>
  <c r="G550" i="1"/>
  <c r="G551" i="1"/>
  <c r="G552" i="1"/>
  <c r="G553" i="1"/>
  <c r="G554" i="1"/>
  <c r="G555" i="1"/>
  <c r="G556" i="1"/>
  <c r="G557" i="1"/>
  <c r="G558" i="1"/>
  <c r="G559" i="1"/>
  <c r="G560" i="1"/>
  <c r="G561" i="1"/>
  <c r="G562" i="1"/>
  <c r="G563" i="1"/>
  <c r="G564" i="1"/>
  <c r="G565" i="1"/>
  <c r="G566" i="1"/>
  <c r="G567" i="1"/>
  <c r="G568" i="1"/>
  <c r="G569" i="1"/>
  <c r="G570" i="1"/>
  <c r="G571" i="1"/>
  <c r="G572" i="1"/>
  <c r="G573" i="1"/>
  <c r="G574" i="1"/>
  <c r="G575" i="1"/>
  <c r="G576" i="1"/>
  <c r="G577" i="1"/>
  <c r="G578" i="1"/>
  <c r="G579" i="1"/>
  <c r="G580" i="1"/>
  <c r="G581" i="1"/>
  <c r="G582" i="1"/>
  <c r="G583" i="1"/>
  <c r="G584" i="1"/>
  <c r="G585" i="1"/>
  <c r="G586" i="1"/>
  <c r="G587" i="1"/>
  <c r="G588" i="1"/>
  <c r="G589" i="1"/>
  <c r="G590" i="1"/>
  <c r="G591" i="1"/>
  <c r="G592" i="1"/>
  <c r="G593" i="1"/>
  <c r="G594" i="1"/>
  <c r="G595" i="1"/>
  <c r="G596" i="1"/>
  <c r="G597" i="1"/>
  <c r="G598" i="1"/>
  <c r="G599" i="1"/>
  <c r="G600" i="1"/>
  <c r="G601" i="1"/>
  <c r="G602" i="1"/>
  <c r="G603" i="1"/>
  <c r="G604" i="1"/>
  <c r="G605" i="1"/>
  <c r="G606" i="1"/>
  <c r="G607" i="1"/>
  <c r="G608" i="1"/>
  <c r="G609" i="1"/>
  <c r="G610" i="1"/>
  <c r="G611" i="1"/>
  <c r="G612" i="1"/>
  <c r="G613" i="1"/>
  <c r="G614" i="1"/>
  <c r="G615" i="1"/>
  <c r="G616" i="1"/>
  <c r="G617" i="1"/>
  <c r="G618" i="1"/>
  <c r="G619" i="1"/>
  <c r="G620" i="1"/>
  <c r="G621" i="1"/>
  <c r="G622" i="1"/>
  <c r="G623" i="1"/>
  <c r="G624" i="1"/>
  <c r="G625" i="1"/>
  <c r="G626" i="1"/>
  <c r="G627" i="1"/>
  <c r="G628" i="1"/>
  <c r="G629" i="1"/>
  <c r="G630" i="1"/>
  <c r="G631" i="1"/>
  <c r="G632" i="1"/>
  <c r="G633" i="1"/>
  <c r="G634" i="1"/>
  <c r="G635" i="1"/>
  <c r="G636" i="1"/>
  <c r="G637" i="1"/>
  <c r="G638" i="1"/>
  <c r="G639" i="1"/>
  <c r="G640" i="1"/>
  <c r="G641" i="1"/>
  <c r="G642" i="1"/>
  <c r="G643" i="1"/>
  <c r="G644" i="1"/>
  <c r="G645" i="1"/>
  <c r="G646" i="1"/>
  <c r="G647" i="1"/>
  <c r="G648" i="1"/>
  <c r="G649" i="1"/>
  <c r="G650" i="1"/>
  <c r="G651" i="1"/>
  <c r="G652" i="1"/>
  <c r="G653" i="1"/>
  <c r="G654" i="1"/>
  <c r="G655" i="1"/>
  <c r="G656" i="1"/>
  <c r="G657" i="1"/>
  <c r="G658" i="1"/>
  <c r="G659" i="1"/>
  <c r="G660" i="1"/>
  <c r="G661" i="1"/>
  <c r="G662" i="1"/>
  <c r="G663" i="1"/>
  <c r="G664" i="1"/>
  <c r="G665" i="1"/>
  <c r="G666" i="1"/>
  <c r="G667" i="1"/>
  <c r="G668" i="1"/>
  <c r="G669" i="1"/>
  <c r="G670" i="1"/>
  <c r="G671" i="1"/>
  <c r="G672" i="1"/>
  <c r="G673" i="1"/>
  <c r="G674" i="1"/>
  <c r="G675" i="1"/>
  <c r="G676" i="1"/>
  <c r="G677" i="1"/>
  <c r="G678" i="1"/>
  <c r="G679" i="1"/>
  <c r="G680" i="1"/>
  <c r="G681" i="1"/>
  <c r="G682" i="1"/>
  <c r="G683" i="1"/>
  <c r="G684" i="1"/>
  <c r="G685" i="1"/>
  <c r="G686" i="1"/>
  <c r="G687" i="1"/>
  <c r="G688" i="1"/>
  <c r="G689" i="1"/>
  <c r="G690" i="1"/>
  <c r="G691" i="1"/>
  <c r="G692" i="1"/>
  <c r="G693" i="1"/>
  <c r="G694" i="1"/>
  <c r="G695" i="1"/>
  <c r="G696" i="1"/>
  <c r="G697" i="1"/>
  <c r="G698" i="1"/>
  <c r="G699" i="1"/>
  <c r="G700" i="1"/>
  <c r="G701" i="1"/>
  <c r="G702" i="1"/>
  <c r="G703" i="1"/>
  <c r="G704" i="1"/>
  <c r="G705" i="1"/>
  <c r="G706" i="1"/>
  <c r="G707" i="1"/>
  <c r="G708" i="1"/>
  <c r="G709" i="1"/>
  <c r="G710" i="1"/>
  <c r="G711" i="1"/>
  <c r="G712" i="1"/>
  <c r="G713" i="1"/>
  <c r="G714" i="1"/>
  <c r="G715" i="1"/>
  <c r="G716" i="1"/>
  <c r="G717" i="1"/>
  <c r="G718" i="1"/>
  <c r="G719" i="1"/>
  <c r="G720" i="1"/>
  <c r="G721" i="1"/>
  <c r="G722" i="1"/>
  <c r="G723" i="1"/>
  <c r="G724" i="1"/>
  <c r="G725" i="1"/>
  <c r="G726" i="1"/>
  <c r="G727" i="1"/>
  <c r="G728" i="1"/>
  <c r="G729" i="1"/>
  <c r="G730" i="1"/>
  <c r="G731" i="1"/>
  <c r="G732" i="1"/>
  <c r="G733" i="1"/>
  <c r="G734" i="1"/>
  <c r="G735" i="1"/>
  <c r="G736" i="1"/>
  <c r="G737" i="1"/>
  <c r="G738" i="1"/>
  <c r="G739" i="1"/>
  <c r="G740" i="1"/>
  <c r="G741" i="1"/>
  <c r="G742" i="1"/>
  <c r="G743" i="1"/>
  <c r="G744" i="1"/>
  <c r="G745" i="1"/>
  <c r="G746" i="1"/>
  <c r="G747" i="1"/>
  <c r="G748" i="1"/>
  <c r="G749" i="1"/>
  <c r="G750" i="1"/>
  <c r="G751" i="1"/>
  <c r="G752" i="1"/>
  <c r="G753" i="1"/>
  <c r="G754" i="1"/>
  <c r="G755" i="1"/>
  <c r="G756" i="1"/>
  <c r="G757" i="1"/>
  <c r="G758" i="1"/>
  <c r="G759" i="1"/>
  <c r="G760" i="1"/>
  <c r="G761" i="1"/>
  <c r="G762" i="1"/>
  <c r="G763" i="1"/>
  <c r="G764" i="1"/>
  <c r="G765" i="1"/>
  <c r="G766" i="1"/>
  <c r="G767" i="1"/>
  <c r="G768" i="1"/>
  <c r="G769" i="1"/>
  <c r="G770" i="1"/>
  <c r="G771" i="1"/>
  <c r="G772" i="1"/>
  <c r="G773" i="1"/>
  <c r="G774" i="1"/>
  <c r="G775" i="1"/>
  <c r="G776" i="1"/>
  <c r="G777" i="1"/>
  <c r="G778" i="1"/>
  <c r="G779" i="1"/>
  <c r="G780" i="1"/>
  <c r="G781" i="1"/>
  <c r="G782" i="1"/>
  <c r="G783" i="1"/>
  <c r="G784" i="1"/>
  <c r="G785" i="1"/>
  <c r="G786" i="1"/>
  <c r="G787" i="1"/>
  <c r="G788" i="1"/>
  <c r="G789" i="1"/>
  <c r="G790" i="1"/>
  <c r="G791" i="1"/>
  <c r="G792" i="1"/>
  <c r="G793" i="1"/>
  <c r="G794" i="1"/>
  <c r="G795" i="1"/>
  <c r="G796" i="1"/>
  <c r="G797" i="1"/>
  <c r="G798" i="1"/>
  <c r="G799" i="1"/>
  <c r="G800" i="1"/>
  <c r="G801" i="1"/>
  <c r="G802" i="1"/>
  <c r="G803" i="1"/>
  <c r="G804" i="1"/>
  <c r="G805" i="1"/>
  <c r="G806" i="1"/>
  <c r="G807" i="1"/>
  <c r="G808" i="1"/>
  <c r="G809" i="1"/>
  <c r="G810" i="1"/>
  <c r="G811" i="1"/>
  <c r="G812" i="1"/>
  <c r="G813" i="1"/>
  <c r="G814" i="1"/>
  <c r="G815" i="1"/>
  <c r="G816" i="1"/>
  <c r="G817" i="1"/>
  <c r="G818" i="1"/>
  <c r="G819" i="1"/>
  <c r="G820" i="1"/>
  <c r="G821" i="1"/>
  <c r="G822" i="1"/>
  <c r="G823" i="1"/>
  <c r="G824" i="1"/>
  <c r="G825" i="1"/>
  <c r="G826" i="1"/>
  <c r="G827" i="1"/>
  <c r="G828" i="1"/>
  <c r="G829" i="1"/>
  <c r="G830" i="1"/>
  <c r="G831" i="1"/>
  <c r="G832" i="1"/>
  <c r="G833" i="1"/>
  <c r="G834" i="1"/>
  <c r="G835" i="1"/>
  <c r="G836" i="1"/>
  <c r="G837" i="1"/>
  <c r="G838" i="1"/>
  <c r="G839" i="1"/>
  <c r="G840" i="1"/>
  <c r="G841" i="1"/>
  <c r="G842" i="1"/>
  <c r="G843" i="1"/>
  <c r="G844" i="1"/>
  <c r="G845" i="1"/>
  <c r="G846" i="1"/>
  <c r="G847" i="1"/>
  <c r="G848" i="1"/>
  <c r="G849" i="1"/>
  <c r="G850" i="1"/>
  <c r="G851" i="1"/>
  <c r="G852" i="1"/>
  <c r="G853" i="1"/>
  <c r="G854" i="1"/>
  <c r="G855" i="1"/>
  <c r="G856" i="1"/>
  <c r="G857" i="1"/>
  <c r="G858" i="1"/>
  <c r="G859" i="1"/>
  <c r="G860" i="1"/>
  <c r="G861" i="1"/>
  <c r="G862" i="1"/>
  <c r="G863" i="1"/>
  <c r="G864" i="1"/>
  <c r="G865" i="1"/>
  <c r="G866" i="1"/>
  <c r="G867" i="1"/>
  <c r="G868" i="1"/>
  <c r="G869" i="1"/>
  <c r="G870" i="1"/>
  <c r="G871" i="1"/>
  <c r="G872" i="1"/>
  <c r="G873" i="1"/>
  <c r="G874" i="1"/>
  <c r="G875" i="1"/>
  <c r="G876" i="1"/>
  <c r="G877" i="1"/>
  <c r="G878" i="1"/>
  <c r="G879" i="1"/>
  <c r="G880" i="1"/>
  <c r="G881" i="1"/>
  <c r="G882" i="1"/>
  <c r="G883" i="1"/>
  <c r="G884" i="1"/>
  <c r="G885" i="1"/>
  <c r="G886" i="1"/>
  <c r="G887" i="1"/>
  <c r="G888" i="1"/>
  <c r="G889" i="1"/>
  <c r="G890" i="1"/>
  <c r="G891" i="1"/>
  <c r="G892" i="1"/>
  <c r="G893" i="1"/>
  <c r="G894" i="1"/>
  <c r="G895" i="1"/>
  <c r="G896" i="1"/>
  <c r="G897" i="1"/>
  <c r="G898" i="1"/>
  <c r="G899" i="1"/>
  <c r="G900" i="1"/>
  <c r="G901" i="1"/>
  <c r="G902" i="1"/>
  <c r="G903" i="1"/>
  <c r="G904" i="1"/>
  <c r="G905" i="1"/>
  <c r="G906" i="1"/>
  <c r="G907" i="1"/>
  <c r="G908" i="1"/>
  <c r="G909" i="1"/>
  <c r="G910" i="1"/>
  <c r="G911" i="1"/>
  <c r="G912" i="1"/>
  <c r="G913" i="1"/>
  <c r="G914" i="1"/>
  <c r="G915" i="1"/>
  <c r="G916" i="1"/>
  <c r="G917" i="1"/>
  <c r="G918" i="1"/>
  <c r="G919" i="1"/>
  <c r="G920" i="1"/>
  <c r="G921" i="1"/>
  <c r="G922" i="1"/>
  <c r="G923" i="1"/>
  <c r="G924" i="1"/>
  <c r="G925" i="1"/>
  <c r="G926" i="1"/>
  <c r="G927" i="1"/>
  <c r="G928" i="1"/>
  <c r="G929" i="1"/>
  <c r="G930" i="1"/>
  <c r="G931" i="1"/>
  <c r="G932" i="1"/>
  <c r="G933" i="1"/>
  <c r="G934" i="1"/>
  <c r="G935" i="1"/>
  <c r="G936" i="1"/>
  <c r="G937" i="1"/>
  <c r="G938" i="1"/>
  <c r="G939" i="1"/>
  <c r="G940" i="1"/>
  <c r="G941" i="1"/>
  <c r="G942" i="1"/>
  <c r="G943" i="1"/>
  <c r="G944" i="1"/>
  <c r="G945" i="1"/>
  <c r="G946" i="1"/>
  <c r="G947" i="1"/>
  <c r="G948" i="1"/>
  <c r="G949" i="1"/>
  <c r="G950" i="1"/>
  <c r="G951" i="1"/>
  <c r="G952" i="1"/>
  <c r="G953" i="1"/>
  <c r="G954" i="1"/>
  <c r="G955" i="1"/>
  <c r="G956" i="1"/>
  <c r="G957" i="1"/>
  <c r="G958" i="1"/>
  <c r="G959" i="1"/>
  <c r="G960" i="1"/>
  <c r="G961" i="1"/>
  <c r="G962" i="1"/>
  <c r="G963" i="1"/>
  <c r="G964" i="1"/>
  <c r="G965" i="1"/>
  <c r="G966" i="1"/>
  <c r="G967" i="1"/>
  <c r="G968" i="1"/>
  <c r="G969" i="1"/>
  <c r="G970" i="1"/>
  <c r="G971" i="1"/>
  <c r="G972" i="1"/>
  <c r="G973" i="1"/>
  <c r="G974" i="1"/>
  <c r="G975" i="1"/>
  <c r="G976" i="1"/>
  <c r="G977" i="1"/>
  <c r="G978" i="1"/>
  <c r="G979" i="1"/>
  <c r="G980" i="1"/>
  <c r="G981" i="1"/>
  <c r="G982" i="1"/>
  <c r="G983" i="1"/>
  <c r="G984" i="1"/>
  <c r="G985" i="1"/>
  <c r="G986" i="1"/>
  <c r="G987" i="1"/>
  <c r="G988" i="1"/>
  <c r="G989" i="1"/>
  <c r="G990" i="1"/>
  <c r="G991" i="1"/>
  <c r="G992" i="1"/>
  <c r="G993" i="1"/>
  <c r="G994" i="1"/>
  <c r="G995" i="1"/>
  <c r="G996" i="1"/>
  <c r="G997" i="1"/>
  <c r="G998" i="1"/>
  <c r="G999" i="1"/>
  <c r="G1000" i="1"/>
  <c r="G1001" i="1"/>
  <c r="G1002" i="1"/>
  <c r="G1003" i="1"/>
  <c r="G1004" i="1"/>
  <c r="G1005" i="1"/>
  <c r="G1006" i="1"/>
  <c r="G1007" i="1"/>
  <c r="G1008" i="1"/>
  <c r="G1009" i="1"/>
  <c r="G1010" i="1"/>
  <c r="G1011" i="1"/>
  <c r="G1012" i="1"/>
  <c r="G1013" i="1"/>
  <c r="G1014" i="1"/>
  <c r="G1015" i="1"/>
  <c r="G1016" i="1"/>
  <c r="G1017" i="1"/>
  <c r="G1018" i="1"/>
  <c r="G1019" i="1"/>
  <c r="G1020" i="1"/>
  <c r="G1021" i="1"/>
  <c r="G1022" i="1"/>
  <c r="G1023" i="1"/>
  <c r="G1024" i="1"/>
  <c r="G1025" i="1"/>
  <c r="G1026" i="1"/>
  <c r="G1027" i="1"/>
  <c r="G1028" i="1"/>
  <c r="G1029" i="1"/>
  <c r="G1030" i="1"/>
  <c r="G1031" i="1"/>
  <c r="G1032" i="1"/>
  <c r="G1033" i="1"/>
  <c r="G1034" i="1"/>
  <c r="G1035" i="1"/>
  <c r="G1036" i="1"/>
  <c r="G1037" i="1"/>
  <c r="G1038" i="1"/>
  <c r="G1039" i="1"/>
  <c r="G1040" i="1"/>
  <c r="G1041" i="1"/>
  <c r="G1042" i="1"/>
  <c r="G1043" i="1"/>
  <c r="G1044" i="1"/>
  <c r="G1045" i="1"/>
  <c r="G1046" i="1"/>
  <c r="G1047" i="1"/>
  <c r="G1048" i="1"/>
  <c r="G1049" i="1"/>
  <c r="G1050" i="1"/>
  <c r="G1051" i="1"/>
  <c r="G1052" i="1"/>
  <c r="G1053" i="1"/>
  <c r="G1054" i="1"/>
  <c r="G1055" i="1"/>
  <c r="G1056" i="1"/>
  <c r="G1057" i="1"/>
  <c r="G1058" i="1"/>
  <c r="G1059" i="1"/>
  <c r="G1060" i="1"/>
  <c r="G1061" i="1"/>
  <c r="G1062" i="1"/>
  <c r="G1063" i="1"/>
  <c r="G1064" i="1"/>
  <c r="G1065" i="1"/>
  <c r="G1066" i="1"/>
  <c r="G1067" i="1"/>
  <c r="G1068" i="1"/>
  <c r="G1069" i="1"/>
  <c r="G1070" i="1"/>
  <c r="G1071" i="1"/>
  <c r="G1072" i="1"/>
  <c r="G1073" i="1"/>
  <c r="G1074" i="1"/>
  <c r="G1075" i="1"/>
  <c r="G1076" i="1"/>
  <c r="G1077" i="1"/>
  <c r="G1078" i="1"/>
  <c r="G1079" i="1"/>
  <c r="G1080" i="1"/>
  <c r="G1081" i="1"/>
  <c r="G1082" i="1"/>
  <c r="G1083" i="1"/>
  <c r="G1084" i="1"/>
  <c r="G1085" i="1"/>
  <c r="G1086" i="1"/>
  <c r="G1087" i="1"/>
  <c r="G1088" i="1"/>
  <c r="G1089" i="1"/>
  <c r="G1090" i="1"/>
  <c r="G1091" i="1"/>
  <c r="G1092" i="1"/>
  <c r="G1093" i="1"/>
  <c r="G1094" i="1"/>
  <c r="G1095" i="1"/>
  <c r="G1096" i="1"/>
  <c r="G1097" i="1"/>
  <c r="G1098" i="1"/>
  <c r="G1099" i="1"/>
  <c r="G1100" i="1"/>
  <c r="G1101" i="1"/>
  <c r="G1102" i="1"/>
  <c r="G1103" i="1"/>
  <c r="G1104" i="1"/>
  <c r="G1105" i="1"/>
  <c r="G1106" i="1"/>
  <c r="G1107" i="1"/>
  <c r="G1108" i="1"/>
  <c r="G1109" i="1"/>
  <c r="G1110" i="1"/>
  <c r="G1111" i="1"/>
  <c r="G1112" i="1"/>
  <c r="G1113" i="1"/>
  <c r="G1114" i="1"/>
  <c r="G1115" i="1"/>
  <c r="G1116" i="1"/>
  <c r="G1118" i="1"/>
  <c r="G1119" i="1"/>
  <c r="G1120" i="1"/>
  <c r="G1121" i="1"/>
  <c r="G1122" i="1"/>
  <c r="G1123" i="1"/>
  <c r="G1124" i="1"/>
  <c r="G1125" i="1"/>
  <c r="G1126" i="1"/>
  <c r="G1127" i="1"/>
  <c r="G1128" i="1"/>
  <c r="G1129" i="1"/>
  <c r="G1130" i="1"/>
  <c r="G1131" i="1"/>
  <c r="G1132" i="1"/>
  <c r="G1133" i="1"/>
  <c r="G1134" i="1"/>
  <c r="G1135" i="1"/>
  <c r="G1136" i="1"/>
  <c r="G1137" i="1"/>
  <c r="G1138" i="1"/>
  <c r="G1139" i="1"/>
  <c r="G1140" i="1"/>
  <c r="G1141" i="1"/>
  <c r="G1142" i="1"/>
  <c r="G1143" i="1"/>
  <c r="G1144" i="1"/>
  <c r="G1145" i="1"/>
  <c r="G1146" i="1"/>
  <c r="G1147" i="1"/>
  <c r="G1148" i="1"/>
  <c r="G1149" i="1"/>
  <c r="G1150" i="1"/>
  <c r="G1151" i="1"/>
  <c r="G1152" i="1"/>
  <c r="G1153" i="1"/>
  <c r="G1154" i="1"/>
  <c r="G1155" i="1"/>
  <c r="G1156" i="1"/>
  <c r="G1157" i="1"/>
  <c r="G1158" i="1"/>
  <c r="G1159" i="1"/>
  <c r="G1160" i="1"/>
  <c r="G1161" i="1"/>
  <c r="G1162" i="1"/>
  <c r="G1163" i="1"/>
  <c r="G1164" i="1"/>
  <c r="G1165" i="1"/>
  <c r="G1166" i="1"/>
  <c r="G1167" i="1"/>
  <c r="G1168" i="1"/>
  <c r="G1169" i="1"/>
  <c r="G1170" i="1"/>
  <c r="G1171" i="1"/>
  <c r="G1172" i="1"/>
  <c r="G1173" i="1"/>
  <c r="G1174" i="1"/>
  <c r="G1175" i="1"/>
  <c r="G1176" i="1"/>
  <c r="G1177" i="1"/>
  <c r="G1178" i="1"/>
  <c r="G1179" i="1"/>
  <c r="G1180" i="1"/>
  <c r="G1181" i="1"/>
  <c r="G1182" i="1"/>
  <c r="G1183" i="1"/>
  <c r="G1184" i="1"/>
  <c r="G1185" i="1"/>
  <c r="G1186" i="1"/>
  <c r="G1187" i="1"/>
  <c r="G1188" i="1"/>
  <c r="G1189" i="1"/>
  <c r="G1190" i="1"/>
  <c r="G1191" i="1"/>
  <c r="G1192" i="1"/>
  <c r="G1193" i="1"/>
  <c r="G1194" i="1"/>
  <c r="G1195" i="1"/>
  <c r="G1196" i="1"/>
  <c r="G1197" i="1"/>
  <c r="G1198" i="1"/>
  <c r="G1199" i="1"/>
  <c r="G1200" i="1"/>
  <c r="G1201" i="1"/>
  <c r="G1202" i="1"/>
  <c r="G1203" i="1"/>
  <c r="G1204" i="1"/>
  <c r="G1205" i="1"/>
  <c r="G1206" i="1"/>
  <c r="G1207" i="1"/>
  <c r="G1208" i="1"/>
  <c r="G9" i="1"/>
  <c r="F10" i="1"/>
  <c r="F11" i="1"/>
  <c r="F12" i="1"/>
  <c r="F13" i="1"/>
  <c r="F14" i="1"/>
  <c r="F15" i="1"/>
  <c r="F16" i="1"/>
  <c r="F17" i="1"/>
  <c r="F18" i="1"/>
  <c r="F19" i="1"/>
  <c r="F20" i="1"/>
  <c r="F21" i="1"/>
  <c r="F22" i="1"/>
  <c r="F23" i="1"/>
  <c r="F24" i="1"/>
  <c r="F25" i="1"/>
  <c r="F26" i="1"/>
  <c r="F27" i="1"/>
  <c r="F28" i="1"/>
  <c r="F29" i="1"/>
  <c r="F30" i="1"/>
  <c r="F31" i="1"/>
  <c r="F32" i="1"/>
  <c r="F33" i="1"/>
  <c r="F34" i="1"/>
  <c r="F35" i="1"/>
  <c r="F36" i="1"/>
  <c r="F37" i="1"/>
  <c r="F38" i="1"/>
  <c r="F39" i="1"/>
  <c r="F40" i="1"/>
  <c r="F41" i="1"/>
  <c r="F42" i="1"/>
  <c r="F43" i="1"/>
  <c r="F44" i="1"/>
  <c r="F45" i="1"/>
  <c r="F46" i="1"/>
  <c r="F47" i="1"/>
  <c r="F48" i="1"/>
  <c r="F49" i="1"/>
  <c r="F50" i="1"/>
  <c r="F51" i="1"/>
  <c r="F52" i="1"/>
  <c r="F53" i="1"/>
  <c r="F54" i="1"/>
  <c r="F55" i="1"/>
  <c r="F56" i="1"/>
  <c r="F57" i="1"/>
  <c r="F58" i="1"/>
  <c r="F59" i="1"/>
  <c r="F60" i="1"/>
  <c r="F61" i="1"/>
  <c r="F62" i="1"/>
  <c r="F63" i="1"/>
  <c r="F64" i="1"/>
  <c r="F65" i="1"/>
  <c r="F66" i="1"/>
  <c r="F67" i="1"/>
  <c r="F68" i="1"/>
  <c r="F69" i="1"/>
  <c r="F70" i="1"/>
  <c r="F71" i="1"/>
  <c r="F72" i="1"/>
  <c r="F73" i="1"/>
  <c r="F74" i="1"/>
  <c r="F75" i="1"/>
  <c r="F76" i="1"/>
  <c r="F77" i="1"/>
  <c r="F78" i="1"/>
  <c r="F79" i="1"/>
  <c r="F80" i="1"/>
  <c r="F81" i="1"/>
  <c r="F82" i="1"/>
  <c r="F83" i="1"/>
  <c r="F84" i="1"/>
  <c r="F85" i="1"/>
  <c r="F86" i="1"/>
  <c r="F87" i="1"/>
  <c r="F88" i="1"/>
  <c r="F89" i="1"/>
  <c r="F90" i="1"/>
  <c r="F91" i="1"/>
  <c r="F92" i="1"/>
  <c r="F93" i="1"/>
  <c r="F94" i="1"/>
  <c r="F95" i="1"/>
  <c r="F96" i="1"/>
  <c r="F97" i="1"/>
  <c r="F98" i="1"/>
  <c r="F99" i="1"/>
  <c r="F100" i="1"/>
  <c r="F101" i="1"/>
  <c r="F102" i="1"/>
  <c r="F103" i="1"/>
  <c r="F104" i="1"/>
  <c r="F105" i="1"/>
  <c r="F106" i="1"/>
  <c r="F107" i="1"/>
  <c r="F108" i="1"/>
  <c r="F109" i="1"/>
  <c r="F110" i="1"/>
  <c r="F111" i="1"/>
  <c r="F112" i="1"/>
  <c r="F113" i="1"/>
  <c r="F114" i="1"/>
  <c r="F115" i="1"/>
  <c r="F116" i="1"/>
  <c r="F117" i="1"/>
  <c r="F118" i="1"/>
  <c r="F119" i="1"/>
  <c r="F120" i="1"/>
  <c r="F121" i="1"/>
  <c r="F122" i="1"/>
  <c r="F123" i="1"/>
  <c r="F124" i="1"/>
  <c r="F125" i="1"/>
  <c r="F126" i="1"/>
  <c r="F127" i="1"/>
  <c r="F128" i="1"/>
  <c r="F129" i="1"/>
  <c r="F130" i="1"/>
  <c r="F131" i="1"/>
  <c r="F132" i="1"/>
  <c r="F133" i="1"/>
  <c r="F134" i="1"/>
  <c r="F135" i="1"/>
  <c r="F136" i="1"/>
  <c r="F137" i="1"/>
  <c r="F138" i="1"/>
  <c r="F139" i="1"/>
  <c r="F140" i="1"/>
  <c r="F141" i="1"/>
  <c r="F142" i="1"/>
  <c r="F143" i="1"/>
  <c r="F144" i="1"/>
  <c r="F145" i="1"/>
  <c r="F146" i="1"/>
  <c r="F147" i="1"/>
  <c r="F148" i="1"/>
  <c r="F149" i="1"/>
  <c r="F150" i="1"/>
  <c r="F151" i="1"/>
  <c r="F152" i="1"/>
  <c r="F153" i="1"/>
  <c r="F154" i="1"/>
  <c r="F155" i="1"/>
  <c r="F156" i="1"/>
  <c r="F157" i="1"/>
  <c r="F158" i="1"/>
  <c r="F159" i="1"/>
  <c r="F160" i="1"/>
  <c r="F161" i="1"/>
  <c r="F162" i="1"/>
  <c r="F163" i="1"/>
  <c r="F164" i="1"/>
  <c r="F165" i="1"/>
  <c r="F166" i="1"/>
  <c r="F167" i="1"/>
  <c r="F168" i="1"/>
  <c r="F169" i="1"/>
  <c r="F170" i="1"/>
  <c r="F171" i="1"/>
  <c r="F172" i="1"/>
  <c r="F173" i="1"/>
  <c r="F174" i="1"/>
  <c r="F175" i="1"/>
  <c r="F176" i="1"/>
  <c r="F177" i="1"/>
  <c r="F178" i="1"/>
  <c r="F179" i="1"/>
  <c r="F180" i="1"/>
  <c r="F181" i="1"/>
  <c r="F182" i="1"/>
  <c r="F183" i="1"/>
  <c r="F184" i="1"/>
  <c r="F185" i="1"/>
  <c r="F186" i="1"/>
  <c r="F187" i="1"/>
  <c r="F188" i="1"/>
  <c r="F189" i="1"/>
  <c r="F190" i="1"/>
  <c r="F191" i="1"/>
  <c r="F192" i="1"/>
  <c r="F193" i="1"/>
  <c r="F194" i="1"/>
  <c r="F195" i="1"/>
  <c r="F196" i="1"/>
  <c r="F197" i="1"/>
  <c r="F198" i="1"/>
  <c r="F199" i="1"/>
  <c r="F200" i="1"/>
  <c r="F201" i="1"/>
  <c r="F202" i="1"/>
  <c r="F203" i="1"/>
  <c r="F204" i="1"/>
  <c r="F205" i="1"/>
  <c r="F206" i="1"/>
  <c r="F207" i="1"/>
  <c r="F208" i="1"/>
  <c r="F209" i="1"/>
  <c r="F210" i="1"/>
  <c r="F211" i="1"/>
  <c r="F212" i="1"/>
  <c r="F213" i="1"/>
  <c r="F214" i="1"/>
  <c r="F215" i="1"/>
  <c r="F216" i="1"/>
  <c r="F217" i="1"/>
  <c r="F218" i="1"/>
  <c r="F219" i="1"/>
  <c r="F220" i="1"/>
  <c r="F221" i="1"/>
  <c r="F222" i="1"/>
  <c r="F223" i="1"/>
  <c r="F224" i="1"/>
  <c r="F225" i="1"/>
  <c r="F226" i="1"/>
  <c r="F227" i="1"/>
  <c r="F228" i="1"/>
  <c r="F229" i="1"/>
  <c r="F230" i="1"/>
  <c r="F231" i="1"/>
  <c r="F232" i="1"/>
  <c r="F233" i="1"/>
  <c r="F234" i="1"/>
  <c r="F235" i="1"/>
  <c r="F236" i="1"/>
  <c r="F237" i="1"/>
  <c r="F238" i="1"/>
  <c r="F239" i="1"/>
  <c r="F240" i="1"/>
  <c r="F241" i="1"/>
  <c r="F242" i="1"/>
  <c r="F243" i="1"/>
  <c r="F244" i="1"/>
  <c r="F245" i="1"/>
  <c r="F246" i="1"/>
  <c r="F247" i="1"/>
  <c r="F248" i="1"/>
  <c r="F249" i="1"/>
  <c r="F250" i="1"/>
  <c r="F251" i="1"/>
  <c r="F252" i="1"/>
  <c r="F253" i="1"/>
  <c r="F254" i="1"/>
  <c r="F255" i="1"/>
  <c r="F256" i="1"/>
  <c r="F257" i="1"/>
  <c r="F258" i="1"/>
  <c r="F259" i="1"/>
  <c r="F260" i="1"/>
  <c r="F261" i="1"/>
  <c r="F262" i="1"/>
  <c r="F263" i="1"/>
  <c r="F264" i="1"/>
  <c r="F265" i="1"/>
  <c r="F266" i="1"/>
  <c r="F267" i="1"/>
  <c r="F268" i="1"/>
  <c r="F269" i="1"/>
  <c r="F270" i="1"/>
  <c r="F271" i="1"/>
  <c r="F272" i="1"/>
  <c r="F273" i="1"/>
  <c r="F274" i="1"/>
  <c r="F275" i="1"/>
  <c r="F276" i="1"/>
  <c r="F277" i="1"/>
  <c r="F278" i="1"/>
  <c r="F279" i="1"/>
  <c r="F280" i="1"/>
  <c r="F281" i="1"/>
  <c r="F282" i="1"/>
  <c r="F283" i="1"/>
  <c r="F284" i="1"/>
  <c r="F285" i="1"/>
  <c r="F286" i="1"/>
  <c r="F287" i="1"/>
  <c r="F288" i="1"/>
  <c r="F289" i="1"/>
  <c r="F290" i="1"/>
  <c r="F291" i="1"/>
  <c r="F292" i="1"/>
  <c r="F293" i="1"/>
  <c r="F294" i="1"/>
  <c r="F295" i="1"/>
  <c r="F296" i="1"/>
  <c r="F297" i="1"/>
  <c r="F298" i="1"/>
  <c r="F299" i="1"/>
  <c r="F300" i="1"/>
  <c r="F301" i="1"/>
  <c r="F302" i="1"/>
  <c r="F303" i="1"/>
  <c r="F304" i="1"/>
  <c r="F305" i="1"/>
  <c r="F306" i="1"/>
  <c r="F307" i="1"/>
  <c r="F308" i="1"/>
  <c r="F309" i="1"/>
  <c r="F310" i="1"/>
  <c r="F311" i="1"/>
  <c r="F312" i="1"/>
  <c r="F313" i="1"/>
  <c r="F314" i="1"/>
  <c r="F315" i="1"/>
  <c r="F316" i="1"/>
  <c r="F317" i="1"/>
  <c r="F318" i="1"/>
  <c r="F319" i="1"/>
  <c r="F320" i="1"/>
  <c r="F321" i="1"/>
  <c r="F322" i="1"/>
  <c r="F323" i="1"/>
  <c r="F324" i="1"/>
  <c r="F325" i="1"/>
  <c r="F326" i="1"/>
  <c r="F327" i="1"/>
  <c r="F328" i="1"/>
  <c r="F329" i="1"/>
  <c r="F330" i="1"/>
  <c r="F331" i="1"/>
  <c r="F332" i="1"/>
  <c r="F333" i="1"/>
  <c r="F334" i="1"/>
  <c r="F335" i="1"/>
  <c r="F336" i="1"/>
  <c r="F337" i="1"/>
  <c r="F338" i="1"/>
  <c r="F339" i="1"/>
  <c r="F340" i="1"/>
  <c r="F341" i="1"/>
  <c r="F342" i="1"/>
  <c r="F343" i="1"/>
  <c r="F344" i="1"/>
  <c r="F345" i="1"/>
  <c r="F346" i="1"/>
  <c r="F347" i="1"/>
  <c r="F348" i="1"/>
  <c r="F349" i="1"/>
  <c r="F350" i="1"/>
  <c r="F351" i="1"/>
  <c r="F352" i="1"/>
  <c r="F353" i="1"/>
  <c r="F354" i="1"/>
  <c r="F355" i="1"/>
  <c r="F356" i="1"/>
  <c r="F357" i="1"/>
  <c r="F358" i="1"/>
  <c r="F359" i="1"/>
  <c r="F360" i="1"/>
  <c r="F361" i="1"/>
  <c r="F362" i="1"/>
  <c r="F363" i="1"/>
  <c r="F364" i="1"/>
  <c r="F365" i="1"/>
  <c r="F366" i="1"/>
  <c r="F367" i="1"/>
  <c r="F368" i="1"/>
  <c r="F369" i="1"/>
  <c r="F370" i="1"/>
  <c r="F371" i="1"/>
  <c r="F372" i="1"/>
  <c r="F373" i="1"/>
  <c r="F374" i="1"/>
  <c r="F375" i="1"/>
  <c r="F376" i="1"/>
  <c r="F377" i="1"/>
  <c r="F378" i="1"/>
  <c r="F379" i="1"/>
  <c r="F380" i="1"/>
  <c r="F381" i="1"/>
  <c r="F382" i="1"/>
  <c r="F383" i="1"/>
  <c r="F384" i="1"/>
  <c r="F385" i="1"/>
  <c r="F386" i="1"/>
  <c r="F387" i="1"/>
  <c r="F388" i="1"/>
  <c r="F389" i="1"/>
  <c r="F390" i="1"/>
  <c r="F391" i="1"/>
  <c r="F392" i="1"/>
  <c r="F393" i="1"/>
  <c r="F394" i="1"/>
  <c r="F395" i="1"/>
  <c r="F396" i="1"/>
  <c r="F397" i="1"/>
  <c r="F398" i="1"/>
  <c r="F399" i="1"/>
  <c r="F400" i="1"/>
  <c r="F401" i="1"/>
  <c r="F402" i="1"/>
  <c r="F403" i="1"/>
  <c r="F404" i="1"/>
  <c r="F405" i="1"/>
  <c r="F406" i="1"/>
  <c r="F407" i="1"/>
  <c r="F408" i="1"/>
  <c r="F409" i="1"/>
  <c r="F410" i="1"/>
  <c r="F411" i="1"/>
  <c r="F412" i="1"/>
  <c r="F413" i="1"/>
  <c r="F414" i="1"/>
  <c r="F415" i="1"/>
  <c r="F416" i="1"/>
  <c r="F417" i="1"/>
  <c r="F418" i="1"/>
  <c r="F419" i="1"/>
  <c r="F420" i="1"/>
  <c r="F421" i="1"/>
  <c r="F422" i="1"/>
  <c r="F423" i="1"/>
  <c r="F424" i="1"/>
  <c r="F425" i="1"/>
  <c r="F426" i="1"/>
  <c r="F427" i="1"/>
  <c r="F428" i="1"/>
  <c r="F429" i="1"/>
  <c r="F430" i="1"/>
  <c r="F431" i="1"/>
  <c r="F432" i="1"/>
  <c r="F433" i="1"/>
  <c r="F434" i="1"/>
  <c r="F435" i="1"/>
  <c r="F436" i="1"/>
  <c r="F437" i="1"/>
  <c r="F438" i="1"/>
  <c r="F439" i="1"/>
  <c r="F440" i="1"/>
  <c r="F441" i="1"/>
  <c r="F442" i="1"/>
  <c r="F443" i="1"/>
  <c r="F444" i="1"/>
  <c r="F445" i="1"/>
  <c r="F446" i="1"/>
  <c r="F447" i="1"/>
  <c r="F448" i="1"/>
  <c r="F449" i="1"/>
  <c r="F450" i="1"/>
  <c r="F451" i="1"/>
  <c r="F452" i="1"/>
  <c r="F453" i="1"/>
  <c r="F454" i="1"/>
  <c r="F455" i="1"/>
  <c r="F456" i="1"/>
  <c r="F457" i="1"/>
  <c r="F458" i="1"/>
  <c r="F459" i="1"/>
  <c r="F460" i="1"/>
  <c r="F461" i="1"/>
  <c r="F462" i="1"/>
  <c r="F463" i="1"/>
  <c r="F464" i="1"/>
  <c r="F465" i="1"/>
  <c r="F466" i="1"/>
  <c r="F467" i="1"/>
  <c r="F468" i="1"/>
  <c r="F469" i="1"/>
  <c r="F470" i="1"/>
  <c r="F471" i="1"/>
  <c r="F472" i="1"/>
  <c r="F473" i="1"/>
  <c r="F474" i="1"/>
  <c r="F475" i="1"/>
  <c r="F476" i="1"/>
  <c r="F477" i="1"/>
  <c r="F478" i="1"/>
  <c r="F479" i="1"/>
  <c r="F480" i="1"/>
  <c r="F481" i="1"/>
  <c r="F482" i="1"/>
  <c r="F483" i="1"/>
  <c r="F484" i="1"/>
  <c r="F485" i="1"/>
  <c r="F486" i="1"/>
  <c r="F487" i="1"/>
  <c r="F488" i="1"/>
  <c r="F489" i="1"/>
  <c r="F490" i="1"/>
  <c r="F491" i="1"/>
  <c r="F492" i="1"/>
  <c r="F493" i="1"/>
  <c r="F494" i="1"/>
  <c r="F495" i="1"/>
  <c r="F496" i="1"/>
  <c r="F497" i="1"/>
  <c r="F498" i="1"/>
  <c r="F499" i="1"/>
  <c r="F500" i="1"/>
  <c r="F501" i="1"/>
  <c r="F502" i="1"/>
  <c r="F503" i="1"/>
  <c r="F504" i="1"/>
  <c r="F505" i="1"/>
  <c r="F506" i="1"/>
  <c r="F507" i="1"/>
  <c r="F508" i="1"/>
  <c r="F509" i="1"/>
  <c r="F510" i="1"/>
  <c r="F511" i="1"/>
  <c r="F512" i="1"/>
  <c r="F513" i="1"/>
  <c r="F514" i="1"/>
  <c r="F515" i="1"/>
  <c r="F516" i="1"/>
  <c r="F517" i="1"/>
  <c r="F518" i="1"/>
  <c r="F519" i="1"/>
  <c r="F520" i="1"/>
  <c r="F521" i="1"/>
  <c r="F522" i="1"/>
  <c r="F523" i="1"/>
  <c r="F524" i="1"/>
  <c r="F525" i="1"/>
  <c r="F526" i="1"/>
  <c r="F527" i="1"/>
  <c r="F528" i="1"/>
  <c r="F529" i="1"/>
  <c r="F530" i="1"/>
  <c r="F531" i="1"/>
  <c r="F532" i="1"/>
  <c r="F533" i="1"/>
  <c r="F534" i="1"/>
  <c r="F535" i="1"/>
  <c r="F536" i="1"/>
  <c r="F537" i="1"/>
  <c r="F538" i="1"/>
  <c r="F539" i="1"/>
  <c r="F540" i="1"/>
  <c r="F541" i="1"/>
  <c r="F542" i="1"/>
  <c r="F543" i="1"/>
  <c r="F544" i="1"/>
  <c r="F545" i="1"/>
  <c r="F546" i="1"/>
  <c r="F547" i="1"/>
  <c r="F548" i="1"/>
  <c r="F549" i="1"/>
  <c r="F550" i="1"/>
  <c r="F551" i="1"/>
  <c r="F552" i="1"/>
  <c r="F553" i="1"/>
  <c r="F554" i="1"/>
  <c r="F555" i="1"/>
  <c r="F556" i="1"/>
  <c r="F557" i="1"/>
  <c r="F558" i="1"/>
  <c r="F559" i="1"/>
  <c r="F560" i="1"/>
  <c r="F561" i="1"/>
  <c r="F562" i="1"/>
  <c r="F563" i="1"/>
  <c r="F564" i="1"/>
  <c r="F565" i="1"/>
  <c r="F566" i="1"/>
  <c r="F567" i="1"/>
  <c r="F568" i="1"/>
  <c r="F569" i="1"/>
  <c r="F570" i="1"/>
  <c r="F571" i="1"/>
  <c r="F572" i="1"/>
  <c r="F573" i="1"/>
  <c r="F574" i="1"/>
  <c r="F575" i="1"/>
  <c r="F576" i="1"/>
  <c r="F577" i="1"/>
  <c r="F578" i="1"/>
  <c r="F579" i="1"/>
  <c r="F580" i="1"/>
  <c r="F581" i="1"/>
  <c r="F582" i="1"/>
  <c r="F583" i="1"/>
  <c r="F584" i="1"/>
  <c r="F585" i="1"/>
  <c r="F586" i="1"/>
  <c r="F587" i="1"/>
  <c r="F588" i="1"/>
  <c r="F589" i="1"/>
  <c r="F590" i="1"/>
  <c r="F591" i="1"/>
  <c r="F592" i="1"/>
  <c r="F593" i="1"/>
  <c r="F594" i="1"/>
  <c r="F595" i="1"/>
  <c r="F596" i="1"/>
  <c r="F597" i="1"/>
  <c r="F598" i="1"/>
  <c r="F599" i="1"/>
  <c r="F600" i="1"/>
  <c r="F601" i="1"/>
  <c r="F602" i="1"/>
  <c r="F603" i="1"/>
  <c r="F604" i="1"/>
  <c r="F605" i="1"/>
  <c r="F606" i="1"/>
  <c r="F607" i="1"/>
  <c r="F608" i="1"/>
  <c r="F609" i="1"/>
  <c r="F610" i="1"/>
  <c r="F611" i="1"/>
  <c r="F612" i="1"/>
  <c r="F613" i="1"/>
  <c r="F614" i="1"/>
  <c r="F615" i="1"/>
  <c r="F616" i="1"/>
  <c r="F617" i="1"/>
  <c r="F618" i="1"/>
  <c r="F619" i="1"/>
  <c r="F620" i="1"/>
  <c r="F621" i="1"/>
  <c r="F622" i="1"/>
  <c r="F623" i="1"/>
  <c r="F624" i="1"/>
  <c r="F625" i="1"/>
  <c r="F626" i="1"/>
  <c r="F627" i="1"/>
  <c r="F628" i="1"/>
  <c r="F629" i="1"/>
  <c r="F630" i="1"/>
  <c r="F631" i="1"/>
  <c r="F632" i="1"/>
  <c r="F633" i="1"/>
  <c r="F634" i="1"/>
  <c r="F635" i="1"/>
  <c r="F636" i="1"/>
  <c r="F637" i="1"/>
  <c r="F638" i="1"/>
  <c r="F639" i="1"/>
  <c r="F640" i="1"/>
  <c r="F641" i="1"/>
  <c r="F642" i="1"/>
  <c r="F643" i="1"/>
  <c r="F644" i="1"/>
  <c r="F645" i="1"/>
  <c r="F646" i="1"/>
  <c r="F647" i="1"/>
  <c r="F648" i="1"/>
  <c r="F649" i="1"/>
  <c r="F650" i="1"/>
  <c r="F651" i="1"/>
  <c r="F652" i="1"/>
  <c r="F653" i="1"/>
  <c r="F654" i="1"/>
  <c r="F655" i="1"/>
  <c r="F656" i="1"/>
  <c r="F657" i="1"/>
  <c r="F658" i="1"/>
  <c r="F659" i="1"/>
  <c r="F660" i="1"/>
  <c r="F661" i="1"/>
  <c r="F662" i="1"/>
  <c r="F663" i="1"/>
  <c r="F664" i="1"/>
  <c r="F665" i="1"/>
  <c r="F666" i="1"/>
  <c r="F667" i="1"/>
  <c r="F668" i="1"/>
  <c r="F669" i="1"/>
  <c r="F670" i="1"/>
  <c r="F671" i="1"/>
  <c r="F672" i="1"/>
  <c r="F673" i="1"/>
  <c r="F674" i="1"/>
  <c r="F675" i="1"/>
  <c r="F676" i="1"/>
  <c r="F677" i="1"/>
  <c r="F678" i="1"/>
  <c r="F679" i="1"/>
  <c r="F680" i="1"/>
  <c r="F681" i="1"/>
  <c r="F682" i="1"/>
  <c r="F683" i="1"/>
  <c r="F684" i="1"/>
  <c r="F685" i="1"/>
  <c r="F686" i="1"/>
  <c r="F687" i="1"/>
  <c r="F688" i="1"/>
  <c r="F689" i="1"/>
  <c r="F690" i="1"/>
  <c r="F691" i="1"/>
  <c r="F692" i="1"/>
  <c r="F693" i="1"/>
  <c r="F694" i="1"/>
  <c r="F695" i="1"/>
  <c r="F696" i="1"/>
  <c r="F697" i="1"/>
  <c r="F698" i="1"/>
  <c r="F699" i="1"/>
  <c r="F700" i="1"/>
  <c r="F701" i="1"/>
  <c r="F702" i="1"/>
  <c r="F703" i="1"/>
  <c r="F704" i="1"/>
  <c r="F705" i="1"/>
  <c r="F706" i="1"/>
  <c r="F707" i="1"/>
  <c r="F708" i="1"/>
  <c r="F709" i="1"/>
  <c r="F710" i="1"/>
  <c r="F711" i="1"/>
  <c r="F712" i="1"/>
  <c r="F713" i="1"/>
  <c r="F714" i="1"/>
  <c r="F715" i="1"/>
  <c r="F716" i="1"/>
  <c r="F717" i="1"/>
  <c r="F718" i="1"/>
  <c r="F719" i="1"/>
  <c r="F720" i="1"/>
  <c r="F721" i="1"/>
  <c r="F722" i="1"/>
  <c r="F723" i="1"/>
  <c r="F724" i="1"/>
  <c r="F725" i="1"/>
  <c r="F726" i="1"/>
  <c r="F727" i="1"/>
  <c r="F728" i="1"/>
  <c r="F729" i="1"/>
  <c r="F730" i="1"/>
  <c r="F731" i="1"/>
  <c r="F732" i="1"/>
  <c r="F733" i="1"/>
  <c r="F734" i="1"/>
  <c r="F735" i="1"/>
  <c r="F736" i="1"/>
  <c r="F737" i="1"/>
  <c r="F738" i="1"/>
  <c r="F739" i="1"/>
  <c r="F740" i="1"/>
  <c r="F741" i="1"/>
  <c r="F742" i="1"/>
  <c r="F743" i="1"/>
  <c r="F744" i="1"/>
  <c r="F745" i="1"/>
  <c r="F746" i="1"/>
  <c r="F747" i="1"/>
  <c r="F748" i="1"/>
  <c r="F749" i="1"/>
  <c r="F750" i="1"/>
  <c r="F751" i="1"/>
  <c r="F752" i="1"/>
  <c r="F753" i="1"/>
  <c r="F754" i="1"/>
  <c r="F755" i="1"/>
  <c r="F756" i="1"/>
  <c r="F757" i="1"/>
  <c r="F758" i="1"/>
  <c r="F759" i="1"/>
  <c r="F760" i="1"/>
  <c r="F761" i="1"/>
  <c r="F762" i="1"/>
  <c r="F763" i="1"/>
  <c r="F764" i="1"/>
  <c r="F765" i="1"/>
  <c r="F766" i="1"/>
  <c r="F767" i="1"/>
  <c r="F768" i="1"/>
  <c r="F769" i="1"/>
  <c r="F770" i="1"/>
  <c r="F771" i="1"/>
  <c r="F772" i="1"/>
  <c r="F773" i="1"/>
  <c r="F774" i="1"/>
  <c r="F775" i="1"/>
  <c r="F776" i="1"/>
  <c r="F777" i="1"/>
  <c r="F778" i="1"/>
  <c r="F779" i="1"/>
  <c r="F780" i="1"/>
  <c r="F781" i="1"/>
  <c r="F782" i="1"/>
  <c r="F783" i="1"/>
  <c r="F784" i="1"/>
  <c r="F785" i="1"/>
  <c r="F786" i="1"/>
  <c r="F787" i="1"/>
  <c r="F788" i="1"/>
  <c r="F789" i="1"/>
  <c r="F790" i="1"/>
  <c r="F791" i="1"/>
  <c r="F792" i="1"/>
  <c r="F793" i="1"/>
  <c r="F794" i="1"/>
  <c r="F795" i="1"/>
  <c r="F796" i="1"/>
  <c r="F797" i="1"/>
  <c r="F798" i="1"/>
  <c r="F799" i="1"/>
  <c r="F800" i="1"/>
  <c r="F801" i="1"/>
  <c r="F802" i="1"/>
  <c r="F803" i="1"/>
  <c r="F804" i="1"/>
  <c r="F805" i="1"/>
  <c r="F806" i="1"/>
  <c r="F807" i="1"/>
  <c r="F808" i="1"/>
  <c r="F809" i="1"/>
  <c r="F810" i="1"/>
  <c r="F811" i="1"/>
  <c r="F812" i="1"/>
  <c r="F813" i="1"/>
  <c r="F814" i="1"/>
  <c r="F815" i="1"/>
  <c r="F816" i="1"/>
  <c r="F817" i="1"/>
  <c r="F818" i="1"/>
  <c r="F819" i="1"/>
  <c r="F820" i="1"/>
  <c r="F821" i="1"/>
  <c r="F822" i="1"/>
  <c r="F823" i="1"/>
  <c r="F824" i="1"/>
  <c r="F825" i="1"/>
  <c r="F826" i="1"/>
  <c r="F827" i="1"/>
  <c r="F828" i="1"/>
  <c r="F829" i="1"/>
  <c r="F830" i="1"/>
  <c r="F831" i="1"/>
  <c r="F832" i="1"/>
  <c r="F833" i="1"/>
  <c r="F834" i="1"/>
  <c r="F835" i="1"/>
  <c r="F836" i="1"/>
  <c r="F837" i="1"/>
  <c r="F838" i="1"/>
  <c r="F839" i="1"/>
  <c r="F840" i="1"/>
  <c r="F841" i="1"/>
  <c r="F842" i="1"/>
  <c r="F843" i="1"/>
  <c r="F844" i="1"/>
  <c r="F845" i="1"/>
  <c r="F846" i="1"/>
  <c r="F847" i="1"/>
  <c r="F848" i="1"/>
  <c r="F849" i="1"/>
  <c r="F850" i="1"/>
  <c r="F851" i="1"/>
  <c r="F852" i="1"/>
  <c r="F853" i="1"/>
  <c r="F854" i="1"/>
  <c r="F855" i="1"/>
  <c r="F856" i="1"/>
  <c r="F857" i="1"/>
  <c r="F858" i="1"/>
  <c r="F859" i="1"/>
  <c r="F860" i="1"/>
  <c r="F861" i="1"/>
  <c r="F862" i="1"/>
  <c r="F863" i="1"/>
  <c r="F864" i="1"/>
  <c r="F865" i="1"/>
  <c r="F866" i="1"/>
  <c r="F867" i="1"/>
  <c r="F868" i="1"/>
  <c r="F869" i="1"/>
  <c r="F870" i="1"/>
  <c r="F871" i="1"/>
  <c r="F872" i="1"/>
  <c r="F873" i="1"/>
  <c r="F874" i="1"/>
  <c r="F875" i="1"/>
  <c r="F876" i="1"/>
  <c r="F877" i="1"/>
  <c r="F878" i="1"/>
  <c r="F879" i="1"/>
  <c r="F880" i="1"/>
  <c r="F881" i="1"/>
  <c r="F882" i="1"/>
  <c r="F883" i="1"/>
  <c r="F884" i="1"/>
  <c r="F885" i="1"/>
  <c r="F886" i="1"/>
  <c r="F887" i="1"/>
  <c r="F888" i="1"/>
  <c r="F889" i="1"/>
  <c r="F890" i="1"/>
  <c r="F891" i="1"/>
  <c r="F892" i="1"/>
  <c r="F893" i="1"/>
  <c r="F894" i="1"/>
  <c r="F895" i="1"/>
  <c r="F896" i="1"/>
  <c r="F897" i="1"/>
  <c r="F898" i="1"/>
  <c r="F899" i="1"/>
  <c r="F900" i="1"/>
  <c r="F901" i="1"/>
  <c r="F902" i="1"/>
  <c r="F903" i="1"/>
  <c r="F904" i="1"/>
  <c r="F905" i="1"/>
  <c r="F906" i="1"/>
  <c r="F907" i="1"/>
  <c r="F908" i="1"/>
  <c r="F909" i="1"/>
  <c r="F910" i="1"/>
  <c r="F911" i="1"/>
  <c r="F912" i="1"/>
  <c r="F913" i="1"/>
  <c r="F914" i="1"/>
  <c r="F915" i="1"/>
  <c r="F916" i="1"/>
  <c r="F917" i="1"/>
  <c r="F918" i="1"/>
  <c r="F919" i="1"/>
  <c r="F920" i="1"/>
  <c r="F921" i="1"/>
  <c r="F922" i="1"/>
  <c r="F923" i="1"/>
  <c r="F924" i="1"/>
  <c r="F925" i="1"/>
  <c r="F926" i="1"/>
  <c r="F927" i="1"/>
  <c r="F928" i="1"/>
  <c r="F929" i="1"/>
  <c r="F930" i="1"/>
  <c r="F931" i="1"/>
  <c r="F932" i="1"/>
  <c r="F933" i="1"/>
  <c r="F934" i="1"/>
  <c r="F935" i="1"/>
  <c r="F936" i="1"/>
  <c r="F937" i="1"/>
  <c r="F938" i="1"/>
  <c r="F939" i="1"/>
  <c r="F940" i="1"/>
  <c r="F941" i="1"/>
  <c r="F942" i="1"/>
  <c r="F943" i="1"/>
  <c r="F944" i="1"/>
  <c r="F945" i="1"/>
  <c r="F946" i="1"/>
  <c r="F947" i="1"/>
  <c r="F948" i="1"/>
  <c r="F949" i="1"/>
  <c r="F950" i="1"/>
  <c r="F951" i="1"/>
  <c r="F952" i="1"/>
  <c r="F953" i="1"/>
  <c r="F954" i="1"/>
  <c r="F955" i="1"/>
  <c r="F956" i="1"/>
  <c r="F957" i="1"/>
  <c r="F958" i="1"/>
  <c r="F959" i="1"/>
  <c r="F960" i="1"/>
  <c r="F961" i="1"/>
  <c r="F962" i="1"/>
  <c r="F963" i="1"/>
  <c r="F964" i="1"/>
  <c r="F965" i="1"/>
  <c r="F966" i="1"/>
  <c r="F967" i="1"/>
  <c r="F968" i="1"/>
  <c r="F969" i="1"/>
  <c r="F970" i="1"/>
  <c r="F971" i="1"/>
  <c r="F972" i="1"/>
  <c r="F973" i="1"/>
  <c r="F974" i="1"/>
  <c r="F975" i="1"/>
  <c r="F976" i="1"/>
  <c r="F977" i="1"/>
  <c r="F978" i="1"/>
  <c r="F979" i="1"/>
  <c r="F980" i="1"/>
  <c r="F981" i="1"/>
  <c r="F982" i="1"/>
  <c r="F983" i="1"/>
  <c r="F984" i="1"/>
  <c r="F985" i="1"/>
  <c r="F986" i="1"/>
  <c r="F987" i="1"/>
  <c r="F988" i="1"/>
  <c r="F989" i="1"/>
  <c r="F990" i="1"/>
  <c r="F991" i="1"/>
  <c r="F992" i="1"/>
  <c r="F993" i="1"/>
  <c r="F994" i="1"/>
  <c r="F995" i="1"/>
  <c r="F996" i="1"/>
  <c r="F997" i="1"/>
  <c r="F998" i="1"/>
  <c r="F999" i="1"/>
  <c r="F1000" i="1"/>
  <c r="F1001" i="1"/>
  <c r="F1002" i="1"/>
  <c r="F1003" i="1"/>
  <c r="F1004" i="1"/>
  <c r="F1005" i="1"/>
  <c r="F1006" i="1"/>
  <c r="F1007" i="1"/>
  <c r="F1008" i="1"/>
  <c r="F1009" i="1"/>
  <c r="F1010" i="1"/>
  <c r="F1011" i="1"/>
  <c r="F1012" i="1"/>
  <c r="F1013" i="1"/>
  <c r="F1014" i="1"/>
  <c r="F1015" i="1"/>
  <c r="F1016" i="1"/>
  <c r="F1017" i="1"/>
  <c r="F1018" i="1"/>
  <c r="F1019" i="1"/>
  <c r="F1020" i="1"/>
  <c r="F1021" i="1"/>
  <c r="F1022" i="1"/>
  <c r="F1023" i="1"/>
  <c r="F1024" i="1"/>
  <c r="F1025" i="1"/>
  <c r="F1026" i="1"/>
  <c r="F1027" i="1"/>
  <c r="F1028" i="1"/>
  <c r="F1029" i="1"/>
  <c r="F1030" i="1"/>
  <c r="F1031" i="1"/>
  <c r="F1032" i="1"/>
  <c r="F1033" i="1"/>
  <c r="F1034" i="1"/>
  <c r="F1035" i="1"/>
  <c r="F1036" i="1"/>
  <c r="F1037" i="1"/>
  <c r="F1038" i="1"/>
  <c r="F1039" i="1"/>
  <c r="F1040" i="1"/>
  <c r="F1041" i="1"/>
  <c r="F1042" i="1"/>
  <c r="F1043" i="1"/>
  <c r="F1044" i="1"/>
  <c r="F1045" i="1"/>
  <c r="F1046" i="1"/>
  <c r="F1047" i="1"/>
  <c r="F1048" i="1"/>
  <c r="F1049" i="1"/>
  <c r="F1050" i="1"/>
  <c r="F1051" i="1"/>
  <c r="F1052" i="1"/>
  <c r="F1053" i="1"/>
  <c r="F1054" i="1"/>
  <c r="F1055" i="1"/>
  <c r="F1056" i="1"/>
  <c r="F1057" i="1"/>
  <c r="F1058" i="1"/>
  <c r="F1059" i="1"/>
  <c r="F1060" i="1"/>
  <c r="F1061" i="1"/>
  <c r="F1062" i="1"/>
  <c r="F1063" i="1"/>
  <c r="F1064" i="1"/>
  <c r="F1065" i="1"/>
  <c r="F1066" i="1"/>
  <c r="F1067" i="1"/>
  <c r="F1068" i="1"/>
  <c r="F1069" i="1"/>
  <c r="F1070" i="1"/>
  <c r="F1071" i="1"/>
  <c r="F1072" i="1"/>
  <c r="F1073" i="1"/>
  <c r="F1074" i="1"/>
  <c r="F1075" i="1"/>
  <c r="F1076" i="1"/>
  <c r="F1077" i="1"/>
  <c r="F1078" i="1"/>
  <c r="F1079" i="1"/>
  <c r="F1080" i="1"/>
  <c r="F1081" i="1"/>
  <c r="F1082" i="1"/>
  <c r="F1083" i="1"/>
  <c r="F1084" i="1"/>
  <c r="F1085" i="1"/>
  <c r="F1086" i="1"/>
  <c r="F1087" i="1"/>
  <c r="F1088" i="1"/>
  <c r="F1089" i="1"/>
  <c r="F1090" i="1"/>
  <c r="F1091" i="1"/>
  <c r="F1092" i="1"/>
  <c r="F1093" i="1"/>
  <c r="F1094" i="1"/>
  <c r="F1095" i="1"/>
  <c r="F1096" i="1"/>
  <c r="F1097" i="1"/>
  <c r="F1098" i="1"/>
  <c r="F1099" i="1"/>
  <c r="F1100" i="1"/>
  <c r="F1101" i="1"/>
  <c r="F1102" i="1"/>
  <c r="F1103" i="1"/>
  <c r="F1104" i="1"/>
  <c r="F1105" i="1"/>
  <c r="F1106" i="1"/>
  <c r="F1107" i="1"/>
  <c r="F1108" i="1"/>
  <c r="F1109" i="1"/>
  <c r="F1110" i="1"/>
  <c r="F1111" i="1"/>
  <c r="F1112" i="1"/>
  <c r="F1113" i="1"/>
  <c r="F1114" i="1"/>
  <c r="F1115" i="1"/>
  <c r="F1116" i="1"/>
  <c r="F1117" i="1"/>
  <c r="F1118" i="1"/>
  <c r="F1119" i="1"/>
  <c r="F1120" i="1"/>
  <c r="F1121" i="1"/>
  <c r="F1122" i="1"/>
  <c r="F1123" i="1"/>
  <c r="F1124" i="1"/>
  <c r="F1125" i="1"/>
  <c r="F1126" i="1"/>
  <c r="F1127" i="1"/>
  <c r="F1128" i="1"/>
  <c r="F1129" i="1"/>
  <c r="F1130" i="1"/>
  <c r="F1131" i="1"/>
  <c r="F1132" i="1"/>
  <c r="F1133" i="1"/>
  <c r="F1134" i="1"/>
  <c r="F1135" i="1"/>
  <c r="F1136" i="1"/>
  <c r="F1137" i="1"/>
  <c r="F1138" i="1"/>
  <c r="F1139" i="1"/>
  <c r="F1140" i="1"/>
  <c r="F1141" i="1"/>
  <c r="F1142" i="1"/>
  <c r="F1143" i="1"/>
  <c r="F1144" i="1"/>
  <c r="F1145" i="1"/>
  <c r="F1146" i="1"/>
  <c r="F1147" i="1"/>
  <c r="F1148" i="1"/>
  <c r="F1149" i="1"/>
  <c r="F1150" i="1"/>
  <c r="F1151" i="1"/>
  <c r="F1152" i="1"/>
  <c r="F1153" i="1"/>
  <c r="F1154" i="1"/>
  <c r="F1155" i="1"/>
  <c r="F1156" i="1"/>
  <c r="F1157" i="1"/>
  <c r="F1158" i="1"/>
  <c r="F1159" i="1"/>
  <c r="F1160" i="1"/>
  <c r="F1161" i="1"/>
  <c r="F1162" i="1"/>
  <c r="F1163" i="1"/>
  <c r="F1164" i="1"/>
  <c r="F1165" i="1"/>
  <c r="F1166" i="1"/>
  <c r="F1167" i="1"/>
  <c r="F1168" i="1"/>
  <c r="F1169" i="1"/>
  <c r="F1170" i="1"/>
  <c r="F1171" i="1"/>
  <c r="F1172" i="1"/>
  <c r="F1173" i="1"/>
  <c r="F1174" i="1"/>
  <c r="F1175" i="1"/>
  <c r="F1176" i="1"/>
  <c r="F1177" i="1"/>
  <c r="F1178" i="1"/>
  <c r="F1179" i="1"/>
  <c r="F1180" i="1"/>
  <c r="F1181" i="1"/>
  <c r="F1182" i="1"/>
  <c r="F1183" i="1"/>
  <c r="F1184" i="1"/>
  <c r="F1185" i="1"/>
  <c r="F1186" i="1"/>
  <c r="F1187" i="1"/>
  <c r="F1188" i="1"/>
  <c r="F1189" i="1"/>
  <c r="F1190" i="1"/>
  <c r="F1191" i="1"/>
  <c r="F1192" i="1"/>
  <c r="F1193" i="1"/>
  <c r="F1194" i="1"/>
  <c r="F1195" i="1"/>
  <c r="F1196" i="1"/>
  <c r="F1197" i="1"/>
  <c r="F1198" i="1"/>
  <c r="F1199" i="1"/>
  <c r="F1200" i="1"/>
  <c r="F1201" i="1"/>
  <c r="F1202" i="1"/>
  <c r="F1203" i="1"/>
  <c r="F1204" i="1"/>
  <c r="F1205" i="1"/>
  <c r="F1206" i="1"/>
  <c r="F1207" i="1"/>
  <c r="F1208" i="1"/>
  <c r="F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765" i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9" i="1"/>
</calcChain>
</file>

<file path=xl/sharedStrings.xml><?xml version="1.0" encoding="utf-8"?>
<sst xmlns="http://schemas.openxmlformats.org/spreadsheetml/2006/main" count="41" uniqueCount="26">
  <si>
    <t>A</t>
  </si>
  <si>
    <t/>
  </si>
  <si>
    <t>CALSIM</t>
  </si>
  <si>
    <t>B</t>
  </si>
  <si>
    <t>D_CCC019_CCWD</t>
  </si>
  <si>
    <t>PERDV_CVPMI_SYS</t>
  </si>
  <si>
    <t>C</t>
  </si>
  <si>
    <t>DIVERSION</t>
  </si>
  <si>
    <t>PERCENT-DELIVERY</t>
  </si>
  <si>
    <t>E</t>
  </si>
  <si>
    <t>F</t>
  </si>
  <si>
    <t>L2020A</t>
  </si>
  <si>
    <t>Units</t>
  </si>
  <si>
    <t>CFS</t>
  </si>
  <si>
    <t>NONE</t>
  </si>
  <si>
    <t>Type</t>
  </si>
  <si>
    <t>PER-AVER</t>
  </si>
  <si>
    <t>The CalSim 3 Python script is not able to handle the seasonal aspects of Contra Costa's equation - time series manually determined here.</t>
  </si>
  <si>
    <t>month</t>
  </si>
  <si>
    <t>year</t>
  </si>
  <si>
    <t>Year</t>
  </si>
  <si>
    <t>min(D_CCC019_CCWD (Mar-Feb annual),195 TAF*PERDV_CVPMI_SYS (End of May))</t>
  </si>
  <si>
    <t>CaUWMET Input</t>
  </si>
  <si>
    <t>AF</t>
  </si>
  <si>
    <t>Volume</t>
  </si>
  <si>
    <t>cfs to AF/day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</si>
</sst>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ddmmmyyyy"/>
  </numFmts>
  <fonts count="1" x14ac:knownFonts="1">
    <font>
      <sz val="11"/>
      <color indexed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164" fontId="0" fillId="0" borderId="0" xfId="0" applyNumberFormat="1"/>
    <xf numFmtId="1" fontId="0" fillId="0" borderId="0" xfId="0" applyNumberFormat="1"/>
    <xf numFmtId="0" fontId="0" fillId="0" borderId="0" xfId="0" applyAlignment="1">
      <alignment horizontal="right"/>
    </xf>
    <xf numFmtId="2" fontId="0" fillId="0" borderId="0" xfId="0" applyNumberFormat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J1208"/>
  <sheetViews>
    <sheetView tabSelected="1" topLeftCell="A7" workbookViewId="0">
      <selection activeCell="J7" sqref="J7"/>
    </sheetView>
  </sheetViews>
  <sheetFormatPr defaultRowHeight="15" x14ac:dyDescent="0.25"/>
  <cols>
    <col min="1" max="1" width="5.7109375" bestFit="1" customWidth="1"/>
    <col min="2" max="2" width="11.7109375" bestFit="1" customWidth="1"/>
    <col min="3" max="3" width="17.140625" bestFit="1" customWidth="1"/>
    <col min="4" max="4" width="18.28515625" bestFit="1" customWidth="1"/>
    <col min="7" max="7" width="15.85546875" bestFit="1" customWidth="1"/>
    <col min="10" max="10" width="15.140625" customWidth="1"/>
  </cols>
  <sheetData>
    <row r="1" spans="1:10" x14ac:dyDescent="0.25">
      <c r="A1" t="s">
        <v>17</v>
      </c>
    </row>
    <row r="2" spans="1:10" x14ac:dyDescent="0.25">
      <c r="A2" s="3" t="s">
        <v>0</v>
      </c>
      <c r="B2" s="3" t="s">
        <v>1</v>
      </c>
      <c r="C2" s="3" t="s">
        <v>2</v>
      </c>
      <c r="D2" s="3" t="s">
        <v>2</v>
      </c>
      <c r="G2" s="3" t="s">
        <v>2</v>
      </c>
    </row>
    <row r="3" spans="1:10" x14ac:dyDescent="0.25">
      <c r="A3" s="3" t="s">
        <v>3</v>
      </c>
      <c r="B3" s="3" t="s">
        <v>1</v>
      </c>
      <c r="C3" s="3" t="s">
        <v>4</v>
      </c>
      <c r="D3" s="3" t="s">
        <v>5</v>
      </c>
      <c r="G3" s="3" t="s">
        <v>4</v>
      </c>
    </row>
    <row r="4" spans="1:10" x14ac:dyDescent="0.25">
      <c r="A4" s="3" t="s">
        <v>6</v>
      </c>
      <c r="B4" s="3" t="s">
        <v>1</v>
      </c>
      <c r="C4" s="3" t="s">
        <v>7</v>
      </c>
      <c r="D4" s="3" t="s">
        <v>8</v>
      </c>
      <c r="G4" s="3" t="s">
        <v>7</v>
      </c>
    </row>
    <row r="5" spans="1:10" x14ac:dyDescent="0.25">
      <c r="A5" s="3" t="s">
        <v>9</v>
      </c>
      <c r="B5" s="3" t="s">
        <v>1</v>
      </c>
      <c r="C5" s="3" t="s">
        <v>1</v>
      </c>
      <c r="D5" s="3" t="s">
        <v>1</v>
      </c>
      <c r="F5" t="s">
        <v>25</v>
      </c>
      <c r="G5" s="4">
        <f>86400/43560</f>
        <v>1.9834710743801653</v>
      </c>
    </row>
    <row r="6" spans="1:10" x14ac:dyDescent="0.25">
      <c r="A6" s="3" t="s">
        <v>10</v>
      </c>
      <c r="B6" s="3" t="s">
        <v>1</v>
      </c>
      <c r="C6" s="3" t="s">
        <v>11</v>
      </c>
      <c r="D6" s="3" t="s">
        <v>11</v>
      </c>
      <c r="G6" s="3" t="s">
        <v>11</v>
      </c>
    </row>
    <row r="7" spans="1:10" x14ac:dyDescent="0.25">
      <c r="A7" s="3" t="s">
        <v>12</v>
      </c>
      <c r="B7" s="3" t="s">
        <v>1</v>
      </c>
      <c r="C7" s="3" t="s">
        <v>13</v>
      </c>
      <c r="D7" s="3" t="s">
        <v>14</v>
      </c>
      <c r="G7" s="3" t="s">
        <v>23</v>
      </c>
      <c r="J7" t="s">
        <v>21</v>
      </c>
    </row>
    <row r="8" spans="1:10" x14ac:dyDescent="0.25">
      <c r="A8" s="3" t="s">
        <v>15</v>
      </c>
      <c r="B8" s="3" t="s">
        <v>1</v>
      </c>
      <c r="C8" s="3" t="s">
        <v>16</v>
      </c>
      <c r="D8" s="3" t="s">
        <v>16</v>
      </c>
      <c r="E8" s="3" t="s">
        <v>18</v>
      </c>
      <c r="F8" s="3" t="s">
        <v>19</v>
      </c>
      <c r="G8" s="3" t="s">
        <v>24</v>
      </c>
      <c r="I8" s="3" t="s">
        <v>20</v>
      </c>
      <c r="J8" s="3" t="s">
        <v>22</v>
      </c>
    </row>
    <row r="9" spans="1:10" x14ac:dyDescent="0.25">
      <c r="A9">
        <v>1</v>
      </c>
      <c r="B9" s="1">
        <v>7975</v>
      </c>
      <c r="C9" s="2">
        <v>215.12985528304068</v>
      </c>
      <c r="D9" s="2">
        <v>1</v>
      </c>
      <c r="E9">
        <f>MONTH(B9)</f>
        <v>10</v>
      </c>
      <c r="F9">
        <f>YEAR(B9)</f>
        <v>1921</v>
      </c>
      <c r="G9" s="2">
        <f>IF(E9=2,C9*$G$5*28,IF(E9=3,C9*$G$5*31,0))</f>
        <v>0</v>
      </c>
      <c r="I9">
        <v>1922</v>
      </c>
      <c r="J9" s="2">
        <f>MIN(SUMIFS($G$9:$G$1208,$F$9:$F$1208,I9), 195000*AVERAGEIFS($D$9:$D$1208,$F$9:$F$1208,I9,$E$9:$E$1208,5))</f>
        <v>12287.811400812916</v>
      </c>
    </row>
    <row r="10" spans="1:10" x14ac:dyDescent="0.25">
      <c r="A10">
        <v>2</v>
      </c>
      <c r="B10" s="1">
        <v>8005</v>
      </c>
      <c r="C10" s="2">
        <v>152.24052617673215</v>
      </c>
      <c r="D10" s="2">
        <v>1</v>
      </c>
      <c r="E10">
        <f t="shared" ref="E10:E73" si="0">MONTH(B10)</f>
        <v>11</v>
      </c>
      <c r="F10">
        <f t="shared" ref="F10:F73" si="1">YEAR(B10)</f>
        <v>1921</v>
      </c>
      <c r="G10" s="2">
        <f t="shared" ref="G10:G73" si="2">IF(E10=2,C10*$G$5*28,IF(E10=3,C10*$G$5*31,0))</f>
        <v>0</v>
      </c>
      <c r="I10">
        <v>1923</v>
      </c>
      <c r="J10" s="2">
        <f t="shared" ref="J10:J73" si="3">MIN(SUMIFS($G$9:$G$1208,$F$9:$F$1208,I10), 195000*AVERAGEIFS($D$9:$D$1208,$F$9:$F$1208,I10,$E$9:$E$1208,5))</f>
        <v>12287.811400812734</v>
      </c>
    </row>
    <row r="11" spans="1:10" x14ac:dyDescent="0.25">
      <c r="A11">
        <v>3</v>
      </c>
      <c r="B11" s="1">
        <v>8036</v>
      </c>
      <c r="C11" s="2">
        <v>138.92959785864781</v>
      </c>
      <c r="D11" s="2">
        <v>1</v>
      </c>
      <c r="E11">
        <f t="shared" si="0"/>
        <v>12</v>
      </c>
      <c r="F11">
        <f t="shared" si="1"/>
        <v>1921</v>
      </c>
      <c r="G11" s="2">
        <f t="shared" si="2"/>
        <v>0</v>
      </c>
      <c r="I11">
        <v>1924</v>
      </c>
      <c r="J11" s="2">
        <f t="shared" si="3"/>
        <v>15517.486014819595</v>
      </c>
    </row>
    <row r="12" spans="1:10" x14ac:dyDescent="0.25">
      <c r="A12">
        <v>4</v>
      </c>
      <c r="B12" s="1">
        <v>8067</v>
      </c>
      <c r="C12" s="2">
        <v>110.24576070621373</v>
      </c>
      <c r="D12" s="2">
        <v>1</v>
      </c>
      <c r="E12">
        <f t="shared" si="0"/>
        <v>1</v>
      </c>
      <c r="F12">
        <f t="shared" si="1"/>
        <v>1922</v>
      </c>
      <c r="G12" s="2">
        <f t="shared" si="2"/>
        <v>0</v>
      </c>
      <c r="I12">
        <v>1925</v>
      </c>
      <c r="J12" s="2">
        <f t="shared" si="3"/>
        <v>17248.730801140413</v>
      </c>
    </row>
    <row r="13" spans="1:10" x14ac:dyDescent="0.25">
      <c r="A13">
        <v>5</v>
      </c>
      <c r="B13" s="1">
        <v>8095</v>
      </c>
      <c r="C13" s="2">
        <v>102.91438209013761</v>
      </c>
      <c r="D13" s="2">
        <v>1</v>
      </c>
      <c r="E13">
        <f t="shared" si="0"/>
        <v>2</v>
      </c>
      <c r="F13">
        <f t="shared" si="1"/>
        <v>1922</v>
      </c>
      <c r="G13" s="2">
        <f t="shared" si="2"/>
        <v>5715.5756003778906</v>
      </c>
      <c r="I13">
        <v>1926</v>
      </c>
      <c r="J13" s="2">
        <f t="shared" si="3"/>
        <v>15691.356001037748</v>
      </c>
    </row>
    <row r="14" spans="1:10" x14ac:dyDescent="0.25">
      <c r="A14">
        <v>6</v>
      </c>
      <c r="B14" s="1">
        <v>8126</v>
      </c>
      <c r="C14" s="2">
        <v>106.88716825976319</v>
      </c>
      <c r="D14" s="2">
        <v>0.75</v>
      </c>
      <c r="E14">
        <f t="shared" si="0"/>
        <v>3</v>
      </c>
      <c r="F14">
        <f t="shared" si="1"/>
        <v>1922</v>
      </c>
      <c r="G14" s="2">
        <f t="shared" si="2"/>
        <v>6572.2358004350262</v>
      </c>
      <c r="I14">
        <v>1927</v>
      </c>
      <c r="J14" s="2">
        <f t="shared" si="3"/>
        <v>13993.992600925223</v>
      </c>
    </row>
    <row r="15" spans="1:10" x14ac:dyDescent="0.25">
      <c r="A15">
        <v>7</v>
      </c>
      <c r="B15" s="1">
        <v>8156</v>
      </c>
      <c r="C15" s="2">
        <v>140.91721845376128</v>
      </c>
      <c r="D15" s="2">
        <v>0.99999999999999989</v>
      </c>
      <c r="E15">
        <f t="shared" si="0"/>
        <v>4</v>
      </c>
      <c r="F15">
        <f t="shared" si="1"/>
        <v>1922</v>
      </c>
      <c r="G15" s="2">
        <f t="shared" si="2"/>
        <v>0</v>
      </c>
      <c r="I15">
        <v>1928</v>
      </c>
      <c r="J15" s="2">
        <f t="shared" si="3"/>
        <v>12397.537897371756</v>
      </c>
    </row>
    <row r="16" spans="1:10" x14ac:dyDescent="0.25">
      <c r="A16">
        <v>8</v>
      </c>
      <c r="B16" s="1">
        <v>8187</v>
      </c>
      <c r="C16" s="2">
        <v>172.19561393611602</v>
      </c>
      <c r="D16" s="2">
        <v>1</v>
      </c>
      <c r="E16">
        <f t="shared" si="0"/>
        <v>5</v>
      </c>
      <c r="F16">
        <f t="shared" si="1"/>
        <v>1922</v>
      </c>
      <c r="G16" s="2">
        <f t="shared" si="2"/>
        <v>0</v>
      </c>
      <c r="I16">
        <v>1929</v>
      </c>
      <c r="J16" s="2">
        <f t="shared" si="3"/>
        <v>15095.708400998508</v>
      </c>
    </row>
    <row r="17" spans="1:10" x14ac:dyDescent="0.25">
      <c r="A17">
        <v>9</v>
      </c>
      <c r="B17" s="1">
        <v>8217</v>
      </c>
      <c r="C17" s="2">
        <v>249.30857479426103</v>
      </c>
      <c r="D17" s="2">
        <v>1</v>
      </c>
      <c r="E17">
        <f t="shared" si="0"/>
        <v>6</v>
      </c>
      <c r="F17">
        <f t="shared" si="1"/>
        <v>1922</v>
      </c>
      <c r="G17" s="2">
        <f t="shared" si="2"/>
        <v>0</v>
      </c>
      <c r="I17">
        <v>1930</v>
      </c>
      <c r="J17" s="2">
        <f t="shared" si="3"/>
        <v>17248.730801140791</v>
      </c>
    </row>
    <row r="18" spans="1:10" x14ac:dyDescent="0.25">
      <c r="A18">
        <v>10</v>
      </c>
      <c r="B18" s="1">
        <v>8248</v>
      </c>
      <c r="C18" s="2">
        <v>274.69602802891444</v>
      </c>
      <c r="D18" s="2">
        <v>1</v>
      </c>
      <c r="E18">
        <f t="shared" si="0"/>
        <v>7</v>
      </c>
      <c r="F18">
        <f t="shared" si="1"/>
        <v>1922</v>
      </c>
      <c r="G18" s="2">
        <f t="shared" si="2"/>
        <v>0</v>
      </c>
      <c r="I18">
        <v>1931</v>
      </c>
      <c r="J18" s="2">
        <f t="shared" si="3"/>
        <v>17472.007601155172</v>
      </c>
    </row>
    <row r="19" spans="1:10" x14ac:dyDescent="0.25">
      <c r="A19">
        <v>11</v>
      </c>
      <c r="B19" s="1">
        <v>8279</v>
      </c>
      <c r="C19" s="2">
        <v>284.25012948115898</v>
      </c>
      <c r="D19" s="2">
        <v>1</v>
      </c>
      <c r="E19">
        <f t="shared" si="0"/>
        <v>8</v>
      </c>
      <c r="F19">
        <f t="shared" si="1"/>
        <v>1922</v>
      </c>
      <c r="G19" s="2">
        <f t="shared" si="2"/>
        <v>0</v>
      </c>
      <c r="I19">
        <v>1932</v>
      </c>
      <c r="J19" s="2">
        <f t="shared" si="3"/>
        <v>18696.649656408554</v>
      </c>
    </row>
    <row r="20" spans="1:10" x14ac:dyDescent="0.25">
      <c r="A20">
        <v>12</v>
      </c>
      <c r="B20" s="1">
        <v>8309</v>
      </c>
      <c r="C20" s="2">
        <v>251.09751946104598</v>
      </c>
      <c r="D20" s="2">
        <v>0.99999999999999989</v>
      </c>
      <c r="E20">
        <f t="shared" si="0"/>
        <v>9</v>
      </c>
      <c r="F20">
        <f t="shared" si="1"/>
        <v>1922</v>
      </c>
      <c r="G20" s="2">
        <f t="shared" si="2"/>
        <v>0</v>
      </c>
      <c r="I20">
        <v>1933</v>
      </c>
      <c r="J20" s="2">
        <f t="shared" si="3"/>
        <v>19029.382401258139</v>
      </c>
    </row>
    <row r="21" spans="1:10" x14ac:dyDescent="0.25">
      <c r="A21">
        <v>13</v>
      </c>
      <c r="B21" s="1">
        <v>8340</v>
      </c>
      <c r="C21" s="2">
        <v>215.12985528304065</v>
      </c>
      <c r="D21" s="2">
        <v>0.99999999999999989</v>
      </c>
      <c r="E21">
        <f t="shared" si="0"/>
        <v>10</v>
      </c>
      <c r="F21">
        <f t="shared" si="1"/>
        <v>1922</v>
      </c>
      <c r="G21" s="2">
        <f t="shared" si="2"/>
        <v>0</v>
      </c>
      <c r="I21">
        <v>1934</v>
      </c>
      <c r="J21" s="2">
        <f t="shared" si="3"/>
        <v>19029.382401258139</v>
      </c>
    </row>
    <row r="22" spans="1:10" x14ac:dyDescent="0.25">
      <c r="A22">
        <v>14</v>
      </c>
      <c r="B22" s="1">
        <v>8370</v>
      </c>
      <c r="C22" s="2">
        <v>152.24052617673215</v>
      </c>
      <c r="D22" s="2">
        <v>1</v>
      </c>
      <c r="E22">
        <f t="shared" si="0"/>
        <v>11</v>
      </c>
      <c r="F22">
        <f t="shared" si="1"/>
        <v>1922</v>
      </c>
      <c r="G22" s="2">
        <f t="shared" si="2"/>
        <v>0</v>
      </c>
      <c r="I22">
        <v>1935</v>
      </c>
      <c r="J22" s="2">
        <f t="shared" si="3"/>
        <v>17248.730801140413</v>
      </c>
    </row>
    <row r="23" spans="1:10" x14ac:dyDescent="0.25">
      <c r="A23">
        <v>15</v>
      </c>
      <c r="B23" s="1">
        <v>8401</v>
      </c>
      <c r="C23" s="2">
        <v>138.92959785864781</v>
      </c>
      <c r="D23" s="2">
        <v>1</v>
      </c>
      <c r="E23">
        <f t="shared" si="0"/>
        <v>12</v>
      </c>
      <c r="F23">
        <f t="shared" si="1"/>
        <v>1922</v>
      </c>
      <c r="G23" s="2">
        <f t="shared" si="2"/>
        <v>0</v>
      </c>
      <c r="I23">
        <v>1936</v>
      </c>
      <c r="J23" s="2">
        <f t="shared" si="3"/>
        <v>12096.412414592869</v>
      </c>
    </row>
    <row r="24" spans="1:10" x14ac:dyDescent="0.25">
      <c r="A24">
        <v>16</v>
      </c>
      <c r="B24" s="1">
        <v>8432</v>
      </c>
      <c r="C24" s="2">
        <v>110.24576070621372</v>
      </c>
      <c r="D24" s="2">
        <v>0.99999999999999989</v>
      </c>
      <c r="E24">
        <f t="shared" si="0"/>
        <v>1</v>
      </c>
      <c r="F24">
        <f t="shared" si="1"/>
        <v>1923</v>
      </c>
      <c r="G24" s="2">
        <f t="shared" si="2"/>
        <v>0</v>
      </c>
      <c r="I24">
        <v>1937</v>
      </c>
      <c r="J24" s="2">
        <f t="shared" si="3"/>
        <v>13956.025600923102</v>
      </c>
    </row>
    <row r="25" spans="1:10" x14ac:dyDescent="0.25">
      <c r="A25">
        <v>17</v>
      </c>
      <c r="B25" s="1">
        <v>8460</v>
      </c>
      <c r="C25" s="2">
        <v>102.91438209013761</v>
      </c>
      <c r="D25" s="2">
        <v>1.0000000000000002</v>
      </c>
      <c r="E25">
        <f t="shared" si="0"/>
        <v>2</v>
      </c>
      <c r="F25">
        <f t="shared" si="1"/>
        <v>1923</v>
      </c>
      <c r="G25" s="2">
        <f t="shared" si="2"/>
        <v>5715.5756003778906</v>
      </c>
      <c r="I25">
        <v>1938</v>
      </c>
      <c r="J25" s="2">
        <f t="shared" si="3"/>
        <v>12258.662200810872</v>
      </c>
    </row>
    <row r="26" spans="1:10" x14ac:dyDescent="0.25">
      <c r="A26">
        <v>18</v>
      </c>
      <c r="B26" s="1">
        <v>8491</v>
      </c>
      <c r="C26" s="2">
        <v>106.88716825976024</v>
      </c>
      <c r="D26" s="2">
        <v>0.75</v>
      </c>
      <c r="E26">
        <f t="shared" si="0"/>
        <v>3</v>
      </c>
      <c r="F26">
        <f t="shared" si="1"/>
        <v>1923</v>
      </c>
      <c r="G26" s="2">
        <f t="shared" si="2"/>
        <v>6572.2358004348444</v>
      </c>
      <c r="I26">
        <v>1939</v>
      </c>
      <c r="J26" s="2">
        <f t="shared" si="3"/>
        <v>13632.829800901778</v>
      </c>
    </row>
    <row r="27" spans="1:10" x14ac:dyDescent="0.25">
      <c r="A27">
        <v>19</v>
      </c>
      <c r="B27" s="1">
        <v>8521</v>
      </c>
      <c r="C27" s="2">
        <v>181.23525201198251</v>
      </c>
      <c r="D27" s="2">
        <v>0.75</v>
      </c>
      <c r="E27">
        <f t="shared" si="0"/>
        <v>4</v>
      </c>
      <c r="F27">
        <f t="shared" si="1"/>
        <v>1923</v>
      </c>
      <c r="G27" s="2">
        <f t="shared" si="2"/>
        <v>0</v>
      </c>
      <c r="I27">
        <v>1940</v>
      </c>
      <c r="J27" s="2">
        <f t="shared" si="3"/>
        <v>13771.903835394107</v>
      </c>
    </row>
    <row r="28" spans="1:10" x14ac:dyDescent="0.25">
      <c r="A28">
        <v>20</v>
      </c>
      <c r="B28" s="1">
        <v>8552</v>
      </c>
      <c r="C28" s="2">
        <v>189.91672423298658</v>
      </c>
      <c r="D28" s="2">
        <v>1</v>
      </c>
      <c r="E28">
        <f t="shared" si="0"/>
        <v>5</v>
      </c>
      <c r="F28">
        <f t="shared" si="1"/>
        <v>1923</v>
      </c>
      <c r="G28" s="2">
        <f t="shared" si="2"/>
        <v>0</v>
      </c>
      <c r="I28">
        <v>1941</v>
      </c>
      <c r="J28" s="2">
        <f t="shared" si="3"/>
        <v>11935.466400789493</v>
      </c>
    </row>
    <row r="29" spans="1:10" x14ac:dyDescent="0.25">
      <c r="A29">
        <v>21</v>
      </c>
      <c r="B29" s="1">
        <v>8582</v>
      </c>
      <c r="C29" s="2">
        <v>249.94227532208063</v>
      </c>
      <c r="D29" s="2">
        <v>1</v>
      </c>
      <c r="E29">
        <f t="shared" si="0"/>
        <v>6</v>
      </c>
      <c r="F29">
        <f t="shared" si="1"/>
        <v>1923</v>
      </c>
      <c r="G29" s="2">
        <f t="shared" si="2"/>
        <v>0</v>
      </c>
      <c r="I29">
        <v>1942</v>
      </c>
      <c r="J29" s="2">
        <f t="shared" si="3"/>
        <v>11935.46640078945</v>
      </c>
    </row>
    <row r="30" spans="1:10" x14ac:dyDescent="0.25">
      <c r="A30">
        <v>22</v>
      </c>
      <c r="B30" s="1">
        <v>8613</v>
      </c>
      <c r="C30" s="2">
        <v>278.83348316359661</v>
      </c>
      <c r="D30" s="2">
        <v>1</v>
      </c>
      <c r="E30">
        <f t="shared" si="0"/>
        <v>7</v>
      </c>
      <c r="F30">
        <f t="shared" si="1"/>
        <v>1923</v>
      </c>
      <c r="G30" s="2">
        <f t="shared" si="2"/>
        <v>0</v>
      </c>
      <c r="I30">
        <v>1943</v>
      </c>
      <c r="J30" s="2">
        <f t="shared" si="3"/>
        <v>11935.466400789695</v>
      </c>
    </row>
    <row r="31" spans="1:10" x14ac:dyDescent="0.25">
      <c r="A31">
        <v>23</v>
      </c>
      <c r="B31" s="1">
        <v>8644</v>
      </c>
      <c r="C31" s="2">
        <v>281.64601106700837</v>
      </c>
      <c r="D31" s="2">
        <v>1</v>
      </c>
      <c r="E31">
        <f t="shared" si="0"/>
        <v>8</v>
      </c>
      <c r="F31">
        <f t="shared" si="1"/>
        <v>1923</v>
      </c>
      <c r="G31" s="2">
        <f t="shared" si="2"/>
        <v>0</v>
      </c>
      <c r="I31">
        <v>1944</v>
      </c>
      <c r="J31" s="2">
        <f t="shared" si="3"/>
        <v>13424.783297439804</v>
      </c>
    </row>
    <row r="32" spans="1:10" x14ac:dyDescent="0.25">
      <c r="A32">
        <v>24</v>
      </c>
      <c r="B32" s="1">
        <v>8674</v>
      </c>
      <c r="C32" s="2">
        <v>247.80503551638381</v>
      </c>
      <c r="D32" s="2">
        <v>1</v>
      </c>
      <c r="E32">
        <f t="shared" si="0"/>
        <v>9</v>
      </c>
      <c r="F32">
        <f t="shared" si="1"/>
        <v>1923</v>
      </c>
      <c r="G32" s="2">
        <f t="shared" si="2"/>
        <v>0</v>
      </c>
      <c r="I32">
        <v>1945</v>
      </c>
      <c r="J32" s="2">
        <f t="shared" si="3"/>
        <v>14664.110600969914</v>
      </c>
    </row>
    <row r="33" spans="1:10" x14ac:dyDescent="0.25">
      <c r="A33">
        <v>25</v>
      </c>
      <c r="B33" s="1">
        <v>8705</v>
      </c>
      <c r="C33" s="2">
        <v>213.68325149262245</v>
      </c>
      <c r="D33" s="2">
        <v>1</v>
      </c>
      <c r="E33">
        <f t="shared" si="0"/>
        <v>10</v>
      </c>
      <c r="F33">
        <f t="shared" si="1"/>
        <v>1923</v>
      </c>
      <c r="G33" s="2">
        <f t="shared" si="2"/>
        <v>0</v>
      </c>
      <c r="I33">
        <v>1946</v>
      </c>
      <c r="J33" s="2">
        <f t="shared" si="3"/>
        <v>12315.603600814935</v>
      </c>
    </row>
    <row r="34" spans="1:10" x14ac:dyDescent="0.25">
      <c r="A34">
        <v>26</v>
      </c>
      <c r="B34" s="1">
        <v>8735</v>
      </c>
      <c r="C34" s="2">
        <v>158.89264570494973</v>
      </c>
      <c r="D34" s="2">
        <v>1</v>
      </c>
      <c r="E34">
        <f t="shared" si="0"/>
        <v>11</v>
      </c>
      <c r="F34">
        <f t="shared" si="1"/>
        <v>1923</v>
      </c>
      <c r="G34" s="2">
        <f t="shared" si="2"/>
        <v>0</v>
      </c>
      <c r="I34">
        <v>1947</v>
      </c>
      <c r="J34" s="2">
        <f t="shared" si="3"/>
        <v>13956.025600923236</v>
      </c>
    </row>
    <row r="35" spans="1:10" x14ac:dyDescent="0.25">
      <c r="A35">
        <v>27</v>
      </c>
      <c r="B35" s="1">
        <v>8766</v>
      </c>
      <c r="C35" s="2">
        <v>140.71970178349733</v>
      </c>
      <c r="D35" s="2">
        <v>1</v>
      </c>
      <c r="E35">
        <f t="shared" si="0"/>
        <v>12</v>
      </c>
      <c r="F35">
        <f t="shared" si="1"/>
        <v>1923</v>
      </c>
      <c r="G35" s="2">
        <f t="shared" si="2"/>
        <v>0</v>
      </c>
      <c r="I35">
        <v>1948</v>
      </c>
      <c r="J35" s="2">
        <f t="shared" si="3"/>
        <v>18696.649656409674</v>
      </c>
    </row>
    <row r="36" spans="1:10" x14ac:dyDescent="0.25">
      <c r="A36">
        <v>28</v>
      </c>
      <c r="B36" s="1">
        <v>8797</v>
      </c>
      <c r="C36" s="2">
        <v>120.71654124454039</v>
      </c>
      <c r="D36" s="2">
        <v>1</v>
      </c>
      <c r="E36">
        <f t="shared" si="0"/>
        <v>1</v>
      </c>
      <c r="F36">
        <f t="shared" si="1"/>
        <v>1924</v>
      </c>
      <c r="G36" s="2">
        <f t="shared" si="2"/>
        <v>0</v>
      </c>
      <c r="I36">
        <v>1949</v>
      </c>
      <c r="J36" s="2">
        <f t="shared" si="3"/>
        <v>15736.677201040813</v>
      </c>
    </row>
    <row r="37" spans="1:10" x14ac:dyDescent="0.25">
      <c r="A37">
        <v>29</v>
      </c>
      <c r="B37" s="1">
        <v>8826</v>
      </c>
      <c r="C37" s="2">
        <v>110.50888971995006</v>
      </c>
      <c r="D37" s="2">
        <v>0.25</v>
      </c>
      <c r="E37">
        <f t="shared" si="0"/>
        <v>2</v>
      </c>
      <c r="F37">
        <f t="shared" si="1"/>
        <v>1924</v>
      </c>
      <c r="G37" s="2">
        <f t="shared" si="2"/>
        <v>6137.3532141988799</v>
      </c>
      <c r="I37">
        <v>1950</v>
      </c>
      <c r="J37" s="2">
        <f t="shared" si="3"/>
        <v>15691.356001037786</v>
      </c>
    </row>
    <row r="38" spans="1:10" x14ac:dyDescent="0.25">
      <c r="A38">
        <v>30</v>
      </c>
      <c r="B38" s="1">
        <v>8857</v>
      </c>
      <c r="C38" s="2">
        <v>152.55323506385841</v>
      </c>
      <c r="D38" s="2">
        <v>0.25</v>
      </c>
      <c r="E38">
        <f t="shared" si="0"/>
        <v>3</v>
      </c>
      <c r="F38">
        <f t="shared" si="1"/>
        <v>1924</v>
      </c>
      <c r="G38" s="2">
        <f t="shared" si="2"/>
        <v>9380.132800620715</v>
      </c>
      <c r="I38">
        <v>1951</v>
      </c>
      <c r="J38" s="2">
        <f t="shared" si="3"/>
        <v>13993.992600925561</v>
      </c>
    </row>
    <row r="39" spans="1:10" x14ac:dyDescent="0.25">
      <c r="A39">
        <v>31</v>
      </c>
      <c r="B39" s="1">
        <v>8887</v>
      </c>
      <c r="C39" s="2">
        <v>196.32088667964658</v>
      </c>
      <c r="D39" s="2">
        <v>0.25</v>
      </c>
      <c r="E39">
        <f t="shared" si="0"/>
        <v>4</v>
      </c>
      <c r="F39">
        <f t="shared" si="1"/>
        <v>1924</v>
      </c>
      <c r="G39" s="2">
        <f t="shared" si="2"/>
        <v>0</v>
      </c>
      <c r="I39">
        <v>1952</v>
      </c>
      <c r="J39" s="2">
        <f t="shared" si="3"/>
        <v>11727.419897327447</v>
      </c>
    </row>
    <row r="40" spans="1:10" x14ac:dyDescent="0.25">
      <c r="A40">
        <v>32</v>
      </c>
      <c r="B40" s="1">
        <v>8918</v>
      </c>
      <c r="C40" s="2">
        <v>239.89165958575308</v>
      </c>
      <c r="D40" s="2">
        <v>0.25</v>
      </c>
      <c r="E40">
        <f t="shared" si="0"/>
        <v>5</v>
      </c>
      <c r="F40">
        <f t="shared" si="1"/>
        <v>1924</v>
      </c>
      <c r="G40" s="2">
        <f t="shared" si="2"/>
        <v>0</v>
      </c>
      <c r="I40">
        <v>1953</v>
      </c>
      <c r="J40" s="2">
        <f t="shared" si="3"/>
        <v>11992.407800793229</v>
      </c>
    </row>
    <row r="41" spans="1:10" x14ac:dyDescent="0.25">
      <c r="A41">
        <v>33</v>
      </c>
      <c r="B41" s="1">
        <v>8948</v>
      </c>
      <c r="C41" s="2">
        <v>275.36306112931697</v>
      </c>
      <c r="D41" s="2">
        <v>0.25</v>
      </c>
      <c r="E41">
        <f t="shared" si="0"/>
        <v>6</v>
      </c>
      <c r="F41">
        <f t="shared" si="1"/>
        <v>1924</v>
      </c>
      <c r="G41" s="2">
        <f t="shared" si="2"/>
        <v>0</v>
      </c>
      <c r="I41">
        <v>1954</v>
      </c>
      <c r="J41" s="2">
        <f t="shared" si="3"/>
        <v>11674.634800772405</v>
      </c>
    </row>
    <row r="42" spans="1:10" x14ac:dyDescent="0.25">
      <c r="A42">
        <v>34</v>
      </c>
      <c r="B42" s="1">
        <v>8979</v>
      </c>
      <c r="C42" s="2">
        <v>287.21574840608628</v>
      </c>
      <c r="D42" s="2">
        <v>0.25</v>
      </c>
      <c r="E42">
        <f t="shared" si="0"/>
        <v>7</v>
      </c>
      <c r="F42">
        <f t="shared" si="1"/>
        <v>1924</v>
      </c>
      <c r="G42" s="2">
        <f t="shared" si="2"/>
        <v>0</v>
      </c>
      <c r="I42">
        <v>1955</v>
      </c>
      <c r="J42" s="2">
        <f t="shared" si="3"/>
        <v>13315.056800880673</v>
      </c>
    </row>
    <row r="43" spans="1:10" x14ac:dyDescent="0.25">
      <c r="A43">
        <v>35</v>
      </c>
      <c r="B43" s="1">
        <v>9010</v>
      </c>
      <c r="C43" s="2">
        <v>278.99732431952134</v>
      </c>
      <c r="D43" s="2">
        <v>0.25</v>
      </c>
      <c r="E43">
        <f t="shared" si="0"/>
        <v>8</v>
      </c>
      <c r="F43">
        <f t="shared" si="1"/>
        <v>1924</v>
      </c>
      <c r="G43" s="2">
        <f t="shared" si="2"/>
        <v>0</v>
      </c>
      <c r="I43">
        <v>1956</v>
      </c>
      <c r="J43" s="2">
        <f t="shared" si="3"/>
        <v>13714.962435389863</v>
      </c>
    </row>
    <row r="44" spans="1:10" x14ac:dyDescent="0.25">
      <c r="A44">
        <v>36</v>
      </c>
      <c r="B44" s="1">
        <v>9040</v>
      </c>
      <c r="C44" s="2">
        <v>254.3199242390414</v>
      </c>
      <c r="D44" s="2">
        <v>0.25</v>
      </c>
      <c r="E44">
        <f t="shared" si="0"/>
        <v>9</v>
      </c>
      <c r="F44">
        <f t="shared" si="1"/>
        <v>1924</v>
      </c>
      <c r="G44" s="2">
        <f t="shared" si="2"/>
        <v>0</v>
      </c>
      <c r="I44">
        <v>1957</v>
      </c>
      <c r="J44" s="2">
        <f t="shared" si="3"/>
        <v>12605.584400834065</v>
      </c>
    </row>
    <row r="45" spans="1:10" x14ac:dyDescent="0.25">
      <c r="A45">
        <v>37</v>
      </c>
      <c r="B45" s="1">
        <v>9071</v>
      </c>
      <c r="C45" s="2">
        <v>214.84262990668282</v>
      </c>
      <c r="D45" s="2">
        <v>0.25</v>
      </c>
      <c r="E45">
        <f t="shared" si="0"/>
        <v>10</v>
      </c>
      <c r="F45">
        <f t="shared" si="1"/>
        <v>1924</v>
      </c>
      <c r="G45" s="2">
        <f t="shared" si="2"/>
        <v>0</v>
      </c>
      <c r="I45">
        <v>1958</v>
      </c>
      <c r="J45" s="2">
        <f t="shared" si="3"/>
        <v>12258.662200810952</v>
      </c>
    </row>
    <row r="46" spans="1:10" x14ac:dyDescent="0.25">
      <c r="A46">
        <v>38</v>
      </c>
      <c r="B46" s="1">
        <v>9101</v>
      </c>
      <c r="C46" s="2">
        <v>177.10611356727179</v>
      </c>
      <c r="D46" s="2">
        <v>0.25</v>
      </c>
      <c r="E46">
        <f t="shared" si="0"/>
        <v>11</v>
      </c>
      <c r="F46">
        <f t="shared" si="1"/>
        <v>1924</v>
      </c>
      <c r="G46" s="2">
        <f t="shared" si="2"/>
        <v>0</v>
      </c>
      <c r="I46">
        <v>1959</v>
      </c>
      <c r="J46" s="2">
        <f t="shared" si="3"/>
        <v>12605.584400833754</v>
      </c>
    </row>
    <row r="47" spans="1:10" x14ac:dyDescent="0.25">
      <c r="A47">
        <v>39</v>
      </c>
      <c r="B47" s="1">
        <v>9132</v>
      </c>
      <c r="C47" s="2">
        <v>161.98826861286921</v>
      </c>
      <c r="D47" s="2">
        <v>0.25</v>
      </c>
      <c r="E47">
        <f t="shared" si="0"/>
        <v>12</v>
      </c>
      <c r="F47">
        <f t="shared" si="1"/>
        <v>1924</v>
      </c>
      <c r="G47" s="2">
        <f t="shared" si="2"/>
        <v>0</v>
      </c>
      <c r="I47">
        <v>1960</v>
      </c>
      <c r="J47" s="2">
        <f t="shared" si="3"/>
        <v>13736.834414701694</v>
      </c>
    </row>
    <row r="48" spans="1:10" x14ac:dyDescent="0.25">
      <c r="A48">
        <v>40</v>
      </c>
      <c r="B48" s="1">
        <v>9163</v>
      </c>
      <c r="C48" s="2">
        <v>157.69227420397434</v>
      </c>
      <c r="D48" s="2">
        <v>0.25</v>
      </c>
      <c r="E48">
        <f t="shared" si="0"/>
        <v>1</v>
      </c>
      <c r="F48">
        <f t="shared" si="1"/>
        <v>1925</v>
      </c>
      <c r="G48" s="2">
        <f t="shared" si="2"/>
        <v>0</v>
      </c>
      <c r="I48">
        <v>1961</v>
      </c>
      <c r="J48" s="2">
        <f t="shared" si="3"/>
        <v>15691.356001037815</v>
      </c>
    </row>
    <row r="49" spans="1:10" x14ac:dyDescent="0.25">
      <c r="A49">
        <v>41</v>
      </c>
      <c r="B49" s="1">
        <v>9191</v>
      </c>
      <c r="C49" s="2">
        <v>173.743928821011</v>
      </c>
      <c r="D49" s="2">
        <v>0.5</v>
      </c>
      <c r="E49">
        <f t="shared" si="0"/>
        <v>2</v>
      </c>
      <c r="F49">
        <f t="shared" si="1"/>
        <v>1925</v>
      </c>
      <c r="G49" s="2">
        <f t="shared" si="2"/>
        <v>9649.2496006379661</v>
      </c>
      <c r="I49">
        <v>1962</v>
      </c>
      <c r="J49" s="2">
        <f t="shared" si="3"/>
        <v>14664.110600970009</v>
      </c>
    </row>
    <row r="50" spans="1:10" x14ac:dyDescent="0.25">
      <c r="A50">
        <v>42</v>
      </c>
      <c r="B50" s="1">
        <v>9222</v>
      </c>
      <c r="C50" s="2">
        <v>123.59371307268762</v>
      </c>
      <c r="D50" s="2">
        <v>0.75000000000000011</v>
      </c>
      <c r="E50">
        <f t="shared" si="0"/>
        <v>3</v>
      </c>
      <c r="F50">
        <f t="shared" si="1"/>
        <v>1925</v>
      </c>
      <c r="G50" s="2">
        <f t="shared" si="2"/>
        <v>7599.481200502446</v>
      </c>
      <c r="I50">
        <v>1963</v>
      </c>
      <c r="J50" s="2">
        <f t="shared" si="3"/>
        <v>12928.780200855213</v>
      </c>
    </row>
    <row r="51" spans="1:10" x14ac:dyDescent="0.25">
      <c r="A51">
        <v>43</v>
      </c>
      <c r="B51" s="1">
        <v>9252</v>
      </c>
      <c r="C51" s="2">
        <v>181.23525201198254</v>
      </c>
      <c r="D51" s="2">
        <v>0.75</v>
      </c>
      <c r="E51">
        <f t="shared" si="0"/>
        <v>4</v>
      </c>
      <c r="F51">
        <f t="shared" si="1"/>
        <v>1925</v>
      </c>
      <c r="G51" s="2">
        <f t="shared" si="2"/>
        <v>0</v>
      </c>
      <c r="I51">
        <v>1964</v>
      </c>
      <c r="J51" s="2">
        <f t="shared" si="3"/>
        <v>12397.537897371807</v>
      </c>
    </row>
    <row r="52" spans="1:10" x14ac:dyDescent="0.25">
      <c r="A52">
        <v>44</v>
      </c>
      <c r="B52" s="1">
        <v>9283</v>
      </c>
      <c r="C52" s="2">
        <v>220.07156033713082</v>
      </c>
      <c r="D52" s="2">
        <v>1</v>
      </c>
      <c r="E52">
        <f t="shared" si="0"/>
        <v>5</v>
      </c>
      <c r="F52">
        <f t="shared" si="1"/>
        <v>1925</v>
      </c>
      <c r="G52" s="2">
        <f t="shared" si="2"/>
        <v>0</v>
      </c>
      <c r="I52">
        <v>1965</v>
      </c>
      <c r="J52" s="2">
        <f t="shared" si="3"/>
        <v>13993.992600925558</v>
      </c>
    </row>
    <row r="53" spans="1:10" x14ac:dyDescent="0.25">
      <c r="A53">
        <v>45</v>
      </c>
      <c r="B53" s="1">
        <v>9313</v>
      </c>
      <c r="C53" s="2">
        <v>257.70906701703865</v>
      </c>
      <c r="D53" s="2">
        <v>1</v>
      </c>
      <c r="E53">
        <f t="shared" si="0"/>
        <v>6</v>
      </c>
      <c r="F53">
        <f t="shared" si="1"/>
        <v>1925</v>
      </c>
      <c r="G53" s="2">
        <f t="shared" si="2"/>
        <v>0</v>
      </c>
      <c r="I53">
        <v>1966</v>
      </c>
      <c r="J53" s="2">
        <f t="shared" si="3"/>
        <v>12605.584400833777</v>
      </c>
    </row>
    <row r="54" spans="1:10" x14ac:dyDescent="0.25">
      <c r="A54">
        <v>46</v>
      </c>
      <c r="B54" s="1">
        <v>9344</v>
      </c>
      <c r="C54" s="2">
        <v>288.24290179325095</v>
      </c>
      <c r="D54" s="2">
        <v>1</v>
      </c>
      <c r="E54">
        <f t="shared" si="0"/>
        <v>7</v>
      </c>
      <c r="F54">
        <f t="shared" si="1"/>
        <v>1925</v>
      </c>
      <c r="G54" s="2">
        <f t="shared" si="2"/>
        <v>0</v>
      </c>
      <c r="I54">
        <v>1967</v>
      </c>
      <c r="J54" s="2">
        <f t="shared" si="3"/>
        <v>12315.603600814624</v>
      </c>
    </row>
    <row r="55" spans="1:10" x14ac:dyDescent="0.25">
      <c r="A55">
        <v>47</v>
      </c>
      <c r="B55" s="1">
        <v>9375</v>
      </c>
      <c r="C55" s="2">
        <v>279.99483921206041</v>
      </c>
      <c r="D55" s="2">
        <v>1</v>
      </c>
      <c r="E55">
        <f t="shared" si="0"/>
        <v>8</v>
      </c>
      <c r="F55">
        <f t="shared" si="1"/>
        <v>1925</v>
      </c>
      <c r="G55" s="2">
        <f t="shared" si="2"/>
        <v>0</v>
      </c>
      <c r="I55">
        <v>1968</v>
      </c>
      <c r="J55" s="2">
        <f t="shared" si="3"/>
        <v>12397.537897371742</v>
      </c>
    </row>
    <row r="56" spans="1:10" x14ac:dyDescent="0.25">
      <c r="A56">
        <v>48</v>
      </c>
      <c r="B56" s="1">
        <v>9405</v>
      </c>
      <c r="C56" s="2">
        <v>253.56663201676471</v>
      </c>
      <c r="D56" s="2">
        <v>1</v>
      </c>
      <c r="E56">
        <f t="shared" si="0"/>
        <v>9</v>
      </c>
      <c r="F56">
        <f t="shared" si="1"/>
        <v>1925</v>
      </c>
      <c r="G56" s="2">
        <f t="shared" si="2"/>
        <v>0</v>
      </c>
      <c r="I56">
        <v>1969</v>
      </c>
      <c r="J56" s="2">
        <f t="shared" si="3"/>
        <v>12258.662200810842</v>
      </c>
    </row>
    <row r="57" spans="1:10" x14ac:dyDescent="0.25">
      <c r="A57">
        <v>49</v>
      </c>
      <c r="B57" s="1">
        <v>9436</v>
      </c>
      <c r="C57" s="2">
        <v>216.07475469170529</v>
      </c>
      <c r="D57" s="2">
        <v>1</v>
      </c>
      <c r="E57">
        <f t="shared" si="0"/>
        <v>10</v>
      </c>
      <c r="F57">
        <f t="shared" si="1"/>
        <v>1925</v>
      </c>
      <c r="G57" s="2">
        <f t="shared" si="2"/>
        <v>0</v>
      </c>
      <c r="I57">
        <v>1970</v>
      </c>
      <c r="J57" s="2">
        <f t="shared" si="3"/>
        <v>11935.466400789526</v>
      </c>
    </row>
    <row r="58" spans="1:10" x14ac:dyDescent="0.25">
      <c r="A58">
        <v>50</v>
      </c>
      <c r="B58" s="1">
        <v>9466</v>
      </c>
      <c r="C58" s="2">
        <v>174.85540601156069</v>
      </c>
      <c r="D58" s="2">
        <v>1</v>
      </c>
      <c r="E58">
        <f t="shared" si="0"/>
        <v>11</v>
      </c>
      <c r="F58">
        <f t="shared" si="1"/>
        <v>1925</v>
      </c>
      <c r="G58" s="2">
        <f t="shared" si="2"/>
        <v>0</v>
      </c>
      <c r="I58">
        <v>1971</v>
      </c>
      <c r="J58" s="2">
        <f t="shared" si="3"/>
        <v>11935.466400789483</v>
      </c>
    </row>
    <row r="59" spans="1:10" x14ac:dyDescent="0.25">
      <c r="A59">
        <v>51</v>
      </c>
      <c r="B59" s="1">
        <v>9497</v>
      </c>
      <c r="C59" s="2">
        <v>153.1868782359345</v>
      </c>
      <c r="D59" s="2">
        <v>1</v>
      </c>
      <c r="E59">
        <f t="shared" si="0"/>
        <v>12</v>
      </c>
      <c r="F59">
        <f t="shared" si="1"/>
        <v>1925</v>
      </c>
      <c r="G59" s="2">
        <f t="shared" si="2"/>
        <v>0</v>
      </c>
      <c r="I59">
        <v>1972</v>
      </c>
      <c r="J59" s="2">
        <f t="shared" si="3"/>
        <v>12397.537897371734</v>
      </c>
    </row>
    <row r="60" spans="1:10" x14ac:dyDescent="0.25">
      <c r="A60">
        <v>52</v>
      </c>
      <c r="B60" s="1">
        <v>9528</v>
      </c>
      <c r="C60" s="2">
        <v>148.33069936464571</v>
      </c>
      <c r="D60" s="2">
        <v>1</v>
      </c>
      <c r="E60">
        <f t="shared" si="0"/>
        <v>1</v>
      </c>
      <c r="F60">
        <f t="shared" si="1"/>
        <v>1926</v>
      </c>
      <c r="G60" s="2">
        <f t="shared" si="2"/>
        <v>0</v>
      </c>
      <c r="I60">
        <v>1973</v>
      </c>
      <c r="J60" s="2">
        <f t="shared" si="3"/>
        <v>12315.603600814671</v>
      </c>
    </row>
    <row r="61" spans="1:10" x14ac:dyDescent="0.25">
      <c r="A61">
        <v>53</v>
      </c>
      <c r="B61" s="1">
        <v>9556</v>
      </c>
      <c r="C61" s="2">
        <v>145.70191233106175</v>
      </c>
      <c r="D61" s="2">
        <v>0.75</v>
      </c>
      <c r="E61">
        <f t="shared" si="0"/>
        <v>2</v>
      </c>
      <c r="F61">
        <f t="shared" si="1"/>
        <v>1926</v>
      </c>
      <c r="G61" s="2">
        <f t="shared" si="2"/>
        <v>8091.8748005349989</v>
      </c>
      <c r="I61">
        <v>1974</v>
      </c>
      <c r="J61" s="2">
        <f t="shared" si="3"/>
        <v>11617.693400768578</v>
      </c>
    </row>
    <row r="62" spans="1:10" x14ac:dyDescent="0.25">
      <c r="A62">
        <v>54</v>
      </c>
      <c r="B62" s="1">
        <v>9587</v>
      </c>
      <c r="C62" s="2">
        <v>123.59371307269255</v>
      </c>
      <c r="D62" s="2">
        <v>0.49999999999999994</v>
      </c>
      <c r="E62">
        <f t="shared" si="0"/>
        <v>3</v>
      </c>
      <c r="F62">
        <f t="shared" si="1"/>
        <v>1926</v>
      </c>
      <c r="G62" s="2">
        <f t="shared" si="2"/>
        <v>7599.4812005027488</v>
      </c>
      <c r="I62">
        <v>1975</v>
      </c>
      <c r="J62" s="2">
        <f t="shared" si="3"/>
        <v>12605.584400833906</v>
      </c>
    </row>
    <row r="63" spans="1:10" x14ac:dyDescent="0.25">
      <c r="A63">
        <v>55</v>
      </c>
      <c r="B63" s="1">
        <v>9617</v>
      </c>
      <c r="C63" s="2">
        <v>196.32088667964661</v>
      </c>
      <c r="D63" s="2">
        <v>0.5</v>
      </c>
      <c r="E63">
        <f t="shared" si="0"/>
        <v>4</v>
      </c>
      <c r="F63">
        <f t="shared" si="1"/>
        <v>1926</v>
      </c>
      <c r="G63" s="2">
        <f t="shared" si="2"/>
        <v>0</v>
      </c>
      <c r="I63">
        <v>1976</v>
      </c>
      <c r="J63" s="2">
        <f t="shared" si="3"/>
        <v>13424.783297439666</v>
      </c>
    </row>
    <row r="64" spans="1:10" x14ac:dyDescent="0.25">
      <c r="A64">
        <v>56</v>
      </c>
      <c r="B64" s="1">
        <v>9648</v>
      </c>
      <c r="C64" s="2">
        <v>220.07156033713082</v>
      </c>
      <c r="D64" s="2">
        <v>0.60926254160237714</v>
      </c>
      <c r="E64">
        <f t="shared" si="0"/>
        <v>5</v>
      </c>
      <c r="F64">
        <f t="shared" si="1"/>
        <v>1926</v>
      </c>
      <c r="G64" s="2">
        <f t="shared" si="2"/>
        <v>0</v>
      </c>
      <c r="I64">
        <v>1977</v>
      </c>
      <c r="J64" s="2">
        <f t="shared" si="3"/>
        <v>19029.382401258837</v>
      </c>
    </row>
    <row r="65" spans="1:10" x14ac:dyDescent="0.25">
      <c r="A65">
        <v>57</v>
      </c>
      <c r="B65" s="1">
        <v>9678</v>
      </c>
      <c r="C65" s="2">
        <v>257.70906701703865</v>
      </c>
      <c r="D65" s="2">
        <v>0.60926254160237714</v>
      </c>
      <c r="E65">
        <f t="shared" si="0"/>
        <v>6</v>
      </c>
      <c r="F65">
        <f t="shared" si="1"/>
        <v>1926</v>
      </c>
      <c r="G65" s="2">
        <f t="shared" si="2"/>
        <v>0</v>
      </c>
      <c r="I65">
        <v>1978</v>
      </c>
      <c r="J65" s="2">
        <f t="shared" si="3"/>
        <v>15608.308801031953</v>
      </c>
    </row>
    <row r="66" spans="1:10" x14ac:dyDescent="0.25">
      <c r="A66">
        <v>58</v>
      </c>
      <c r="B66" s="1">
        <v>9709</v>
      </c>
      <c r="C66" s="2">
        <v>288.24290179325095</v>
      </c>
      <c r="D66" s="2">
        <v>0.60926254160237714</v>
      </c>
      <c r="E66">
        <f t="shared" si="0"/>
        <v>7</v>
      </c>
      <c r="F66">
        <f t="shared" si="1"/>
        <v>1926</v>
      </c>
      <c r="G66" s="2">
        <f t="shared" si="2"/>
        <v>0</v>
      </c>
      <c r="I66">
        <v>1979</v>
      </c>
      <c r="J66" s="2">
        <f t="shared" si="3"/>
        <v>12287.811400812825</v>
      </c>
    </row>
    <row r="67" spans="1:10" x14ac:dyDescent="0.25">
      <c r="A67">
        <v>59</v>
      </c>
      <c r="B67" s="1">
        <v>9740</v>
      </c>
      <c r="C67" s="2">
        <v>279.99483921206041</v>
      </c>
      <c r="D67" s="2">
        <v>0.60926254160237714</v>
      </c>
      <c r="E67">
        <f t="shared" si="0"/>
        <v>8</v>
      </c>
      <c r="F67">
        <f t="shared" si="1"/>
        <v>1926</v>
      </c>
      <c r="G67" s="2">
        <f t="shared" si="2"/>
        <v>0</v>
      </c>
      <c r="I67">
        <v>1980</v>
      </c>
      <c r="J67" s="2">
        <f t="shared" si="3"/>
        <v>12039.471014589533</v>
      </c>
    </row>
    <row r="68" spans="1:10" x14ac:dyDescent="0.25">
      <c r="A68">
        <v>60</v>
      </c>
      <c r="B68" s="1">
        <v>9770</v>
      </c>
      <c r="C68" s="2">
        <v>253.56663201676477</v>
      </c>
      <c r="D68" s="2">
        <v>0.60926254160237714</v>
      </c>
      <c r="E68">
        <f t="shared" si="0"/>
        <v>9</v>
      </c>
      <c r="F68">
        <f t="shared" si="1"/>
        <v>1926</v>
      </c>
      <c r="G68" s="2">
        <f t="shared" si="2"/>
        <v>0</v>
      </c>
      <c r="I68">
        <v>1981</v>
      </c>
      <c r="J68" s="2">
        <f t="shared" si="3"/>
        <v>13632.829800901782</v>
      </c>
    </row>
    <row r="69" spans="1:10" x14ac:dyDescent="0.25">
      <c r="A69">
        <v>61</v>
      </c>
      <c r="B69" s="1">
        <v>9801</v>
      </c>
      <c r="C69" s="2">
        <v>216.07475469170532</v>
      </c>
      <c r="D69" s="2">
        <v>0.60926254160237714</v>
      </c>
      <c r="E69">
        <f t="shared" si="0"/>
        <v>10</v>
      </c>
      <c r="F69">
        <f t="shared" si="1"/>
        <v>1926</v>
      </c>
      <c r="G69" s="2">
        <f t="shared" si="2"/>
        <v>0</v>
      </c>
      <c r="I69">
        <v>1982</v>
      </c>
      <c r="J69" s="2">
        <f t="shared" si="3"/>
        <v>13993.992600925585</v>
      </c>
    </row>
    <row r="70" spans="1:10" x14ac:dyDescent="0.25">
      <c r="A70">
        <v>62</v>
      </c>
      <c r="B70" s="1">
        <v>9831</v>
      </c>
      <c r="C70" s="2">
        <v>174.85540601156069</v>
      </c>
      <c r="D70" s="2">
        <v>0.60926254160237714</v>
      </c>
      <c r="E70">
        <f t="shared" si="0"/>
        <v>11</v>
      </c>
      <c r="F70">
        <f t="shared" si="1"/>
        <v>1926</v>
      </c>
      <c r="G70" s="2">
        <f t="shared" si="2"/>
        <v>0</v>
      </c>
      <c r="I70">
        <v>1983</v>
      </c>
      <c r="J70" s="2">
        <f t="shared" si="3"/>
        <v>11935.466400789501</v>
      </c>
    </row>
    <row r="71" spans="1:10" x14ac:dyDescent="0.25">
      <c r="A71">
        <v>63</v>
      </c>
      <c r="B71" s="1">
        <v>9862</v>
      </c>
      <c r="C71" s="2">
        <v>153.18687823594178</v>
      </c>
      <c r="D71" s="2">
        <v>0.60926254160237714</v>
      </c>
      <c r="E71">
        <f t="shared" si="0"/>
        <v>12</v>
      </c>
      <c r="F71">
        <f t="shared" si="1"/>
        <v>1926</v>
      </c>
      <c r="G71" s="2">
        <f t="shared" si="2"/>
        <v>0</v>
      </c>
      <c r="I71">
        <v>1984</v>
      </c>
      <c r="J71" s="2">
        <f t="shared" si="3"/>
        <v>11727.419897327421</v>
      </c>
    </row>
    <row r="72" spans="1:10" x14ac:dyDescent="0.25">
      <c r="A72">
        <v>64</v>
      </c>
      <c r="B72" s="1">
        <v>9893</v>
      </c>
      <c r="C72" s="2">
        <v>148.33069936464571</v>
      </c>
      <c r="D72" s="2">
        <v>0.60926254160237714</v>
      </c>
      <c r="E72">
        <f t="shared" si="0"/>
        <v>1</v>
      </c>
      <c r="F72">
        <f t="shared" si="1"/>
        <v>1927</v>
      </c>
      <c r="G72" s="2">
        <f t="shared" si="2"/>
        <v>0</v>
      </c>
      <c r="I72">
        <v>1985</v>
      </c>
      <c r="J72" s="2">
        <f t="shared" si="3"/>
        <v>12605.584400834108</v>
      </c>
    </row>
    <row r="73" spans="1:10" x14ac:dyDescent="0.25">
      <c r="A73">
        <v>65</v>
      </c>
      <c r="B73" s="1">
        <v>9921</v>
      </c>
      <c r="C73" s="2">
        <v>145.70191233106175</v>
      </c>
      <c r="D73" s="2">
        <v>0.60926254160237714</v>
      </c>
      <c r="E73">
        <f t="shared" si="0"/>
        <v>2</v>
      </c>
      <c r="F73">
        <f t="shared" si="1"/>
        <v>1927</v>
      </c>
      <c r="G73" s="2">
        <f t="shared" si="2"/>
        <v>8091.8748005349989</v>
      </c>
      <c r="I73">
        <v>1986</v>
      </c>
      <c r="J73" s="2">
        <f t="shared" si="3"/>
        <v>13993.992600925843</v>
      </c>
    </row>
    <row r="74" spans="1:10" x14ac:dyDescent="0.25">
      <c r="A74">
        <v>66</v>
      </c>
      <c r="B74" s="1">
        <v>9952</v>
      </c>
      <c r="C74" s="2">
        <v>95.988743796668956</v>
      </c>
      <c r="D74" s="2">
        <v>1</v>
      </c>
      <c r="E74">
        <f t="shared" ref="E74:E137" si="4">MONTH(B74)</f>
        <v>3</v>
      </c>
      <c r="F74">
        <f t="shared" ref="F74:F137" si="5">YEAR(B74)</f>
        <v>1927</v>
      </c>
      <c r="G74" s="2">
        <f t="shared" ref="G74:G137" si="6">IF(E74=2,C74*$G$5*28,IF(E74=3,C74*$G$5*31,0))</f>
        <v>5902.1178003902241</v>
      </c>
      <c r="I74">
        <v>1987</v>
      </c>
      <c r="J74" s="2">
        <f t="shared" ref="J74:J101" si="7">MIN(SUMIFS($G$9:$G$1208,$F$9:$F$1208,I74), 195000*AVERAGEIFS($D$9:$D$1208,$F$9:$F$1208,I74,$E$9:$E$1208,5))</f>
        <v>13632.829800901703</v>
      </c>
    </row>
    <row r="75" spans="1:10" x14ac:dyDescent="0.25">
      <c r="A75">
        <v>67</v>
      </c>
      <c r="B75" s="1">
        <v>9982</v>
      </c>
      <c r="C75" s="2">
        <v>127.84175342511904</v>
      </c>
      <c r="D75" s="2">
        <v>1</v>
      </c>
      <c r="E75">
        <f t="shared" si="4"/>
        <v>4</v>
      </c>
      <c r="F75">
        <f t="shared" si="5"/>
        <v>1927</v>
      </c>
      <c r="G75" s="2">
        <f t="shared" si="6"/>
        <v>0</v>
      </c>
      <c r="I75">
        <v>1988</v>
      </c>
      <c r="J75" s="2">
        <f t="shared" si="7"/>
        <v>17192.977435619796</v>
      </c>
    </row>
    <row r="76" spans="1:10" x14ac:dyDescent="0.25">
      <c r="A76">
        <v>68</v>
      </c>
      <c r="B76" s="1">
        <v>10013</v>
      </c>
      <c r="C76" s="2">
        <v>173.69722718890347</v>
      </c>
      <c r="D76" s="2">
        <v>1</v>
      </c>
      <c r="E76">
        <f t="shared" si="4"/>
        <v>5</v>
      </c>
      <c r="F76">
        <f t="shared" si="5"/>
        <v>1927</v>
      </c>
      <c r="G76" s="2">
        <f t="shared" si="6"/>
        <v>0</v>
      </c>
      <c r="I76">
        <v>1989</v>
      </c>
      <c r="J76" s="2">
        <f t="shared" si="7"/>
        <v>19029.382401259005</v>
      </c>
    </row>
    <row r="77" spans="1:10" x14ac:dyDescent="0.25">
      <c r="A77">
        <v>69</v>
      </c>
      <c r="B77" s="1">
        <v>10043</v>
      </c>
      <c r="C77" s="2">
        <v>230.63820084858213</v>
      </c>
      <c r="D77" s="2">
        <v>1</v>
      </c>
      <c r="E77">
        <f t="shared" si="4"/>
        <v>6</v>
      </c>
      <c r="F77">
        <f t="shared" si="5"/>
        <v>1927</v>
      </c>
      <c r="G77" s="2">
        <f t="shared" si="6"/>
        <v>0</v>
      </c>
      <c r="I77">
        <v>1990</v>
      </c>
      <c r="J77" s="2">
        <f t="shared" si="7"/>
        <v>17472.007601156038</v>
      </c>
    </row>
    <row r="78" spans="1:10" x14ac:dyDescent="0.25">
      <c r="A78">
        <v>70</v>
      </c>
      <c r="B78" s="1">
        <v>10074</v>
      </c>
      <c r="C78" s="2">
        <v>271.71188667119026</v>
      </c>
      <c r="D78" s="2">
        <v>1</v>
      </c>
      <c r="E78">
        <f t="shared" si="4"/>
        <v>7</v>
      </c>
      <c r="F78">
        <f t="shared" si="5"/>
        <v>1927</v>
      </c>
      <c r="G78" s="2">
        <f t="shared" si="6"/>
        <v>0</v>
      </c>
      <c r="I78">
        <v>1991</v>
      </c>
      <c r="J78" s="2">
        <f t="shared" si="7"/>
        <v>19029.382401258139</v>
      </c>
    </row>
    <row r="79" spans="1:10" x14ac:dyDescent="0.25">
      <c r="A79">
        <v>71</v>
      </c>
      <c r="B79" s="1">
        <v>10105</v>
      </c>
      <c r="C79" s="2">
        <v>282.21761897027193</v>
      </c>
      <c r="D79" s="2">
        <v>1</v>
      </c>
      <c r="E79">
        <f t="shared" si="4"/>
        <v>8</v>
      </c>
      <c r="F79">
        <f t="shared" si="5"/>
        <v>1927</v>
      </c>
      <c r="G79" s="2">
        <f t="shared" si="6"/>
        <v>0</v>
      </c>
      <c r="I79">
        <v>1992</v>
      </c>
      <c r="J79" s="2">
        <f t="shared" si="7"/>
        <v>18696.649656408554</v>
      </c>
    </row>
    <row r="80" spans="1:10" x14ac:dyDescent="0.25">
      <c r="A80">
        <v>72</v>
      </c>
      <c r="B80" s="1">
        <v>10135</v>
      </c>
      <c r="C80" s="2">
        <v>245.18670139121073</v>
      </c>
      <c r="D80" s="2">
        <v>1</v>
      </c>
      <c r="E80">
        <f t="shared" si="4"/>
        <v>9</v>
      </c>
      <c r="F80">
        <f t="shared" si="5"/>
        <v>1927</v>
      </c>
      <c r="G80" s="2">
        <f t="shared" si="6"/>
        <v>0</v>
      </c>
      <c r="I80">
        <v>1993</v>
      </c>
      <c r="J80" s="2">
        <f t="shared" si="7"/>
        <v>15608.308801031955</v>
      </c>
    </row>
    <row r="81" spans="1:10" x14ac:dyDescent="0.25">
      <c r="A81">
        <v>73</v>
      </c>
      <c r="B81" s="1">
        <v>10166</v>
      </c>
      <c r="C81" s="2">
        <v>208.40764336055324</v>
      </c>
      <c r="D81" s="2">
        <v>1</v>
      </c>
      <c r="E81">
        <f t="shared" si="4"/>
        <v>10</v>
      </c>
      <c r="F81">
        <f t="shared" si="5"/>
        <v>1927</v>
      </c>
      <c r="G81" s="2">
        <f t="shared" si="6"/>
        <v>0</v>
      </c>
      <c r="I81">
        <v>1994</v>
      </c>
      <c r="J81" s="2">
        <f t="shared" si="7"/>
        <v>13315.056800880713</v>
      </c>
    </row>
    <row r="82" spans="1:10" x14ac:dyDescent="0.25">
      <c r="A82">
        <v>74</v>
      </c>
      <c r="B82" s="1">
        <v>10196</v>
      </c>
      <c r="C82" s="2">
        <v>139.9081154259168</v>
      </c>
      <c r="D82" s="2">
        <v>1</v>
      </c>
      <c r="E82">
        <f t="shared" si="4"/>
        <v>11</v>
      </c>
      <c r="F82">
        <f t="shared" si="5"/>
        <v>1927</v>
      </c>
      <c r="G82" s="2">
        <f t="shared" si="6"/>
        <v>0</v>
      </c>
      <c r="I82">
        <v>1995</v>
      </c>
      <c r="J82" s="2">
        <f t="shared" si="7"/>
        <v>15608.308801031955</v>
      </c>
    </row>
    <row r="83" spans="1:10" x14ac:dyDescent="0.25">
      <c r="A83">
        <v>75</v>
      </c>
      <c r="B83" s="1">
        <v>10227</v>
      </c>
      <c r="C83" s="2">
        <v>100.09781597435997</v>
      </c>
      <c r="D83" s="2">
        <v>1</v>
      </c>
      <c r="E83">
        <f t="shared" si="4"/>
        <v>12</v>
      </c>
      <c r="F83">
        <f t="shared" si="5"/>
        <v>1927</v>
      </c>
      <c r="G83" s="2">
        <f t="shared" si="6"/>
        <v>0</v>
      </c>
      <c r="I83">
        <v>1996</v>
      </c>
      <c r="J83" s="2">
        <f t="shared" si="7"/>
        <v>11727.419897327432</v>
      </c>
    </row>
    <row r="84" spans="1:10" x14ac:dyDescent="0.25">
      <c r="A84">
        <v>76</v>
      </c>
      <c r="B84" s="1">
        <v>10258</v>
      </c>
      <c r="C84" s="2">
        <v>94.480039683665979</v>
      </c>
      <c r="D84" s="2">
        <v>1</v>
      </c>
      <c r="E84">
        <f t="shared" si="4"/>
        <v>1</v>
      </c>
      <c r="F84">
        <f t="shared" si="5"/>
        <v>1928</v>
      </c>
      <c r="G84" s="2">
        <f t="shared" si="6"/>
        <v>0</v>
      </c>
      <c r="I84">
        <v>1997</v>
      </c>
      <c r="J84" s="2">
        <f t="shared" si="7"/>
        <v>11935.46640078945</v>
      </c>
    </row>
    <row r="85" spans="1:10" x14ac:dyDescent="0.25">
      <c r="A85">
        <v>77</v>
      </c>
      <c r="B85" s="1">
        <v>10287</v>
      </c>
      <c r="C85" s="2">
        <v>104.89011216210733</v>
      </c>
      <c r="D85" s="2">
        <v>1</v>
      </c>
      <c r="E85">
        <f t="shared" si="4"/>
        <v>2</v>
      </c>
      <c r="F85">
        <f t="shared" si="5"/>
        <v>1928</v>
      </c>
      <c r="G85" s="2">
        <f t="shared" si="6"/>
        <v>5825.3020969368699</v>
      </c>
      <c r="I85">
        <v>1998</v>
      </c>
      <c r="J85" s="2">
        <f t="shared" si="7"/>
        <v>11935.466400789574</v>
      </c>
    </row>
    <row r="86" spans="1:10" x14ac:dyDescent="0.25">
      <c r="A86">
        <v>78</v>
      </c>
      <c r="B86" s="1">
        <v>10318</v>
      </c>
      <c r="C86" s="2">
        <v>106.88716825976091</v>
      </c>
      <c r="D86" s="2">
        <v>0.96276221310952481</v>
      </c>
      <c r="E86">
        <f t="shared" si="4"/>
        <v>3</v>
      </c>
      <c r="F86">
        <f t="shared" si="5"/>
        <v>1928</v>
      </c>
      <c r="G86" s="2">
        <f t="shared" si="6"/>
        <v>6572.2358004348862</v>
      </c>
      <c r="I86">
        <v>1999</v>
      </c>
      <c r="J86" s="2">
        <f t="shared" si="7"/>
        <v>11935.466400789512</v>
      </c>
    </row>
    <row r="87" spans="1:10" x14ac:dyDescent="0.25">
      <c r="A87">
        <v>79</v>
      </c>
      <c r="B87" s="1">
        <v>10348</v>
      </c>
      <c r="C87" s="2">
        <v>140.91721845376131</v>
      </c>
      <c r="D87" s="2">
        <v>0.99999999999999989</v>
      </c>
      <c r="E87">
        <f t="shared" si="4"/>
        <v>4</v>
      </c>
      <c r="F87">
        <f t="shared" si="5"/>
        <v>1928</v>
      </c>
      <c r="G87" s="2">
        <f t="shared" si="6"/>
        <v>0</v>
      </c>
      <c r="I87">
        <v>2000</v>
      </c>
      <c r="J87" s="2">
        <f t="shared" si="7"/>
        <v>11784.361297331216</v>
      </c>
    </row>
    <row r="88" spans="1:10" x14ac:dyDescent="0.25">
      <c r="A88">
        <v>80</v>
      </c>
      <c r="B88" s="1">
        <v>10379</v>
      </c>
      <c r="C88" s="2">
        <v>172.19561393611599</v>
      </c>
      <c r="D88" s="2">
        <v>0.99999999999999989</v>
      </c>
      <c r="E88">
        <f t="shared" si="4"/>
        <v>5</v>
      </c>
      <c r="F88">
        <f t="shared" si="5"/>
        <v>1928</v>
      </c>
      <c r="G88" s="2">
        <f t="shared" si="6"/>
        <v>0</v>
      </c>
      <c r="I88">
        <v>2001</v>
      </c>
      <c r="J88" s="2">
        <f t="shared" si="7"/>
        <v>13315.056800880719</v>
      </c>
    </row>
    <row r="89" spans="1:10" x14ac:dyDescent="0.25">
      <c r="A89">
        <v>81</v>
      </c>
      <c r="B89" s="1">
        <v>10409</v>
      </c>
      <c r="C89" s="2">
        <v>249.30857479426101</v>
      </c>
      <c r="D89" s="2">
        <v>1</v>
      </c>
      <c r="E89">
        <f t="shared" si="4"/>
        <v>6</v>
      </c>
      <c r="F89">
        <f t="shared" si="5"/>
        <v>1928</v>
      </c>
      <c r="G89" s="2">
        <f t="shared" si="6"/>
        <v>0</v>
      </c>
      <c r="I89">
        <v>2002</v>
      </c>
      <c r="J89" s="2">
        <f t="shared" si="7"/>
        <v>14664.110600969867</v>
      </c>
    </row>
    <row r="90" spans="1:10" x14ac:dyDescent="0.25">
      <c r="A90">
        <v>82</v>
      </c>
      <c r="B90" s="1">
        <v>10440</v>
      </c>
      <c r="C90" s="2">
        <v>274.69602802891444</v>
      </c>
      <c r="D90" s="2">
        <v>1</v>
      </c>
      <c r="E90">
        <f t="shared" si="4"/>
        <v>7</v>
      </c>
      <c r="F90">
        <f t="shared" si="5"/>
        <v>1928</v>
      </c>
      <c r="G90" s="2">
        <f t="shared" si="6"/>
        <v>0</v>
      </c>
      <c r="I90">
        <v>2003</v>
      </c>
      <c r="J90" s="2">
        <f t="shared" si="7"/>
        <v>14664.110600970092</v>
      </c>
    </row>
    <row r="91" spans="1:10" x14ac:dyDescent="0.25">
      <c r="A91">
        <v>83</v>
      </c>
      <c r="B91" s="1">
        <v>10471</v>
      </c>
      <c r="C91" s="2">
        <v>284.25012948115898</v>
      </c>
      <c r="D91" s="2">
        <v>0.99999999999999989</v>
      </c>
      <c r="E91">
        <f t="shared" si="4"/>
        <v>8</v>
      </c>
      <c r="F91">
        <f t="shared" si="5"/>
        <v>1928</v>
      </c>
      <c r="G91" s="2">
        <f t="shared" si="6"/>
        <v>0</v>
      </c>
      <c r="I91">
        <v>2004</v>
      </c>
      <c r="J91" s="2">
        <f t="shared" si="7"/>
        <v>11477.545986966135</v>
      </c>
    </row>
    <row r="92" spans="1:10" x14ac:dyDescent="0.25">
      <c r="A92">
        <v>84</v>
      </c>
      <c r="B92" s="1">
        <v>10501</v>
      </c>
      <c r="C92" s="2">
        <v>251.09751946104601</v>
      </c>
      <c r="D92" s="2">
        <v>1</v>
      </c>
      <c r="E92">
        <f t="shared" si="4"/>
        <v>9</v>
      </c>
      <c r="F92">
        <f t="shared" si="5"/>
        <v>1928</v>
      </c>
      <c r="G92" s="2">
        <f t="shared" si="6"/>
        <v>0</v>
      </c>
      <c r="I92">
        <v>2005</v>
      </c>
      <c r="J92" s="2">
        <f t="shared" si="7"/>
        <v>12928.780200855224</v>
      </c>
    </row>
    <row r="93" spans="1:10" x14ac:dyDescent="0.25">
      <c r="A93">
        <v>85</v>
      </c>
      <c r="B93" s="1">
        <v>10532</v>
      </c>
      <c r="C93" s="2">
        <v>215.12985528304065</v>
      </c>
      <c r="D93" s="2">
        <v>1</v>
      </c>
      <c r="E93">
        <f t="shared" si="4"/>
        <v>10</v>
      </c>
      <c r="F93">
        <f t="shared" si="5"/>
        <v>1928</v>
      </c>
      <c r="G93" s="2">
        <f t="shared" si="6"/>
        <v>0</v>
      </c>
      <c r="I93">
        <v>2006</v>
      </c>
      <c r="J93" s="2">
        <f t="shared" si="7"/>
        <v>12258.662200811363</v>
      </c>
    </row>
    <row r="94" spans="1:10" x14ac:dyDescent="0.25">
      <c r="A94">
        <v>86</v>
      </c>
      <c r="B94" s="1">
        <v>10562</v>
      </c>
      <c r="C94" s="2">
        <v>152.24052617673215</v>
      </c>
      <c r="D94" s="2">
        <v>1</v>
      </c>
      <c r="E94">
        <f t="shared" si="4"/>
        <v>11</v>
      </c>
      <c r="F94">
        <f t="shared" si="5"/>
        <v>1928</v>
      </c>
      <c r="G94" s="2">
        <f t="shared" si="6"/>
        <v>0</v>
      </c>
      <c r="I94">
        <v>2007</v>
      </c>
      <c r="J94" s="2">
        <f t="shared" si="7"/>
        <v>12605.584400833748</v>
      </c>
    </row>
    <row r="95" spans="1:10" x14ac:dyDescent="0.25">
      <c r="A95">
        <v>87</v>
      </c>
      <c r="B95" s="1">
        <v>10593</v>
      </c>
      <c r="C95" s="2">
        <v>138.92959785864781</v>
      </c>
      <c r="D95" s="2">
        <v>1</v>
      </c>
      <c r="E95">
        <f t="shared" si="4"/>
        <v>12</v>
      </c>
      <c r="F95">
        <f t="shared" si="5"/>
        <v>1928</v>
      </c>
      <c r="G95" s="2">
        <f t="shared" si="6"/>
        <v>0</v>
      </c>
      <c r="I95">
        <v>2008</v>
      </c>
      <c r="J95" s="2">
        <f t="shared" si="7"/>
        <v>15412.325835502084</v>
      </c>
    </row>
    <row r="96" spans="1:10" x14ac:dyDescent="0.25">
      <c r="A96">
        <v>88</v>
      </c>
      <c r="B96" s="1">
        <v>10624</v>
      </c>
      <c r="C96" s="2">
        <v>110.24576070621373</v>
      </c>
      <c r="D96" s="2">
        <v>1</v>
      </c>
      <c r="E96">
        <f t="shared" si="4"/>
        <v>1</v>
      </c>
      <c r="F96">
        <f t="shared" si="5"/>
        <v>1929</v>
      </c>
      <c r="G96" s="2">
        <f t="shared" si="6"/>
        <v>0</v>
      </c>
      <c r="I96">
        <v>2009</v>
      </c>
      <c r="J96" s="2">
        <f t="shared" si="7"/>
        <v>17248.73080114078</v>
      </c>
    </row>
    <row r="97" spans="1:10" x14ac:dyDescent="0.25">
      <c r="A97">
        <v>89</v>
      </c>
      <c r="B97" s="1">
        <v>10652</v>
      </c>
      <c r="C97" s="2">
        <v>102.91438209013761</v>
      </c>
      <c r="D97" s="2">
        <v>0.25</v>
      </c>
      <c r="E97">
        <f t="shared" si="4"/>
        <v>2</v>
      </c>
      <c r="F97">
        <f t="shared" si="5"/>
        <v>1929</v>
      </c>
      <c r="G97" s="2">
        <f t="shared" si="6"/>
        <v>5715.5756003778906</v>
      </c>
      <c r="I97">
        <v>2010</v>
      </c>
      <c r="J97" s="2">
        <f t="shared" si="7"/>
        <v>15691.356001037777</v>
      </c>
    </row>
    <row r="98" spans="1:10" x14ac:dyDescent="0.25">
      <c r="A98">
        <v>90</v>
      </c>
      <c r="B98" s="1">
        <v>10683</v>
      </c>
      <c r="C98" s="2">
        <v>152.55323506385685</v>
      </c>
      <c r="D98" s="2">
        <v>0.5</v>
      </c>
      <c r="E98">
        <f t="shared" si="4"/>
        <v>3</v>
      </c>
      <c r="F98">
        <f t="shared" si="5"/>
        <v>1929</v>
      </c>
      <c r="G98" s="2">
        <f t="shared" si="6"/>
        <v>9380.1328006206186</v>
      </c>
      <c r="I98">
        <v>2011</v>
      </c>
      <c r="J98" s="2">
        <f t="shared" si="7"/>
        <v>12315.603600814724</v>
      </c>
    </row>
    <row r="99" spans="1:10" x14ac:dyDescent="0.25">
      <c r="A99">
        <v>91</v>
      </c>
      <c r="B99" s="1">
        <v>10713</v>
      </c>
      <c r="C99" s="2">
        <v>196.32088667964658</v>
      </c>
      <c r="D99" s="2">
        <v>0.25</v>
      </c>
      <c r="E99">
        <f t="shared" si="4"/>
        <v>4</v>
      </c>
      <c r="F99">
        <f t="shared" si="5"/>
        <v>1929</v>
      </c>
      <c r="G99" s="2">
        <f t="shared" si="6"/>
        <v>0</v>
      </c>
      <c r="I99">
        <v>2012</v>
      </c>
      <c r="J99" s="2">
        <f t="shared" si="7"/>
        <v>13424.783297439861</v>
      </c>
    </row>
    <row r="100" spans="1:10" x14ac:dyDescent="0.25">
      <c r="A100">
        <v>92</v>
      </c>
      <c r="B100" s="1">
        <v>10744</v>
      </c>
      <c r="C100" s="2">
        <v>239.89165958575308</v>
      </c>
      <c r="D100" s="2">
        <v>0.25</v>
      </c>
      <c r="E100">
        <f t="shared" si="4"/>
        <v>5</v>
      </c>
      <c r="F100">
        <f t="shared" si="5"/>
        <v>1929</v>
      </c>
      <c r="G100" s="2">
        <f t="shared" si="6"/>
        <v>0</v>
      </c>
      <c r="I100">
        <v>2013</v>
      </c>
      <c r="J100" s="2">
        <f t="shared" si="7"/>
        <v>12928.780200855115</v>
      </c>
    </row>
    <row r="101" spans="1:10" x14ac:dyDescent="0.25">
      <c r="A101">
        <v>93</v>
      </c>
      <c r="B101" s="1">
        <v>10774</v>
      </c>
      <c r="C101" s="2">
        <v>275.36306112931697</v>
      </c>
      <c r="D101" s="2">
        <v>0.25</v>
      </c>
      <c r="E101">
        <f t="shared" si="4"/>
        <v>6</v>
      </c>
      <c r="F101">
        <f t="shared" si="5"/>
        <v>1929</v>
      </c>
      <c r="G101" s="2">
        <f t="shared" si="6"/>
        <v>0</v>
      </c>
      <c r="I101">
        <v>2014</v>
      </c>
      <c r="J101" s="2">
        <f t="shared" si="7"/>
        <v>17472.00760115598</v>
      </c>
    </row>
    <row r="102" spans="1:10" x14ac:dyDescent="0.25">
      <c r="A102">
        <v>94</v>
      </c>
      <c r="B102" s="1">
        <v>10805</v>
      </c>
      <c r="C102" s="2">
        <v>287.21574840608628</v>
      </c>
      <c r="D102" s="2">
        <v>0.25</v>
      </c>
      <c r="E102">
        <f t="shared" si="4"/>
        <v>7</v>
      </c>
      <c r="F102">
        <f t="shared" si="5"/>
        <v>1929</v>
      </c>
      <c r="G102" s="2">
        <f t="shared" si="6"/>
        <v>0</v>
      </c>
    </row>
    <row r="103" spans="1:10" x14ac:dyDescent="0.25">
      <c r="A103">
        <v>95</v>
      </c>
      <c r="B103" s="1">
        <v>10836</v>
      </c>
      <c r="C103" s="2">
        <v>278.99732431952634</v>
      </c>
      <c r="D103" s="2">
        <v>0.25</v>
      </c>
      <c r="E103">
        <f t="shared" si="4"/>
        <v>8</v>
      </c>
      <c r="F103">
        <f t="shared" si="5"/>
        <v>1929</v>
      </c>
      <c r="G103" s="2">
        <f t="shared" si="6"/>
        <v>0</v>
      </c>
    </row>
    <row r="104" spans="1:10" x14ac:dyDescent="0.25">
      <c r="A104">
        <v>96</v>
      </c>
      <c r="B104" s="1">
        <v>10866</v>
      </c>
      <c r="C104" s="2">
        <v>254.31992423904148</v>
      </c>
      <c r="D104" s="2">
        <v>0.25</v>
      </c>
      <c r="E104">
        <f t="shared" si="4"/>
        <v>9</v>
      </c>
      <c r="F104">
        <f t="shared" si="5"/>
        <v>1929</v>
      </c>
      <c r="G104" s="2">
        <f t="shared" si="6"/>
        <v>0</v>
      </c>
    </row>
    <row r="105" spans="1:10" x14ac:dyDescent="0.25">
      <c r="A105">
        <v>97</v>
      </c>
      <c r="B105" s="1">
        <v>10897</v>
      </c>
      <c r="C105" s="2">
        <v>214.84262990668233</v>
      </c>
      <c r="D105" s="2">
        <v>0.25</v>
      </c>
      <c r="E105">
        <f t="shared" si="4"/>
        <v>10</v>
      </c>
      <c r="F105">
        <f t="shared" si="5"/>
        <v>1929</v>
      </c>
      <c r="G105" s="2">
        <f t="shared" si="6"/>
        <v>0</v>
      </c>
    </row>
    <row r="106" spans="1:10" x14ac:dyDescent="0.25">
      <c r="A106">
        <v>98</v>
      </c>
      <c r="B106" s="1">
        <v>10927</v>
      </c>
      <c r="C106" s="2">
        <v>177.10611356727063</v>
      </c>
      <c r="D106" s="2">
        <v>0.25</v>
      </c>
      <c r="E106">
        <f t="shared" si="4"/>
        <v>11</v>
      </c>
      <c r="F106">
        <f t="shared" si="5"/>
        <v>1929</v>
      </c>
      <c r="G106" s="2">
        <f t="shared" si="6"/>
        <v>0</v>
      </c>
    </row>
    <row r="107" spans="1:10" x14ac:dyDescent="0.25">
      <c r="A107">
        <v>99</v>
      </c>
      <c r="B107" s="1">
        <v>10958</v>
      </c>
      <c r="C107" s="2">
        <v>161.98826861286767</v>
      </c>
      <c r="D107" s="2">
        <v>0.25</v>
      </c>
      <c r="E107">
        <f t="shared" si="4"/>
        <v>12</v>
      </c>
      <c r="F107">
        <f t="shared" si="5"/>
        <v>1929</v>
      </c>
      <c r="G107" s="2">
        <f t="shared" si="6"/>
        <v>0</v>
      </c>
    </row>
    <row r="108" spans="1:10" x14ac:dyDescent="0.25">
      <c r="A108">
        <v>100</v>
      </c>
      <c r="B108" s="1">
        <v>10989</v>
      </c>
      <c r="C108" s="2">
        <v>157.69227420397434</v>
      </c>
      <c r="D108" s="2">
        <v>0.24999999999999997</v>
      </c>
      <c r="E108">
        <f t="shared" si="4"/>
        <v>1</v>
      </c>
      <c r="F108">
        <f t="shared" si="5"/>
        <v>1930</v>
      </c>
      <c r="G108" s="2">
        <f t="shared" si="6"/>
        <v>0</v>
      </c>
    </row>
    <row r="109" spans="1:10" x14ac:dyDescent="0.25">
      <c r="A109">
        <v>101</v>
      </c>
      <c r="B109" s="1">
        <v>11017</v>
      </c>
      <c r="C109" s="2">
        <v>173.743928821011</v>
      </c>
      <c r="D109" s="2">
        <v>0.5</v>
      </c>
      <c r="E109">
        <f t="shared" si="4"/>
        <v>2</v>
      </c>
      <c r="F109">
        <f t="shared" si="5"/>
        <v>1930</v>
      </c>
      <c r="G109" s="2">
        <f t="shared" si="6"/>
        <v>9649.2496006379661</v>
      </c>
    </row>
    <row r="110" spans="1:10" x14ac:dyDescent="0.25">
      <c r="A110">
        <v>102</v>
      </c>
      <c r="B110" s="1">
        <v>11048</v>
      </c>
      <c r="C110" s="2">
        <v>123.59371307269379</v>
      </c>
      <c r="D110" s="2">
        <v>0.5</v>
      </c>
      <c r="E110">
        <f t="shared" si="4"/>
        <v>3</v>
      </c>
      <c r="F110">
        <f t="shared" si="5"/>
        <v>1930</v>
      </c>
      <c r="G110" s="2">
        <f t="shared" si="6"/>
        <v>7599.4812005028243</v>
      </c>
    </row>
    <row r="111" spans="1:10" x14ac:dyDescent="0.25">
      <c r="A111">
        <v>103</v>
      </c>
      <c r="B111" s="1">
        <v>11078</v>
      </c>
      <c r="C111" s="2">
        <v>181.23525201198254</v>
      </c>
      <c r="D111" s="2">
        <v>0.59027472197617692</v>
      </c>
      <c r="E111">
        <f t="shared" si="4"/>
        <v>4</v>
      </c>
      <c r="F111">
        <f t="shared" si="5"/>
        <v>1930</v>
      </c>
      <c r="G111" s="2">
        <f t="shared" si="6"/>
        <v>0</v>
      </c>
    </row>
    <row r="112" spans="1:10" x14ac:dyDescent="0.25">
      <c r="A112">
        <v>104</v>
      </c>
      <c r="B112" s="1">
        <v>11109</v>
      </c>
      <c r="C112" s="2">
        <v>220.07156033713079</v>
      </c>
      <c r="D112" s="2">
        <v>0.5771663907080844</v>
      </c>
      <c r="E112">
        <f t="shared" si="4"/>
        <v>5</v>
      </c>
      <c r="F112">
        <f t="shared" si="5"/>
        <v>1930</v>
      </c>
      <c r="G112" s="2">
        <f t="shared" si="6"/>
        <v>0</v>
      </c>
    </row>
    <row r="113" spans="1:7" x14ac:dyDescent="0.25">
      <c r="A113">
        <v>105</v>
      </c>
      <c r="B113" s="1">
        <v>11139</v>
      </c>
      <c r="C113" s="2">
        <v>257.70906701703865</v>
      </c>
      <c r="D113" s="2">
        <v>0.5771663907080844</v>
      </c>
      <c r="E113">
        <f t="shared" si="4"/>
        <v>6</v>
      </c>
      <c r="F113">
        <f t="shared" si="5"/>
        <v>1930</v>
      </c>
      <c r="G113" s="2">
        <f t="shared" si="6"/>
        <v>0</v>
      </c>
    </row>
    <row r="114" spans="1:7" x14ac:dyDescent="0.25">
      <c r="A114">
        <v>106</v>
      </c>
      <c r="B114" s="1">
        <v>11170</v>
      </c>
      <c r="C114" s="2">
        <v>288.24290179325095</v>
      </c>
      <c r="D114" s="2">
        <v>0.5771663907080844</v>
      </c>
      <c r="E114">
        <f t="shared" si="4"/>
        <v>7</v>
      </c>
      <c r="F114">
        <f t="shared" si="5"/>
        <v>1930</v>
      </c>
      <c r="G114" s="2">
        <f t="shared" si="6"/>
        <v>0</v>
      </c>
    </row>
    <row r="115" spans="1:7" x14ac:dyDescent="0.25">
      <c r="A115">
        <v>107</v>
      </c>
      <c r="B115" s="1">
        <v>11201</v>
      </c>
      <c r="C115" s="2">
        <v>279.99483921206041</v>
      </c>
      <c r="D115" s="2">
        <v>0.5771663907080844</v>
      </c>
      <c r="E115">
        <f t="shared" si="4"/>
        <v>8</v>
      </c>
      <c r="F115">
        <f t="shared" si="5"/>
        <v>1930</v>
      </c>
      <c r="G115" s="2">
        <f t="shared" si="6"/>
        <v>0</v>
      </c>
    </row>
    <row r="116" spans="1:7" x14ac:dyDescent="0.25">
      <c r="A116">
        <v>108</v>
      </c>
      <c r="B116" s="1">
        <v>11231</v>
      </c>
      <c r="C116" s="2">
        <v>253.56663201676474</v>
      </c>
      <c r="D116" s="2">
        <v>0.5771663907080844</v>
      </c>
      <c r="E116">
        <f t="shared" si="4"/>
        <v>9</v>
      </c>
      <c r="F116">
        <f t="shared" si="5"/>
        <v>1930</v>
      </c>
      <c r="G116" s="2">
        <f t="shared" si="6"/>
        <v>0</v>
      </c>
    </row>
    <row r="117" spans="1:7" x14ac:dyDescent="0.25">
      <c r="A117">
        <v>109</v>
      </c>
      <c r="B117" s="1">
        <v>11262</v>
      </c>
      <c r="C117" s="2">
        <v>216.07475469170529</v>
      </c>
      <c r="D117" s="2">
        <v>0.5771663907080844</v>
      </c>
      <c r="E117">
        <f t="shared" si="4"/>
        <v>10</v>
      </c>
      <c r="F117">
        <f t="shared" si="5"/>
        <v>1930</v>
      </c>
      <c r="G117" s="2">
        <f t="shared" si="6"/>
        <v>0</v>
      </c>
    </row>
    <row r="118" spans="1:7" x14ac:dyDescent="0.25">
      <c r="A118">
        <v>110</v>
      </c>
      <c r="B118" s="1">
        <v>11292</v>
      </c>
      <c r="C118" s="2">
        <v>174.85540601156069</v>
      </c>
      <c r="D118" s="2">
        <v>0.5771663907080844</v>
      </c>
      <c r="E118">
        <f t="shared" si="4"/>
        <v>11</v>
      </c>
      <c r="F118">
        <f t="shared" si="5"/>
        <v>1930</v>
      </c>
      <c r="G118" s="2">
        <f t="shared" si="6"/>
        <v>0</v>
      </c>
    </row>
    <row r="119" spans="1:7" x14ac:dyDescent="0.25">
      <c r="A119">
        <v>111</v>
      </c>
      <c r="B119" s="1">
        <v>11323</v>
      </c>
      <c r="C119" s="2">
        <v>153.1868782359345</v>
      </c>
      <c r="D119" s="2">
        <v>0.5771663907080844</v>
      </c>
      <c r="E119">
        <f t="shared" si="4"/>
        <v>12</v>
      </c>
      <c r="F119">
        <f t="shared" si="5"/>
        <v>1930</v>
      </c>
      <c r="G119" s="2">
        <f t="shared" si="6"/>
        <v>0</v>
      </c>
    </row>
    <row r="120" spans="1:7" x14ac:dyDescent="0.25">
      <c r="A120">
        <v>112</v>
      </c>
      <c r="B120" s="1">
        <v>11354</v>
      </c>
      <c r="C120" s="2">
        <v>148.33069936464571</v>
      </c>
      <c r="D120" s="2">
        <v>0.5771663907080844</v>
      </c>
      <c r="E120">
        <f t="shared" si="4"/>
        <v>1</v>
      </c>
      <c r="F120">
        <f t="shared" si="5"/>
        <v>1931</v>
      </c>
      <c r="G120" s="2">
        <f t="shared" si="6"/>
        <v>0</v>
      </c>
    </row>
    <row r="121" spans="1:7" x14ac:dyDescent="0.25">
      <c r="A121">
        <v>113</v>
      </c>
      <c r="B121" s="1">
        <v>11382</v>
      </c>
      <c r="C121" s="2">
        <v>145.70191233106175</v>
      </c>
      <c r="D121" s="2">
        <v>0.25</v>
      </c>
      <c r="E121">
        <f t="shared" si="4"/>
        <v>2</v>
      </c>
      <c r="F121">
        <f t="shared" si="5"/>
        <v>1931</v>
      </c>
      <c r="G121" s="2">
        <f t="shared" si="6"/>
        <v>8091.8748005349989</v>
      </c>
    </row>
    <row r="122" spans="1:7" x14ac:dyDescent="0.25">
      <c r="A122">
        <v>114</v>
      </c>
      <c r="B122" s="1">
        <v>11413</v>
      </c>
      <c r="C122" s="2">
        <v>152.5532350638496</v>
      </c>
      <c r="D122" s="2">
        <v>0.24999999999999997</v>
      </c>
      <c r="E122">
        <f t="shared" si="4"/>
        <v>3</v>
      </c>
      <c r="F122">
        <f t="shared" si="5"/>
        <v>1931</v>
      </c>
      <c r="G122" s="2">
        <f t="shared" si="6"/>
        <v>9380.1328006201729</v>
      </c>
    </row>
    <row r="123" spans="1:7" x14ac:dyDescent="0.25">
      <c r="A123">
        <v>115</v>
      </c>
      <c r="B123" s="1">
        <v>11443</v>
      </c>
      <c r="C123" s="2">
        <v>196.32088667964661</v>
      </c>
      <c r="D123" s="2">
        <v>0.25</v>
      </c>
      <c r="E123">
        <f t="shared" si="4"/>
        <v>4</v>
      </c>
      <c r="F123">
        <f t="shared" si="5"/>
        <v>1931</v>
      </c>
      <c r="G123" s="2">
        <f t="shared" si="6"/>
        <v>0</v>
      </c>
    </row>
    <row r="124" spans="1:7" x14ac:dyDescent="0.25">
      <c r="A124">
        <v>116</v>
      </c>
      <c r="B124" s="1">
        <v>11474</v>
      </c>
      <c r="C124" s="2">
        <v>239.89165958575308</v>
      </c>
      <c r="D124" s="2">
        <v>0.25</v>
      </c>
      <c r="E124">
        <f t="shared" si="4"/>
        <v>5</v>
      </c>
      <c r="F124">
        <f t="shared" si="5"/>
        <v>1931</v>
      </c>
      <c r="G124" s="2">
        <f t="shared" si="6"/>
        <v>0</v>
      </c>
    </row>
    <row r="125" spans="1:7" x14ac:dyDescent="0.25">
      <c r="A125">
        <v>117</v>
      </c>
      <c r="B125" s="1">
        <v>11504</v>
      </c>
      <c r="C125" s="2">
        <v>275.36306112931697</v>
      </c>
      <c r="D125" s="2">
        <v>0.25</v>
      </c>
      <c r="E125">
        <f t="shared" si="4"/>
        <v>6</v>
      </c>
      <c r="F125">
        <f t="shared" si="5"/>
        <v>1931</v>
      </c>
      <c r="G125" s="2">
        <f t="shared" si="6"/>
        <v>0</v>
      </c>
    </row>
    <row r="126" spans="1:7" x14ac:dyDescent="0.25">
      <c r="A126">
        <v>118</v>
      </c>
      <c r="B126" s="1">
        <v>11535</v>
      </c>
      <c r="C126" s="2">
        <v>287.21574840608628</v>
      </c>
      <c r="D126" s="2">
        <v>0.25</v>
      </c>
      <c r="E126">
        <f t="shared" si="4"/>
        <v>7</v>
      </c>
      <c r="F126">
        <f t="shared" si="5"/>
        <v>1931</v>
      </c>
      <c r="G126" s="2">
        <f t="shared" si="6"/>
        <v>0</v>
      </c>
    </row>
    <row r="127" spans="1:7" x14ac:dyDescent="0.25">
      <c r="A127">
        <v>119</v>
      </c>
      <c r="B127" s="1">
        <v>11566</v>
      </c>
      <c r="C127" s="2">
        <v>278.99732431952134</v>
      </c>
      <c r="D127" s="2">
        <v>0.25</v>
      </c>
      <c r="E127">
        <f t="shared" si="4"/>
        <v>8</v>
      </c>
      <c r="F127">
        <f t="shared" si="5"/>
        <v>1931</v>
      </c>
      <c r="G127" s="2">
        <f t="shared" si="6"/>
        <v>0</v>
      </c>
    </row>
    <row r="128" spans="1:7" x14ac:dyDescent="0.25">
      <c r="A128">
        <v>120</v>
      </c>
      <c r="B128" s="1">
        <v>11596</v>
      </c>
      <c r="C128" s="2">
        <v>254.31992423903679</v>
      </c>
      <c r="D128" s="2">
        <v>0.25</v>
      </c>
      <c r="E128">
        <f t="shared" si="4"/>
        <v>9</v>
      </c>
      <c r="F128">
        <f t="shared" si="5"/>
        <v>1931</v>
      </c>
      <c r="G128" s="2">
        <f t="shared" si="6"/>
        <v>0</v>
      </c>
    </row>
    <row r="129" spans="1:7" x14ac:dyDescent="0.25">
      <c r="A129">
        <v>121</v>
      </c>
      <c r="B129" s="1">
        <v>11627</v>
      </c>
      <c r="C129" s="2">
        <v>214.84262990667756</v>
      </c>
      <c r="D129" s="2">
        <v>0.25</v>
      </c>
      <c r="E129">
        <f t="shared" si="4"/>
        <v>10</v>
      </c>
      <c r="F129">
        <f t="shared" si="5"/>
        <v>1931</v>
      </c>
      <c r="G129" s="2">
        <f t="shared" si="6"/>
        <v>0</v>
      </c>
    </row>
    <row r="130" spans="1:7" x14ac:dyDescent="0.25">
      <c r="A130">
        <v>122</v>
      </c>
      <c r="B130" s="1">
        <v>11657</v>
      </c>
      <c r="C130" s="2">
        <v>177.10611356726508</v>
      </c>
      <c r="D130" s="2">
        <v>0.25</v>
      </c>
      <c r="E130">
        <f t="shared" si="4"/>
        <v>11</v>
      </c>
      <c r="F130">
        <f t="shared" si="5"/>
        <v>1931</v>
      </c>
      <c r="G130" s="2">
        <f t="shared" si="6"/>
        <v>0</v>
      </c>
    </row>
    <row r="131" spans="1:7" x14ac:dyDescent="0.25">
      <c r="A131">
        <v>123</v>
      </c>
      <c r="B131" s="1">
        <v>11688</v>
      </c>
      <c r="C131" s="2">
        <v>161.98826861286048</v>
      </c>
      <c r="D131" s="2">
        <v>0.25</v>
      </c>
      <c r="E131">
        <f t="shared" si="4"/>
        <v>12</v>
      </c>
      <c r="F131">
        <f t="shared" si="5"/>
        <v>1931</v>
      </c>
      <c r="G131" s="2">
        <f t="shared" si="6"/>
        <v>0</v>
      </c>
    </row>
    <row r="132" spans="1:7" x14ac:dyDescent="0.25">
      <c r="A132">
        <v>124</v>
      </c>
      <c r="B132" s="1">
        <v>11719</v>
      </c>
      <c r="C132" s="2">
        <v>157.69227420397434</v>
      </c>
      <c r="D132" s="2">
        <v>0.25</v>
      </c>
      <c r="E132">
        <f t="shared" si="4"/>
        <v>1</v>
      </c>
      <c r="F132">
        <f t="shared" si="5"/>
        <v>1932</v>
      </c>
      <c r="G132" s="2">
        <f t="shared" si="6"/>
        <v>0</v>
      </c>
    </row>
    <row r="133" spans="1:7" x14ac:dyDescent="0.25">
      <c r="A133">
        <v>125</v>
      </c>
      <c r="B133" s="1">
        <v>11748</v>
      </c>
      <c r="C133" s="2">
        <v>167.7527588616658</v>
      </c>
      <c r="D133" s="2">
        <v>0.25</v>
      </c>
      <c r="E133">
        <f t="shared" si="4"/>
        <v>2</v>
      </c>
      <c r="F133">
        <f t="shared" si="5"/>
        <v>1932</v>
      </c>
      <c r="G133" s="2">
        <f t="shared" si="6"/>
        <v>9316.5168557883808</v>
      </c>
    </row>
    <row r="134" spans="1:7" x14ac:dyDescent="0.25">
      <c r="A134">
        <v>126</v>
      </c>
      <c r="B134" s="1">
        <v>11779</v>
      </c>
      <c r="C134" s="2">
        <v>152.5532350638496</v>
      </c>
      <c r="D134" s="2">
        <v>0.5</v>
      </c>
      <c r="E134">
        <f t="shared" si="4"/>
        <v>3</v>
      </c>
      <c r="F134">
        <f t="shared" si="5"/>
        <v>1932</v>
      </c>
      <c r="G134" s="2">
        <f t="shared" si="6"/>
        <v>9380.1328006201729</v>
      </c>
    </row>
    <row r="135" spans="1:7" x14ac:dyDescent="0.25">
      <c r="A135">
        <v>127</v>
      </c>
      <c r="B135" s="1">
        <v>11809</v>
      </c>
      <c r="C135" s="2">
        <v>196.32088667964661</v>
      </c>
      <c r="D135" s="2">
        <v>0.25</v>
      </c>
      <c r="E135">
        <f t="shared" si="4"/>
        <v>4</v>
      </c>
      <c r="F135">
        <f t="shared" si="5"/>
        <v>1932</v>
      </c>
      <c r="G135" s="2">
        <f t="shared" si="6"/>
        <v>0</v>
      </c>
    </row>
    <row r="136" spans="1:7" x14ac:dyDescent="0.25">
      <c r="A136">
        <v>128</v>
      </c>
      <c r="B136" s="1">
        <v>11840</v>
      </c>
      <c r="C136" s="2">
        <v>239.8916595857531</v>
      </c>
      <c r="D136" s="2">
        <v>0.25</v>
      </c>
      <c r="E136">
        <f t="shared" si="4"/>
        <v>5</v>
      </c>
      <c r="F136">
        <f t="shared" si="5"/>
        <v>1932</v>
      </c>
      <c r="G136" s="2">
        <f t="shared" si="6"/>
        <v>0</v>
      </c>
    </row>
    <row r="137" spans="1:7" x14ac:dyDescent="0.25">
      <c r="A137">
        <v>129</v>
      </c>
      <c r="B137" s="1">
        <v>11870</v>
      </c>
      <c r="C137" s="2">
        <v>275.36306112931692</v>
      </c>
      <c r="D137" s="2">
        <v>0.25</v>
      </c>
      <c r="E137">
        <f t="shared" si="4"/>
        <v>6</v>
      </c>
      <c r="F137">
        <f t="shared" si="5"/>
        <v>1932</v>
      </c>
      <c r="G137" s="2">
        <f t="shared" si="6"/>
        <v>0</v>
      </c>
    </row>
    <row r="138" spans="1:7" x14ac:dyDescent="0.25">
      <c r="A138">
        <v>130</v>
      </c>
      <c r="B138" s="1">
        <v>11901</v>
      </c>
      <c r="C138" s="2">
        <v>287.21574840608628</v>
      </c>
      <c r="D138" s="2">
        <v>0.25</v>
      </c>
      <c r="E138">
        <f t="shared" ref="E138:E201" si="8">MONTH(B138)</f>
        <v>7</v>
      </c>
      <c r="F138">
        <f t="shared" ref="F138:F201" si="9">YEAR(B138)</f>
        <v>1932</v>
      </c>
      <c r="G138" s="2">
        <f t="shared" ref="G138:G201" si="10">IF(E138=2,C138*$G$5*28,IF(E138=3,C138*$G$5*31,0))</f>
        <v>0</v>
      </c>
    </row>
    <row r="139" spans="1:7" x14ac:dyDescent="0.25">
      <c r="A139">
        <v>131</v>
      </c>
      <c r="B139" s="1">
        <v>11932</v>
      </c>
      <c r="C139" s="2">
        <v>278.99732431952134</v>
      </c>
      <c r="D139" s="2">
        <v>0.25</v>
      </c>
      <c r="E139">
        <f t="shared" si="8"/>
        <v>8</v>
      </c>
      <c r="F139">
        <f t="shared" si="9"/>
        <v>1932</v>
      </c>
      <c r="G139" s="2">
        <f t="shared" si="10"/>
        <v>0</v>
      </c>
    </row>
    <row r="140" spans="1:7" x14ac:dyDescent="0.25">
      <c r="A140">
        <v>132</v>
      </c>
      <c r="B140" s="1">
        <v>11962</v>
      </c>
      <c r="C140" s="2">
        <v>254.31992423903677</v>
      </c>
      <c r="D140" s="2">
        <v>0.25</v>
      </c>
      <c r="E140">
        <f t="shared" si="8"/>
        <v>9</v>
      </c>
      <c r="F140">
        <f t="shared" si="9"/>
        <v>1932</v>
      </c>
      <c r="G140" s="2">
        <f t="shared" si="10"/>
        <v>0</v>
      </c>
    </row>
    <row r="141" spans="1:7" x14ac:dyDescent="0.25">
      <c r="A141">
        <v>133</v>
      </c>
      <c r="B141" s="1">
        <v>11993</v>
      </c>
      <c r="C141" s="2">
        <v>214.84262990667759</v>
      </c>
      <c r="D141" s="2">
        <v>0.25</v>
      </c>
      <c r="E141">
        <f t="shared" si="8"/>
        <v>10</v>
      </c>
      <c r="F141">
        <f t="shared" si="9"/>
        <v>1932</v>
      </c>
      <c r="G141" s="2">
        <f t="shared" si="10"/>
        <v>0</v>
      </c>
    </row>
    <row r="142" spans="1:7" x14ac:dyDescent="0.25">
      <c r="A142">
        <v>134</v>
      </c>
      <c r="B142" s="1">
        <v>12023</v>
      </c>
      <c r="C142" s="2">
        <v>177.10611356726508</v>
      </c>
      <c r="D142" s="2">
        <v>0.25</v>
      </c>
      <c r="E142">
        <f t="shared" si="8"/>
        <v>11</v>
      </c>
      <c r="F142">
        <f t="shared" si="9"/>
        <v>1932</v>
      </c>
      <c r="G142" s="2">
        <f t="shared" si="10"/>
        <v>0</v>
      </c>
    </row>
    <row r="143" spans="1:7" x14ac:dyDescent="0.25">
      <c r="A143">
        <v>135</v>
      </c>
      <c r="B143" s="1">
        <v>12054</v>
      </c>
      <c r="C143" s="2">
        <v>161.98826861286051</v>
      </c>
      <c r="D143" s="2">
        <v>0.25</v>
      </c>
      <c r="E143">
        <f t="shared" si="8"/>
        <v>12</v>
      </c>
      <c r="F143">
        <f t="shared" si="9"/>
        <v>1932</v>
      </c>
      <c r="G143" s="2">
        <f t="shared" si="10"/>
        <v>0</v>
      </c>
    </row>
    <row r="144" spans="1:7" x14ac:dyDescent="0.25">
      <c r="A144">
        <v>136</v>
      </c>
      <c r="B144" s="1">
        <v>12085</v>
      </c>
      <c r="C144" s="2">
        <v>157.69227420397431</v>
      </c>
      <c r="D144" s="2">
        <v>0.25</v>
      </c>
      <c r="E144">
        <f t="shared" si="8"/>
        <v>1</v>
      </c>
      <c r="F144">
        <f t="shared" si="9"/>
        <v>1933</v>
      </c>
      <c r="G144" s="2">
        <f t="shared" si="10"/>
        <v>0</v>
      </c>
    </row>
    <row r="145" spans="1:7" x14ac:dyDescent="0.25">
      <c r="A145">
        <v>137</v>
      </c>
      <c r="B145" s="1">
        <v>12113</v>
      </c>
      <c r="C145" s="2">
        <v>173.743928821011</v>
      </c>
      <c r="D145" s="2">
        <v>0.25</v>
      </c>
      <c r="E145">
        <f t="shared" si="8"/>
        <v>2</v>
      </c>
      <c r="F145">
        <f t="shared" si="9"/>
        <v>1933</v>
      </c>
      <c r="G145" s="2">
        <f t="shared" si="10"/>
        <v>9649.2496006379661</v>
      </c>
    </row>
    <row r="146" spans="1:7" x14ac:dyDescent="0.25">
      <c r="A146">
        <v>138</v>
      </c>
      <c r="B146" s="1">
        <v>12144</v>
      </c>
      <c r="C146" s="2">
        <v>152.5532350638496</v>
      </c>
      <c r="D146" s="2">
        <v>0.25</v>
      </c>
      <c r="E146">
        <f t="shared" si="8"/>
        <v>3</v>
      </c>
      <c r="F146">
        <f t="shared" si="9"/>
        <v>1933</v>
      </c>
      <c r="G146" s="2">
        <f t="shared" si="10"/>
        <v>9380.1328006201729</v>
      </c>
    </row>
    <row r="147" spans="1:7" x14ac:dyDescent="0.25">
      <c r="A147">
        <v>139</v>
      </c>
      <c r="B147" s="1">
        <v>12174</v>
      </c>
      <c r="C147" s="2">
        <v>196.32088667964661</v>
      </c>
      <c r="D147" s="2">
        <v>0.25</v>
      </c>
      <c r="E147">
        <f t="shared" si="8"/>
        <v>4</v>
      </c>
      <c r="F147">
        <f t="shared" si="9"/>
        <v>1933</v>
      </c>
      <c r="G147" s="2">
        <f t="shared" si="10"/>
        <v>0</v>
      </c>
    </row>
    <row r="148" spans="1:7" x14ac:dyDescent="0.25">
      <c r="A148">
        <v>140</v>
      </c>
      <c r="B148" s="1">
        <v>12205</v>
      </c>
      <c r="C148" s="2">
        <v>239.89165958575305</v>
      </c>
      <c r="D148" s="2">
        <v>0.25</v>
      </c>
      <c r="E148">
        <f t="shared" si="8"/>
        <v>5</v>
      </c>
      <c r="F148">
        <f t="shared" si="9"/>
        <v>1933</v>
      </c>
      <c r="G148" s="2">
        <f t="shared" si="10"/>
        <v>0</v>
      </c>
    </row>
    <row r="149" spans="1:7" x14ac:dyDescent="0.25">
      <c r="A149">
        <v>141</v>
      </c>
      <c r="B149" s="1">
        <v>12235</v>
      </c>
      <c r="C149" s="2">
        <v>275.36306112931697</v>
      </c>
      <c r="D149" s="2">
        <v>0.25</v>
      </c>
      <c r="E149">
        <f t="shared" si="8"/>
        <v>6</v>
      </c>
      <c r="F149">
        <f t="shared" si="9"/>
        <v>1933</v>
      </c>
      <c r="G149" s="2">
        <f t="shared" si="10"/>
        <v>0</v>
      </c>
    </row>
    <row r="150" spans="1:7" x14ac:dyDescent="0.25">
      <c r="A150">
        <v>142</v>
      </c>
      <c r="B150" s="1">
        <v>12266</v>
      </c>
      <c r="C150" s="2">
        <v>287.21574840608628</v>
      </c>
      <c r="D150" s="2">
        <v>0.25</v>
      </c>
      <c r="E150">
        <f t="shared" si="8"/>
        <v>7</v>
      </c>
      <c r="F150">
        <f t="shared" si="9"/>
        <v>1933</v>
      </c>
      <c r="G150" s="2">
        <f t="shared" si="10"/>
        <v>0</v>
      </c>
    </row>
    <row r="151" spans="1:7" x14ac:dyDescent="0.25">
      <c r="A151">
        <v>143</v>
      </c>
      <c r="B151" s="1">
        <v>12297</v>
      </c>
      <c r="C151" s="2">
        <v>278.99732431952134</v>
      </c>
      <c r="D151" s="2">
        <v>0.24999999999999997</v>
      </c>
      <c r="E151">
        <f t="shared" si="8"/>
        <v>8</v>
      </c>
      <c r="F151">
        <f t="shared" si="9"/>
        <v>1933</v>
      </c>
      <c r="G151" s="2">
        <f t="shared" si="10"/>
        <v>0</v>
      </c>
    </row>
    <row r="152" spans="1:7" x14ac:dyDescent="0.25">
      <c r="A152">
        <v>144</v>
      </c>
      <c r="B152" s="1">
        <v>12327</v>
      </c>
      <c r="C152" s="2">
        <v>254.31992423903674</v>
      </c>
      <c r="D152" s="2">
        <v>0.24999999999999997</v>
      </c>
      <c r="E152">
        <f t="shared" si="8"/>
        <v>9</v>
      </c>
      <c r="F152">
        <f t="shared" si="9"/>
        <v>1933</v>
      </c>
      <c r="G152" s="2">
        <f t="shared" si="10"/>
        <v>0</v>
      </c>
    </row>
    <row r="153" spans="1:7" x14ac:dyDescent="0.25">
      <c r="A153">
        <v>145</v>
      </c>
      <c r="B153" s="1">
        <v>12358</v>
      </c>
      <c r="C153" s="2">
        <v>214.84262990667753</v>
      </c>
      <c r="D153" s="2">
        <v>0.24999999999999997</v>
      </c>
      <c r="E153">
        <f t="shared" si="8"/>
        <v>10</v>
      </c>
      <c r="F153">
        <f t="shared" si="9"/>
        <v>1933</v>
      </c>
      <c r="G153" s="2">
        <f t="shared" si="10"/>
        <v>0</v>
      </c>
    </row>
    <row r="154" spans="1:7" x14ac:dyDescent="0.25">
      <c r="A154">
        <v>146</v>
      </c>
      <c r="B154" s="1">
        <v>12388</v>
      </c>
      <c r="C154" s="2">
        <v>177.10611356726506</v>
      </c>
      <c r="D154" s="2">
        <v>0.24999999999999997</v>
      </c>
      <c r="E154">
        <f t="shared" si="8"/>
        <v>11</v>
      </c>
      <c r="F154">
        <f t="shared" si="9"/>
        <v>1933</v>
      </c>
      <c r="G154" s="2">
        <f t="shared" si="10"/>
        <v>0</v>
      </c>
    </row>
    <row r="155" spans="1:7" x14ac:dyDescent="0.25">
      <c r="A155">
        <v>147</v>
      </c>
      <c r="B155" s="1">
        <v>12419</v>
      </c>
      <c r="C155" s="2">
        <v>161.98826861286051</v>
      </c>
      <c r="D155" s="2">
        <v>0.25</v>
      </c>
      <c r="E155">
        <f t="shared" si="8"/>
        <v>12</v>
      </c>
      <c r="F155">
        <f t="shared" si="9"/>
        <v>1933</v>
      </c>
      <c r="G155" s="2">
        <f t="shared" si="10"/>
        <v>0</v>
      </c>
    </row>
    <row r="156" spans="1:7" x14ac:dyDescent="0.25">
      <c r="A156">
        <v>148</v>
      </c>
      <c r="B156" s="1">
        <v>12450</v>
      </c>
      <c r="C156" s="2">
        <v>157.69227420397434</v>
      </c>
      <c r="D156" s="2">
        <v>0.25</v>
      </c>
      <c r="E156">
        <f t="shared" si="8"/>
        <v>1</v>
      </c>
      <c r="F156">
        <f t="shared" si="9"/>
        <v>1934</v>
      </c>
      <c r="G156" s="2">
        <f t="shared" si="10"/>
        <v>0</v>
      </c>
    </row>
    <row r="157" spans="1:7" x14ac:dyDescent="0.25">
      <c r="A157">
        <v>149</v>
      </c>
      <c r="B157" s="1">
        <v>12478</v>
      </c>
      <c r="C157" s="2">
        <v>173.743928821011</v>
      </c>
      <c r="D157" s="2">
        <v>0.25</v>
      </c>
      <c r="E157">
        <f t="shared" si="8"/>
        <v>2</v>
      </c>
      <c r="F157">
        <f t="shared" si="9"/>
        <v>1934</v>
      </c>
      <c r="G157" s="2">
        <f t="shared" si="10"/>
        <v>9649.2496006379661</v>
      </c>
    </row>
    <row r="158" spans="1:7" x14ac:dyDescent="0.25">
      <c r="A158">
        <v>150</v>
      </c>
      <c r="B158" s="1">
        <v>12509</v>
      </c>
      <c r="C158" s="2">
        <v>152.5532350638496</v>
      </c>
      <c r="D158" s="2">
        <v>0.49999999999999994</v>
      </c>
      <c r="E158">
        <f t="shared" si="8"/>
        <v>3</v>
      </c>
      <c r="F158">
        <f t="shared" si="9"/>
        <v>1934</v>
      </c>
      <c r="G158" s="2">
        <f t="shared" si="10"/>
        <v>9380.1328006201729</v>
      </c>
    </row>
    <row r="159" spans="1:7" x14ac:dyDescent="0.25">
      <c r="A159">
        <v>151</v>
      </c>
      <c r="B159" s="1">
        <v>12539</v>
      </c>
      <c r="C159" s="2">
        <v>196.32088667964661</v>
      </c>
      <c r="D159" s="2">
        <v>0.25</v>
      </c>
      <c r="E159">
        <f t="shared" si="8"/>
        <v>4</v>
      </c>
      <c r="F159">
        <f t="shared" si="9"/>
        <v>1934</v>
      </c>
      <c r="G159" s="2">
        <f t="shared" si="10"/>
        <v>0</v>
      </c>
    </row>
    <row r="160" spans="1:7" x14ac:dyDescent="0.25">
      <c r="A160">
        <v>152</v>
      </c>
      <c r="B160" s="1">
        <v>12570</v>
      </c>
      <c r="C160" s="2">
        <v>239.89165958575308</v>
      </c>
      <c r="D160" s="2">
        <v>0.25</v>
      </c>
      <c r="E160">
        <f t="shared" si="8"/>
        <v>5</v>
      </c>
      <c r="F160">
        <f t="shared" si="9"/>
        <v>1934</v>
      </c>
      <c r="G160" s="2">
        <f t="shared" si="10"/>
        <v>0</v>
      </c>
    </row>
    <row r="161" spans="1:7" x14ac:dyDescent="0.25">
      <c r="A161">
        <v>153</v>
      </c>
      <c r="B161" s="1">
        <v>12600</v>
      </c>
      <c r="C161" s="2">
        <v>275.36306112931692</v>
      </c>
      <c r="D161" s="2">
        <v>0.25</v>
      </c>
      <c r="E161">
        <f t="shared" si="8"/>
        <v>6</v>
      </c>
      <c r="F161">
        <f t="shared" si="9"/>
        <v>1934</v>
      </c>
      <c r="G161" s="2">
        <f t="shared" si="10"/>
        <v>0</v>
      </c>
    </row>
    <row r="162" spans="1:7" x14ac:dyDescent="0.25">
      <c r="A162">
        <v>154</v>
      </c>
      <c r="B162" s="1">
        <v>12631</v>
      </c>
      <c r="C162" s="2">
        <v>287.21574840608628</v>
      </c>
      <c r="D162" s="2">
        <v>0.25</v>
      </c>
      <c r="E162">
        <f t="shared" si="8"/>
        <v>7</v>
      </c>
      <c r="F162">
        <f t="shared" si="9"/>
        <v>1934</v>
      </c>
      <c r="G162" s="2">
        <f t="shared" si="10"/>
        <v>0</v>
      </c>
    </row>
    <row r="163" spans="1:7" x14ac:dyDescent="0.25">
      <c r="A163">
        <v>155</v>
      </c>
      <c r="B163" s="1">
        <v>12662</v>
      </c>
      <c r="C163" s="2">
        <v>278.99732431952134</v>
      </c>
      <c r="D163" s="2">
        <v>0.25</v>
      </c>
      <c r="E163">
        <f t="shared" si="8"/>
        <v>8</v>
      </c>
      <c r="F163">
        <f t="shared" si="9"/>
        <v>1934</v>
      </c>
      <c r="G163" s="2">
        <f t="shared" si="10"/>
        <v>0</v>
      </c>
    </row>
    <row r="164" spans="1:7" x14ac:dyDescent="0.25">
      <c r="A164">
        <v>156</v>
      </c>
      <c r="B164" s="1">
        <v>12692</v>
      </c>
      <c r="C164" s="2">
        <v>254.31992423903677</v>
      </c>
      <c r="D164" s="2">
        <v>0.25</v>
      </c>
      <c r="E164">
        <f t="shared" si="8"/>
        <v>9</v>
      </c>
      <c r="F164">
        <f t="shared" si="9"/>
        <v>1934</v>
      </c>
      <c r="G164" s="2">
        <f t="shared" si="10"/>
        <v>0</v>
      </c>
    </row>
    <row r="165" spans="1:7" x14ac:dyDescent="0.25">
      <c r="A165">
        <v>157</v>
      </c>
      <c r="B165" s="1">
        <v>12723</v>
      </c>
      <c r="C165" s="2">
        <v>214.84262990667759</v>
      </c>
      <c r="D165" s="2">
        <v>0.25</v>
      </c>
      <c r="E165">
        <f t="shared" si="8"/>
        <v>10</v>
      </c>
      <c r="F165">
        <f t="shared" si="9"/>
        <v>1934</v>
      </c>
      <c r="G165" s="2">
        <f t="shared" si="10"/>
        <v>0</v>
      </c>
    </row>
    <row r="166" spans="1:7" x14ac:dyDescent="0.25">
      <c r="A166">
        <v>158</v>
      </c>
      <c r="B166" s="1">
        <v>12753</v>
      </c>
      <c r="C166" s="2">
        <v>177.10611356726508</v>
      </c>
      <c r="D166" s="2">
        <v>0.25</v>
      </c>
      <c r="E166">
        <f t="shared" si="8"/>
        <v>11</v>
      </c>
      <c r="F166">
        <f t="shared" si="9"/>
        <v>1934</v>
      </c>
      <c r="G166" s="2">
        <f t="shared" si="10"/>
        <v>0</v>
      </c>
    </row>
    <row r="167" spans="1:7" x14ac:dyDescent="0.25">
      <c r="A167">
        <v>159</v>
      </c>
      <c r="B167" s="1">
        <v>12784</v>
      </c>
      <c r="C167" s="2">
        <v>161.98826861286054</v>
      </c>
      <c r="D167" s="2">
        <v>0.25</v>
      </c>
      <c r="E167">
        <f t="shared" si="8"/>
        <v>12</v>
      </c>
      <c r="F167">
        <f t="shared" si="9"/>
        <v>1934</v>
      </c>
      <c r="G167" s="2">
        <f t="shared" si="10"/>
        <v>0</v>
      </c>
    </row>
    <row r="168" spans="1:7" x14ac:dyDescent="0.25">
      <c r="A168">
        <v>160</v>
      </c>
      <c r="B168" s="1">
        <v>12815</v>
      </c>
      <c r="C168" s="2">
        <v>157.69227420397436</v>
      </c>
      <c r="D168" s="2">
        <v>0.25</v>
      </c>
      <c r="E168">
        <f t="shared" si="8"/>
        <v>1</v>
      </c>
      <c r="F168">
        <f t="shared" si="9"/>
        <v>1935</v>
      </c>
      <c r="G168" s="2">
        <f t="shared" si="10"/>
        <v>0</v>
      </c>
    </row>
    <row r="169" spans="1:7" x14ac:dyDescent="0.25">
      <c r="A169">
        <v>161</v>
      </c>
      <c r="B169" s="1">
        <v>12843</v>
      </c>
      <c r="C169" s="2">
        <v>173.743928821011</v>
      </c>
      <c r="D169" s="2">
        <v>0.5</v>
      </c>
      <c r="E169">
        <f t="shared" si="8"/>
        <v>2</v>
      </c>
      <c r="F169">
        <f t="shared" si="9"/>
        <v>1935</v>
      </c>
      <c r="G169" s="2">
        <f t="shared" si="10"/>
        <v>9649.2496006379661</v>
      </c>
    </row>
    <row r="170" spans="1:7" x14ac:dyDescent="0.25">
      <c r="A170">
        <v>162</v>
      </c>
      <c r="B170" s="1">
        <v>12874</v>
      </c>
      <c r="C170" s="2">
        <v>123.59371307268762</v>
      </c>
      <c r="D170" s="2">
        <v>0.5</v>
      </c>
      <c r="E170">
        <f t="shared" si="8"/>
        <v>3</v>
      </c>
      <c r="F170">
        <f t="shared" si="9"/>
        <v>1935</v>
      </c>
      <c r="G170" s="2">
        <f t="shared" si="10"/>
        <v>7599.481200502446</v>
      </c>
    </row>
    <row r="171" spans="1:7" x14ac:dyDescent="0.25">
      <c r="A171">
        <v>163</v>
      </c>
      <c r="B171" s="1">
        <v>12904</v>
      </c>
      <c r="C171" s="2">
        <v>181.23525201198254</v>
      </c>
      <c r="D171" s="2">
        <v>0.5</v>
      </c>
      <c r="E171">
        <f t="shared" si="8"/>
        <v>4</v>
      </c>
      <c r="F171">
        <f t="shared" si="9"/>
        <v>1935</v>
      </c>
      <c r="G171" s="2">
        <f t="shared" si="10"/>
        <v>0</v>
      </c>
    </row>
    <row r="172" spans="1:7" x14ac:dyDescent="0.25">
      <c r="A172">
        <v>164</v>
      </c>
      <c r="B172" s="1">
        <v>12935</v>
      </c>
      <c r="C172" s="2">
        <v>189.91672423298658</v>
      </c>
      <c r="D172" s="2">
        <v>0.5</v>
      </c>
      <c r="E172">
        <f t="shared" si="8"/>
        <v>5</v>
      </c>
      <c r="F172">
        <f t="shared" si="9"/>
        <v>1935</v>
      </c>
      <c r="G172" s="2">
        <f t="shared" si="10"/>
        <v>0</v>
      </c>
    </row>
    <row r="173" spans="1:7" x14ac:dyDescent="0.25">
      <c r="A173">
        <v>165</v>
      </c>
      <c r="B173" s="1">
        <v>12965</v>
      </c>
      <c r="C173" s="2">
        <v>249.94227532208063</v>
      </c>
      <c r="D173" s="2">
        <v>0.5</v>
      </c>
      <c r="E173">
        <f t="shared" si="8"/>
        <v>6</v>
      </c>
      <c r="F173">
        <f t="shared" si="9"/>
        <v>1935</v>
      </c>
      <c r="G173" s="2">
        <f t="shared" si="10"/>
        <v>0</v>
      </c>
    </row>
    <row r="174" spans="1:7" x14ac:dyDescent="0.25">
      <c r="A174">
        <v>166</v>
      </c>
      <c r="B174" s="1">
        <v>12996</v>
      </c>
      <c r="C174" s="2">
        <v>278.83348316359661</v>
      </c>
      <c r="D174" s="2">
        <v>0.5</v>
      </c>
      <c r="E174">
        <f t="shared" si="8"/>
        <v>7</v>
      </c>
      <c r="F174">
        <f t="shared" si="9"/>
        <v>1935</v>
      </c>
      <c r="G174" s="2">
        <f t="shared" si="10"/>
        <v>0</v>
      </c>
    </row>
    <row r="175" spans="1:7" x14ac:dyDescent="0.25">
      <c r="A175">
        <v>167</v>
      </c>
      <c r="B175" s="1">
        <v>13027</v>
      </c>
      <c r="C175" s="2">
        <v>281.64601106700837</v>
      </c>
      <c r="D175" s="2">
        <v>0.5</v>
      </c>
      <c r="E175">
        <f t="shared" si="8"/>
        <v>8</v>
      </c>
      <c r="F175">
        <f t="shared" si="9"/>
        <v>1935</v>
      </c>
      <c r="G175" s="2">
        <f t="shared" si="10"/>
        <v>0</v>
      </c>
    </row>
    <row r="176" spans="1:7" x14ac:dyDescent="0.25">
      <c r="A176">
        <v>168</v>
      </c>
      <c r="B176" s="1">
        <v>13057</v>
      </c>
      <c r="C176" s="2">
        <v>247.80503551638381</v>
      </c>
      <c r="D176" s="2">
        <v>0.5</v>
      </c>
      <c r="E176">
        <f t="shared" si="8"/>
        <v>9</v>
      </c>
      <c r="F176">
        <f t="shared" si="9"/>
        <v>1935</v>
      </c>
      <c r="G176" s="2">
        <f t="shared" si="10"/>
        <v>0</v>
      </c>
    </row>
    <row r="177" spans="1:7" x14ac:dyDescent="0.25">
      <c r="A177">
        <v>169</v>
      </c>
      <c r="B177" s="1">
        <v>13088</v>
      </c>
      <c r="C177" s="2">
        <v>213.68325149262245</v>
      </c>
      <c r="D177" s="2">
        <v>0.5</v>
      </c>
      <c r="E177">
        <f t="shared" si="8"/>
        <v>10</v>
      </c>
      <c r="F177">
        <f t="shared" si="9"/>
        <v>1935</v>
      </c>
      <c r="G177" s="2">
        <f t="shared" si="10"/>
        <v>0</v>
      </c>
    </row>
    <row r="178" spans="1:7" x14ac:dyDescent="0.25">
      <c r="A178">
        <v>170</v>
      </c>
      <c r="B178" s="1">
        <v>13118</v>
      </c>
      <c r="C178" s="2">
        <v>158.89264570494973</v>
      </c>
      <c r="D178" s="2">
        <v>0.5</v>
      </c>
      <c r="E178">
        <f t="shared" si="8"/>
        <v>11</v>
      </c>
      <c r="F178">
        <f t="shared" si="9"/>
        <v>1935</v>
      </c>
      <c r="G178" s="2">
        <f t="shared" si="10"/>
        <v>0</v>
      </c>
    </row>
    <row r="179" spans="1:7" x14ac:dyDescent="0.25">
      <c r="A179">
        <v>171</v>
      </c>
      <c r="B179" s="1">
        <v>13149</v>
      </c>
      <c r="C179" s="2">
        <v>140.7197017834973</v>
      </c>
      <c r="D179" s="2">
        <v>0.5</v>
      </c>
      <c r="E179">
        <f t="shared" si="8"/>
        <v>12</v>
      </c>
      <c r="F179">
        <f t="shared" si="9"/>
        <v>1935</v>
      </c>
      <c r="G179" s="2">
        <f t="shared" si="10"/>
        <v>0</v>
      </c>
    </row>
    <row r="180" spans="1:7" x14ac:dyDescent="0.25">
      <c r="A180">
        <v>172</v>
      </c>
      <c r="B180" s="1">
        <v>13180</v>
      </c>
      <c r="C180" s="2">
        <v>120.71654124454039</v>
      </c>
      <c r="D180" s="2">
        <v>0.5</v>
      </c>
      <c r="E180">
        <f t="shared" si="8"/>
        <v>1</v>
      </c>
      <c r="F180">
        <f t="shared" si="9"/>
        <v>1936</v>
      </c>
      <c r="G180" s="2">
        <f t="shared" si="10"/>
        <v>0</v>
      </c>
    </row>
    <row r="181" spans="1:7" x14ac:dyDescent="0.25">
      <c r="A181">
        <v>173</v>
      </c>
      <c r="B181" s="1">
        <v>13209</v>
      </c>
      <c r="C181" s="2">
        <v>110.50888971995006</v>
      </c>
      <c r="D181" s="2">
        <v>0.53607770273822997</v>
      </c>
      <c r="E181">
        <f t="shared" si="8"/>
        <v>2</v>
      </c>
      <c r="F181">
        <f t="shared" si="9"/>
        <v>1936</v>
      </c>
      <c r="G181" s="2">
        <f t="shared" si="10"/>
        <v>6137.3532141988799</v>
      </c>
    </row>
    <row r="182" spans="1:7" x14ac:dyDescent="0.25">
      <c r="A182">
        <v>174</v>
      </c>
      <c r="B182" s="1">
        <v>13240</v>
      </c>
      <c r="C182" s="2">
        <v>96.914806888128041</v>
      </c>
      <c r="D182" s="2">
        <v>1</v>
      </c>
      <c r="E182">
        <f t="shared" si="8"/>
        <v>3</v>
      </c>
      <c r="F182">
        <f t="shared" si="9"/>
        <v>1936</v>
      </c>
      <c r="G182" s="2">
        <f t="shared" si="10"/>
        <v>5959.0592003939892</v>
      </c>
    </row>
    <row r="183" spans="1:7" x14ac:dyDescent="0.25">
      <c r="A183">
        <v>175</v>
      </c>
      <c r="B183" s="1">
        <v>13270</v>
      </c>
      <c r="C183" s="2">
        <v>155.35965745471614</v>
      </c>
      <c r="D183" s="2">
        <v>0.74999999999999989</v>
      </c>
      <c r="E183">
        <f t="shared" si="8"/>
        <v>4</v>
      </c>
      <c r="F183">
        <f t="shared" si="9"/>
        <v>1936</v>
      </c>
      <c r="G183" s="2">
        <f t="shared" si="10"/>
        <v>0</v>
      </c>
    </row>
    <row r="184" spans="1:7" x14ac:dyDescent="0.25">
      <c r="A184">
        <v>176</v>
      </c>
      <c r="B184" s="1">
        <v>13301</v>
      </c>
      <c r="C184" s="2">
        <v>189.91672423298658</v>
      </c>
      <c r="D184" s="2">
        <v>0.74999999999999989</v>
      </c>
      <c r="E184">
        <f t="shared" si="8"/>
        <v>5</v>
      </c>
      <c r="F184">
        <f t="shared" si="9"/>
        <v>1936</v>
      </c>
      <c r="G184" s="2">
        <f t="shared" si="10"/>
        <v>0</v>
      </c>
    </row>
    <row r="185" spans="1:7" x14ac:dyDescent="0.25">
      <c r="A185">
        <v>177</v>
      </c>
      <c r="B185" s="1">
        <v>13331</v>
      </c>
      <c r="C185" s="2">
        <v>249.94227532208066</v>
      </c>
      <c r="D185" s="2">
        <v>0.75</v>
      </c>
      <c r="E185">
        <f t="shared" si="8"/>
        <v>6</v>
      </c>
      <c r="F185">
        <f t="shared" si="9"/>
        <v>1936</v>
      </c>
      <c r="G185" s="2">
        <f t="shared" si="10"/>
        <v>0</v>
      </c>
    </row>
    <row r="186" spans="1:7" x14ac:dyDescent="0.25">
      <c r="A186">
        <v>178</v>
      </c>
      <c r="B186" s="1">
        <v>13362</v>
      </c>
      <c r="C186" s="2">
        <v>278.83348316359661</v>
      </c>
      <c r="D186" s="2">
        <v>0.75</v>
      </c>
      <c r="E186">
        <f t="shared" si="8"/>
        <v>7</v>
      </c>
      <c r="F186">
        <f t="shared" si="9"/>
        <v>1936</v>
      </c>
      <c r="G186" s="2">
        <f t="shared" si="10"/>
        <v>0</v>
      </c>
    </row>
    <row r="187" spans="1:7" x14ac:dyDescent="0.25">
      <c r="A187">
        <v>179</v>
      </c>
      <c r="B187" s="1">
        <v>13393</v>
      </c>
      <c r="C187" s="2">
        <v>281.64601106700843</v>
      </c>
      <c r="D187" s="2">
        <v>0.75</v>
      </c>
      <c r="E187">
        <f t="shared" si="8"/>
        <v>8</v>
      </c>
      <c r="F187">
        <f t="shared" si="9"/>
        <v>1936</v>
      </c>
      <c r="G187" s="2">
        <f t="shared" si="10"/>
        <v>0</v>
      </c>
    </row>
    <row r="188" spans="1:7" x14ac:dyDescent="0.25">
      <c r="A188">
        <v>180</v>
      </c>
      <c r="B188" s="1">
        <v>13423</v>
      </c>
      <c r="C188" s="2">
        <v>247.80503551638381</v>
      </c>
      <c r="D188" s="2">
        <v>0.75</v>
      </c>
      <c r="E188">
        <f t="shared" si="8"/>
        <v>9</v>
      </c>
      <c r="F188">
        <f t="shared" si="9"/>
        <v>1936</v>
      </c>
      <c r="G188" s="2">
        <f t="shared" si="10"/>
        <v>0</v>
      </c>
    </row>
    <row r="189" spans="1:7" x14ac:dyDescent="0.25">
      <c r="A189">
        <v>181</v>
      </c>
      <c r="B189" s="1">
        <v>13454</v>
      </c>
      <c r="C189" s="2">
        <v>213.68325149262242</v>
      </c>
      <c r="D189" s="2">
        <v>0.75</v>
      </c>
      <c r="E189">
        <f t="shared" si="8"/>
        <v>10</v>
      </c>
      <c r="F189">
        <f t="shared" si="9"/>
        <v>1936</v>
      </c>
      <c r="G189" s="2">
        <f t="shared" si="10"/>
        <v>0</v>
      </c>
    </row>
    <row r="190" spans="1:7" x14ac:dyDescent="0.25">
      <c r="A190">
        <v>182</v>
      </c>
      <c r="B190" s="1">
        <v>13484</v>
      </c>
      <c r="C190" s="2">
        <v>158.89264570494973</v>
      </c>
      <c r="D190" s="2">
        <v>0.75</v>
      </c>
      <c r="E190">
        <f t="shared" si="8"/>
        <v>11</v>
      </c>
      <c r="F190">
        <f t="shared" si="9"/>
        <v>1936</v>
      </c>
      <c r="G190" s="2">
        <f t="shared" si="10"/>
        <v>0</v>
      </c>
    </row>
    <row r="191" spans="1:7" x14ac:dyDescent="0.25">
      <c r="A191">
        <v>183</v>
      </c>
      <c r="B191" s="1">
        <v>13515</v>
      </c>
      <c r="C191" s="2">
        <v>140.7197017834973</v>
      </c>
      <c r="D191" s="2">
        <v>0.75</v>
      </c>
      <c r="E191">
        <f t="shared" si="8"/>
        <v>12</v>
      </c>
      <c r="F191">
        <f t="shared" si="9"/>
        <v>1936</v>
      </c>
      <c r="G191" s="2">
        <f t="shared" si="10"/>
        <v>0</v>
      </c>
    </row>
    <row r="192" spans="1:7" x14ac:dyDescent="0.25">
      <c r="A192">
        <v>184</v>
      </c>
      <c r="B192" s="1">
        <v>13546</v>
      </c>
      <c r="C192" s="2">
        <v>120.71654124454039</v>
      </c>
      <c r="D192" s="2">
        <v>0.75</v>
      </c>
      <c r="E192">
        <f t="shared" si="8"/>
        <v>1</v>
      </c>
      <c r="F192">
        <f t="shared" si="9"/>
        <v>1937</v>
      </c>
      <c r="G192" s="2">
        <f t="shared" si="10"/>
        <v>0</v>
      </c>
    </row>
    <row r="193" spans="1:7" x14ac:dyDescent="0.25">
      <c r="A193">
        <v>185</v>
      </c>
      <c r="B193" s="1">
        <v>13574</v>
      </c>
      <c r="C193" s="2">
        <v>114.45563578137684</v>
      </c>
      <c r="D193" s="2">
        <v>0.25</v>
      </c>
      <c r="E193">
        <f t="shared" si="8"/>
        <v>2</v>
      </c>
      <c r="F193">
        <f t="shared" si="9"/>
        <v>1937</v>
      </c>
      <c r="G193" s="2">
        <f t="shared" si="10"/>
        <v>6356.5444004202673</v>
      </c>
    </row>
    <row r="194" spans="1:7" x14ac:dyDescent="0.25">
      <c r="A194">
        <v>186</v>
      </c>
      <c r="B194" s="1">
        <v>13605</v>
      </c>
      <c r="C194" s="2">
        <v>123.59371307269393</v>
      </c>
      <c r="D194" s="2">
        <v>0.5</v>
      </c>
      <c r="E194">
        <f t="shared" si="8"/>
        <v>3</v>
      </c>
      <c r="F194">
        <f t="shared" si="9"/>
        <v>1937</v>
      </c>
      <c r="G194" s="2">
        <f t="shared" si="10"/>
        <v>7599.4812005028334</v>
      </c>
    </row>
    <row r="195" spans="1:7" x14ac:dyDescent="0.25">
      <c r="A195">
        <v>187</v>
      </c>
      <c r="B195" s="1">
        <v>13635</v>
      </c>
      <c r="C195" s="2">
        <v>155.35965745471614</v>
      </c>
      <c r="D195" s="2">
        <v>0.66349131057776056</v>
      </c>
      <c r="E195">
        <f t="shared" si="8"/>
        <v>4</v>
      </c>
      <c r="F195">
        <f t="shared" si="9"/>
        <v>1937</v>
      </c>
      <c r="G195" s="2">
        <f t="shared" si="10"/>
        <v>0</v>
      </c>
    </row>
    <row r="196" spans="1:7" x14ac:dyDescent="0.25">
      <c r="A196">
        <v>188</v>
      </c>
      <c r="B196" s="1">
        <v>13666</v>
      </c>
      <c r="C196" s="2">
        <v>189.91672423298658</v>
      </c>
      <c r="D196" s="2">
        <v>0.93547549271747832</v>
      </c>
      <c r="E196">
        <f t="shared" si="8"/>
        <v>5</v>
      </c>
      <c r="F196">
        <f t="shared" si="9"/>
        <v>1937</v>
      </c>
      <c r="G196" s="2">
        <f t="shared" si="10"/>
        <v>0</v>
      </c>
    </row>
    <row r="197" spans="1:7" x14ac:dyDescent="0.25">
      <c r="A197">
        <v>189</v>
      </c>
      <c r="B197" s="1">
        <v>13696</v>
      </c>
      <c r="C197" s="2">
        <v>249.94227532208063</v>
      </c>
      <c r="D197" s="2">
        <v>0.9354754927174781</v>
      </c>
      <c r="E197">
        <f t="shared" si="8"/>
        <v>6</v>
      </c>
      <c r="F197">
        <f t="shared" si="9"/>
        <v>1937</v>
      </c>
      <c r="G197" s="2">
        <f t="shared" si="10"/>
        <v>0</v>
      </c>
    </row>
    <row r="198" spans="1:7" x14ac:dyDescent="0.25">
      <c r="A198">
        <v>190</v>
      </c>
      <c r="B198" s="1">
        <v>13727</v>
      </c>
      <c r="C198" s="2">
        <v>278.83348316359661</v>
      </c>
      <c r="D198" s="2">
        <v>0.93547549271747799</v>
      </c>
      <c r="E198">
        <f t="shared" si="8"/>
        <v>7</v>
      </c>
      <c r="F198">
        <f t="shared" si="9"/>
        <v>1937</v>
      </c>
      <c r="G198" s="2">
        <f t="shared" si="10"/>
        <v>0</v>
      </c>
    </row>
    <row r="199" spans="1:7" x14ac:dyDescent="0.25">
      <c r="A199">
        <v>191</v>
      </c>
      <c r="B199" s="1">
        <v>13758</v>
      </c>
      <c r="C199" s="2">
        <v>281.64601106700837</v>
      </c>
      <c r="D199" s="2">
        <v>0.93547549271747799</v>
      </c>
      <c r="E199">
        <f t="shared" si="8"/>
        <v>8</v>
      </c>
      <c r="F199">
        <f t="shared" si="9"/>
        <v>1937</v>
      </c>
      <c r="G199" s="2">
        <f t="shared" si="10"/>
        <v>0</v>
      </c>
    </row>
    <row r="200" spans="1:7" x14ac:dyDescent="0.25">
      <c r="A200">
        <v>192</v>
      </c>
      <c r="B200" s="1">
        <v>13788</v>
      </c>
      <c r="C200" s="2">
        <v>247.80503551638381</v>
      </c>
      <c r="D200" s="2">
        <v>0.93547549271747787</v>
      </c>
      <c r="E200">
        <f t="shared" si="8"/>
        <v>9</v>
      </c>
      <c r="F200">
        <f t="shared" si="9"/>
        <v>1937</v>
      </c>
      <c r="G200" s="2">
        <f t="shared" si="10"/>
        <v>0</v>
      </c>
    </row>
    <row r="201" spans="1:7" x14ac:dyDescent="0.25">
      <c r="A201">
        <v>193</v>
      </c>
      <c r="B201" s="1">
        <v>13819</v>
      </c>
      <c r="C201" s="2">
        <v>213.68325149262245</v>
      </c>
      <c r="D201" s="2">
        <v>0.93547549271747799</v>
      </c>
      <c r="E201">
        <f t="shared" si="8"/>
        <v>10</v>
      </c>
      <c r="F201">
        <f t="shared" si="9"/>
        <v>1937</v>
      </c>
      <c r="G201" s="2">
        <f t="shared" si="10"/>
        <v>0</v>
      </c>
    </row>
    <row r="202" spans="1:7" x14ac:dyDescent="0.25">
      <c r="A202">
        <v>194</v>
      </c>
      <c r="B202" s="1">
        <v>13849</v>
      </c>
      <c r="C202" s="2">
        <v>158.89264570494973</v>
      </c>
      <c r="D202" s="2">
        <v>0.93547549271747799</v>
      </c>
      <c r="E202">
        <f t="shared" ref="E202:E265" si="11">MONTH(B202)</f>
        <v>11</v>
      </c>
      <c r="F202">
        <f t="shared" ref="F202:F265" si="12">YEAR(B202)</f>
        <v>1937</v>
      </c>
      <c r="G202" s="2">
        <f t="shared" ref="G202:G265" si="13">IF(E202=2,C202*$G$5*28,IF(E202=3,C202*$G$5*31,0))</f>
        <v>0</v>
      </c>
    </row>
    <row r="203" spans="1:7" x14ac:dyDescent="0.25">
      <c r="A203">
        <v>195</v>
      </c>
      <c r="B203" s="1">
        <v>13880</v>
      </c>
      <c r="C203" s="2">
        <v>140.7197017834973</v>
      </c>
      <c r="D203" s="2">
        <v>0.93547549271747787</v>
      </c>
      <c r="E203">
        <f t="shared" si="11"/>
        <v>12</v>
      </c>
      <c r="F203">
        <f t="shared" si="12"/>
        <v>1937</v>
      </c>
      <c r="G203" s="2">
        <f t="shared" si="13"/>
        <v>0</v>
      </c>
    </row>
    <row r="204" spans="1:7" x14ac:dyDescent="0.25">
      <c r="A204">
        <v>196</v>
      </c>
      <c r="B204" s="1">
        <v>13911</v>
      </c>
      <c r="C204" s="2">
        <v>120.71654124454041</v>
      </c>
      <c r="D204" s="2">
        <v>0.93547549271747799</v>
      </c>
      <c r="E204">
        <f t="shared" si="11"/>
        <v>1</v>
      </c>
      <c r="F204">
        <f t="shared" si="12"/>
        <v>1938</v>
      </c>
      <c r="G204" s="2">
        <f t="shared" si="13"/>
        <v>0</v>
      </c>
    </row>
    <row r="205" spans="1:7" x14ac:dyDescent="0.25">
      <c r="A205">
        <v>197</v>
      </c>
      <c r="B205" s="1">
        <v>13939</v>
      </c>
      <c r="C205" s="2">
        <v>114.45563578137684</v>
      </c>
      <c r="D205" s="2">
        <v>0.93547549271747799</v>
      </c>
      <c r="E205">
        <f t="shared" si="11"/>
        <v>2</v>
      </c>
      <c r="F205">
        <f t="shared" si="12"/>
        <v>1938</v>
      </c>
      <c r="G205" s="2">
        <f t="shared" si="13"/>
        <v>6356.5444004202673</v>
      </c>
    </row>
    <row r="206" spans="1:7" x14ac:dyDescent="0.25">
      <c r="A206">
        <v>198</v>
      </c>
      <c r="B206" s="1">
        <v>13970</v>
      </c>
      <c r="C206" s="2">
        <v>95.988743796675152</v>
      </c>
      <c r="D206" s="2">
        <v>1</v>
      </c>
      <c r="E206">
        <f t="shared" si="11"/>
        <v>3</v>
      </c>
      <c r="F206">
        <f t="shared" si="12"/>
        <v>1938</v>
      </c>
      <c r="G206" s="2">
        <f t="shared" si="13"/>
        <v>5902.1178003906043</v>
      </c>
    </row>
    <row r="207" spans="1:7" x14ac:dyDescent="0.25">
      <c r="A207">
        <v>199</v>
      </c>
      <c r="B207" s="1">
        <v>14000</v>
      </c>
      <c r="C207" s="2">
        <v>127.84175342511904</v>
      </c>
      <c r="D207" s="2">
        <v>1</v>
      </c>
      <c r="E207">
        <f t="shared" si="11"/>
        <v>4</v>
      </c>
      <c r="F207">
        <f t="shared" si="12"/>
        <v>1938</v>
      </c>
      <c r="G207" s="2">
        <f t="shared" si="13"/>
        <v>0</v>
      </c>
    </row>
    <row r="208" spans="1:7" x14ac:dyDescent="0.25">
      <c r="A208">
        <v>200</v>
      </c>
      <c r="B208" s="1">
        <v>14031</v>
      </c>
      <c r="C208" s="2">
        <v>173.69722718890344</v>
      </c>
      <c r="D208" s="2">
        <v>1</v>
      </c>
      <c r="E208">
        <f t="shared" si="11"/>
        <v>5</v>
      </c>
      <c r="F208">
        <f t="shared" si="12"/>
        <v>1938</v>
      </c>
      <c r="G208" s="2">
        <f t="shared" si="13"/>
        <v>0</v>
      </c>
    </row>
    <row r="209" spans="1:7" x14ac:dyDescent="0.25">
      <c r="A209">
        <v>201</v>
      </c>
      <c r="B209" s="1">
        <v>14061</v>
      </c>
      <c r="C209" s="2">
        <v>230.63820084858216</v>
      </c>
      <c r="D209" s="2">
        <v>1</v>
      </c>
      <c r="E209">
        <f t="shared" si="11"/>
        <v>6</v>
      </c>
      <c r="F209">
        <f t="shared" si="12"/>
        <v>1938</v>
      </c>
      <c r="G209" s="2">
        <f t="shared" si="13"/>
        <v>0</v>
      </c>
    </row>
    <row r="210" spans="1:7" x14ac:dyDescent="0.25">
      <c r="A210">
        <v>202</v>
      </c>
      <c r="B210" s="1">
        <v>14092</v>
      </c>
      <c r="C210" s="2">
        <v>271.71188667119026</v>
      </c>
      <c r="D210" s="2">
        <v>1</v>
      </c>
      <c r="E210">
        <f t="shared" si="11"/>
        <v>7</v>
      </c>
      <c r="F210">
        <f t="shared" si="12"/>
        <v>1938</v>
      </c>
      <c r="G210" s="2">
        <f t="shared" si="13"/>
        <v>0</v>
      </c>
    </row>
    <row r="211" spans="1:7" x14ac:dyDescent="0.25">
      <c r="A211">
        <v>203</v>
      </c>
      <c r="B211" s="1">
        <v>14123</v>
      </c>
      <c r="C211" s="2">
        <v>282.21761897027193</v>
      </c>
      <c r="D211" s="2">
        <v>1</v>
      </c>
      <c r="E211">
        <f t="shared" si="11"/>
        <v>8</v>
      </c>
      <c r="F211">
        <f t="shared" si="12"/>
        <v>1938</v>
      </c>
      <c r="G211" s="2">
        <f t="shared" si="13"/>
        <v>0</v>
      </c>
    </row>
    <row r="212" spans="1:7" x14ac:dyDescent="0.25">
      <c r="A212">
        <v>204</v>
      </c>
      <c r="B212" s="1">
        <v>14153</v>
      </c>
      <c r="C212" s="2">
        <v>245.18670139121068</v>
      </c>
      <c r="D212" s="2">
        <v>0.99999999999999989</v>
      </c>
      <c r="E212">
        <f t="shared" si="11"/>
        <v>9</v>
      </c>
      <c r="F212">
        <f t="shared" si="12"/>
        <v>1938</v>
      </c>
      <c r="G212" s="2">
        <f t="shared" si="13"/>
        <v>0</v>
      </c>
    </row>
    <row r="213" spans="1:7" x14ac:dyDescent="0.25">
      <c r="A213">
        <v>205</v>
      </c>
      <c r="B213" s="1">
        <v>14184</v>
      </c>
      <c r="C213" s="2">
        <v>208.40764336055318</v>
      </c>
      <c r="D213" s="2">
        <v>1</v>
      </c>
      <c r="E213">
        <f t="shared" si="11"/>
        <v>10</v>
      </c>
      <c r="F213">
        <f t="shared" si="12"/>
        <v>1938</v>
      </c>
      <c r="G213" s="2">
        <f t="shared" si="13"/>
        <v>0</v>
      </c>
    </row>
    <row r="214" spans="1:7" x14ac:dyDescent="0.25">
      <c r="A214">
        <v>206</v>
      </c>
      <c r="B214" s="1">
        <v>14214</v>
      </c>
      <c r="C214" s="2">
        <v>139.9081154259168</v>
      </c>
      <c r="D214" s="2">
        <v>0.99999999999999989</v>
      </c>
      <c r="E214">
        <f t="shared" si="11"/>
        <v>11</v>
      </c>
      <c r="F214">
        <f t="shared" si="12"/>
        <v>1938</v>
      </c>
      <c r="G214" s="2">
        <f t="shared" si="13"/>
        <v>0</v>
      </c>
    </row>
    <row r="215" spans="1:7" x14ac:dyDescent="0.25">
      <c r="A215">
        <v>207</v>
      </c>
      <c r="B215" s="1">
        <v>14245</v>
      </c>
      <c r="C215" s="2">
        <v>100.09781597435999</v>
      </c>
      <c r="D215" s="2">
        <v>1</v>
      </c>
      <c r="E215">
        <f t="shared" si="11"/>
        <v>12</v>
      </c>
      <c r="F215">
        <f t="shared" si="12"/>
        <v>1938</v>
      </c>
      <c r="G215" s="2">
        <f t="shared" si="13"/>
        <v>0</v>
      </c>
    </row>
    <row r="216" spans="1:7" x14ac:dyDescent="0.25">
      <c r="A216">
        <v>208</v>
      </c>
      <c r="B216" s="1">
        <v>14276</v>
      </c>
      <c r="C216" s="2">
        <v>94.480039683665979</v>
      </c>
      <c r="D216" s="2">
        <v>1</v>
      </c>
      <c r="E216">
        <f t="shared" si="11"/>
        <v>1</v>
      </c>
      <c r="F216">
        <f t="shared" si="12"/>
        <v>1939</v>
      </c>
      <c r="G216" s="2">
        <f t="shared" si="13"/>
        <v>0</v>
      </c>
    </row>
    <row r="217" spans="1:7" x14ac:dyDescent="0.25">
      <c r="A217">
        <v>209</v>
      </c>
      <c r="B217" s="1">
        <v>14304</v>
      </c>
      <c r="C217" s="2">
        <v>108.63618759646828</v>
      </c>
      <c r="D217" s="2">
        <v>1</v>
      </c>
      <c r="E217">
        <f t="shared" si="11"/>
        <v>2</v>
      </c>
      <c r="F217">
        <f t="shared" si="12"/>
        <v>1939</v>
      </c>
      <c r="G217" s="2">
        <f t="shared" si="13"/>
        <v>6033.3486003989001</v>
      </c>
    </row>
    <row r="218" spans="1:7" x14ac:dyDescent="0.25">
      <c r="A218">
        <v>210</v>
      </c>
      <c r="B218" s="1">
        <v>14335</v>
      </c>
      <c r="C218" s="2">
        <v>123.59371307269464</v>
      </c>
      <c r="D218" s="2">
        <v>0.5</v>
      </c>
      <c r="E218">
        <f t="shared" si="11"/>
        <v>3</v>
      </c>
      <c r="F218">
        <f t="shared" si="12"/>
        <v>1939</v>
      </c>
      <c r="G218" s="2">
        <f t="shared" si="13"/>
        <v>7599.4812005028771</v>
      </c>
    </row>
    <row r="219" spans="1:7" x14ac:dyDescent="0.25">
      <c r="A219">
        <v>211</v>
      </c>
      <c r="B219" s="1">
        <v>14365</v>
      </c>
      <c r="C219" s="2">
        <v>181.23525201198254</v>
      </c>
      <c r="D219" s="2">
        <v>0.75</v>
      </c>
      <c r="E219">
        <f t="shared" si="11"/>
        <v>4</v>
      </c>
      <c r="F219">
        <f t="shared" si="12"/>
        <v>1939</v>
      </c>
      <c r="G219" s="2">
        <f t="shared" si="13"/>
        <v>0</v>
      </c>
    </row>
    <row r="220" spans="1:7" x14ac:dyDescent="0.25">
      <c r="A220">
        <v>212</v>
      </c>
      <c r="B220" s="1">
        <v>14396</v>
      </c>
      <c r="C220" s="2">
        <v>220.07156033713082</v>
      </c>
      <c r="D220" s="2">
        <v>0.70141018786700693</v>
      </c>
      <c r="E220">
        <f t="shared" si="11"/>
        <v>5</v>
      </c>
      <c r="F220">
        <f t="shared" si="12"/>
        <v>1939</v>
      </c>
      <c r="G220" s="2">
        <f t="shared" si="13"/>
        <v>0</v>
      </c>
    </row>
    <row r="221" spans="1:7" x14ac:dyDescent="0.25">
      <c r="A221">
        <v>213</v>
      </c>
      <c r="B221" s="1">
        <v>14426</v>
      </c>
      <c r="C221" s="2">
        <v>257.70906701703871</v>
      </c>
      <c r="D221" s="2">
        <v>0.70141018786700693</v>
      </c>
      <c r="E221">
        <f t="shared" si="11"/>
        <v>6</v>
      </c>
      <c r="F221">
        <f t="shared" si="12"/>
        <v>1939</v>
      </c>
      <c r="G221" s="2">
        <f t="shared" si="13"/>
        <v>0</v>
      </c>
    </row>
    <row r="222" spans="1:7" x14ac:dyDescent="0.25">
      <c r="A222">
        <v>214</v>
      </c>
      <c r="B222" s="1">
        <v>14457</v>
      </c>
      <c r="C222" s="2">
        <v>288.24290179325095</v>
      </c>
      <c r="D222" s="2">
        <v>0.70141018786700682</v>
      </c>
      <c r="E222">
        <f t="shared" si="11"/>
        <v>7</v>
      </c>
      <c r="F222">
        <f t="shared" si="12"/>
        <v>1939</v>
      </c>
      <c r="G222" s="2">
        <f t="shared" si="13"/>
        <v>0</v>
      </c>
    </row>
    <row r="223" spans="1:7" x14ac:dyDescent="0.25">
      <c r="A223">
        <v>215</v>
      </c>
      <c r="B223" s="1">
        <v>14488</v>
      </c>
      <c r="C223" s="2">
        <v>279.99483921206041</v>
      </c>
      <c r="D223" s="2">
        <v>0.70141018786700693</v>
      </c>
      <c r="E223">
        <f t="shared" si="11"/>
        <v>8</v>
      </c>
      <c r="F223">
        <f t="shared" si="12"/>
        <v>1939</v>
      </c>
      <c r="G223" s="2">
        <f t="shared" si="13"/>
        <v>0</v>
      </c>
    </row>
    <row r="224" spans="1:7" x14ac:dyDescent="0.25">
      <c r="A224">
        <v>216</v>
      </c>
      <c r="B224" s="1">
        <v>14518</v>
      </c>
      <c r="C224" s="2">
        <v>253.56663201676474</v>
      </c>
      <c r="D224" s="2">
        <v>0.70141018786700693</v>
      </c>
      <c r="E224">
        <f t="shared" si="11"/>
        <v>9</v>
      </c>
      <c r="F224">
        <f t="shared" si="12"/>
        <v>1939</v>
      </c>
      <c r="G224" s="2">
        <f t="shared" si="13"/>
        <v>0</v>
      </c>
    </row>
    <row r="225" spans="1:7" x14ac:dyDescent="0.25">
      <c r="A225">
        <v>217</v>
      </c>
      <c r="B225" s="1">
        <v>14549</v>
      </c>
      <c r="C225" s="2">
        <v>216.07475469170527</v>
      </c>
      <c r="D225" s="2">
        <v>0.70141018786700693</v>
      </c>
      <c r="E225">
        <f t="shared" si="11"/>
        <v>10</v>
      </c>
      <c r="F225">
        <f t="shared" si="12"/>
        <v>1939</v>
      </c>
      <c r="G225" s="2">
        <f t="shared" si="13"/>
        <v>0</v>
      </c>
    </row>
    <row r="226" spans="1:7" x14ac:dyDescent="0.25">
      <c r="A226">
        <v>218</v>
      </c>
      <c r="B226" s="1">
        <v>14579</v>
      </c>
      <c r="C226" s="2">
        <v>174.85540601156072</v>
      </c>
      <c r="D226" s="2">
        <v>0.70141018786700693</v>
      </c>
      <c r="E226">
        <f t="shared" si="11"/>
        <v>11</v>
      </c>
      <c r="F226">
        <f t="shared" si="12"/>
        <v>1939</v>
      </c>
      <c r="G226" s="2">
        <f t="shared" si="13"/>
        <v>0</v>
      </c>
    </row>
    <row r="227" spans="1:7" x14ac:dyDescent="0.25">
      <c r="A227">
        <v>219</v>
      </c>
      <c r="B227" s="1">
        <v>14610</v>
      </c>
      <c r="C227" s="2">
        <v>153.18687823593447</v>
      </c>
      <c r="D227" s="2">
        <v>0.70141018786700693</v>
      </c>
      <c r="E227">
        <f t="shared" si="11"/>
        <v>12</v>
      </c>
      <c r="F227">
        <f t="shared" si="12"/>
        <v>1939</v>
      </c>
      <c r="G227" s="2">
        <f t="shared" si="13"/>
        <v>0</v>
      </c>
    </row>
    <row r="228" spans="1:7" x14ac:dyDescent="0.25">
      <c r="A228">
        <v>220</v>
      </c>
      <c r="B228" s="1">
        <v>14641</v>
      </c>
      <c r="C228" s="2">
        <v>148.33069936464571</v>
      </c>
      <c r="D228" s="2">
        <v>0.70141018786700693</v>
      </c>
      <c r="E228">
        <f t="shared" si="11"/>
        <v>1</v>
      </c>
      <c r="F228">
        <f t="shared" si="12"/>
        <v>1940</v>
      </c>
      <c r="G228" s="2">
        <f t="shared" si="13"/>
        <v>0</v>
      </c>
    </row>
    <row r="229" spans="1:7" x14ac:dyDescent="0.25">
      <c r="A229">
        <v>221</v>
      </c>
      <c r="B229" s="1">
        <v>14670</v>
      </c>
      <c r="C229" s="2">
        <v>140.6777084575769</v>
      </c>
      <c r="D229" s="2">
        <v>0.63578584301234409</v>
      </c>
      <c r="E229">
        <f t="shared" si="11"/>
        <v>2</v>
      </c>
      <c r="F229">
        <f t="shared" si="12"/>
        <v>1940</v>
      </c>
      <c r="G229" s="2">
        <f t="shared" si="13"/>
        <v>7812.8446349993119</v>
      </c>
    </row>
    <row r="230" spans="1:7" x14ac:dyDescent="0.25">
      <c r="A230">
        <v>222</v>
      </c>
      <c r="B230" s="1">
        <v>14701</v>
      </c>
      <c r="C230" s="2">
        <v>96.914806888141143</v>
      </c>
      <c r="D230" s="2">
        <v>0.84045997073110235</v>
      </c>
      <c r="E230">
        <f t="shared" si="11"/>
        <v>3</v>
      </c>
      <c r="F230">
        <f t="shared" si="12"/>
        <v>1940</v>
      </c>
      <c r="G230" s="2">
        <f t="shared" si="13"/>
        <v>5959.0592003947941</v>
      </c>
    </row>
    <row r="231" spans="1:7" x14ac:dyDescent="0.25">
      <c r="A231">
        <v>223</v>
      </c>
      <c r="B231" s="1">
        <v>14731</v>
      </c>
      <c r="C231" s="2">
        <v>127.84175342511904</v>
      </c>
      <c r="D231" s="2">
        <v>1</v>
      </c>
      <c r="E231">
        <f t="shared" si="11"/>
        <v>4</v>
      </c>
      <c r="F231">
        <f t="shared" si="12"/>
        <v>1940</v>
      </c>
      <c r="G231" s="2">
        <f t="shared" si="13"/>
        <v>0</v>
      </c>
    </row>
    <row r="232" spans="1:7" x14ac:dyDescent="0.25">
      <c r="A232">
        <v>224</v>
      </c>
      <c r="B232" s="1">
        <v>14762</v>
      </c>
      <c r="C232" s="2">
        <v>173.69722718890344</v>
      </c>
      <c r="D232" s="2">
        <v>1</v>
      </c>
      <c r="E232">
        <f t="shared" si="11"/>
        <v>5</v>
      </c>
      <c r="F232">
        <f t="shared" si="12"/>
        <v>1940</v>
      </c>
      <c r="G232" s="2">
        <f t="shared" si="13"/>
        <v>0</v>
      </c>
    </row>
    <row r="233" spans="1:7" x14ac:dyDescent="0.25">
      <c r="A233">
        <v>225</v>
      </c>
      <c r="B233" s="1">
        <v>14792</v>
      </c>
      <c r="C233" s="2">
        <v>230.63820084858219</v>
      </c>
      <c r="D233" s="2">
        <v>1</v>
      </c>
      <c r="E233">
        <f t="shared" si="11"/>
        <v>6</v>
      </c>
      <c r="F233">
        <f t="shared" si="12"/>
        <v>1940</v>
      </c>
      <c r="G233" s="2">
        <f t="shared" si="13"/>
        <v>0</v>
      </c>
    </row>
    <row r="234" spans="1:7" x14ac:dyDescent="0.25">
      <c r="A234">
        <v>226</v>
      </c>
      <c r="B234" s="1">
        <v>14823</v>
      </c>
      <c r="C234" s="2">
        <v>271.71188667119026</v>
      </c>
      <c r="D234" s="2">
        <v>1</v>
      </c>
      <c r="E234">
        <f t="shared" si="11"/>
        <v>7</v>
      </c>
      <c r="F234">
        <f t="shared" si="12"/>
        <v>1940</v>
      </c>
      <c r="G234" s="2">
        <f t="shared" si="13"/>
        <v>0</v>
      </c>
    </row>
    <row r="235" spans="1:7" x14ac:dyDescent="0.25">
      <c r="A235">
        <v>227</v>
      </c>
      <c r="B235" s="1">
        <v>14854</v>
      </c>
      <c r="C235" s="2">
        <v>282.21761897027193</v>
      </c>
      <c r="D235" s="2">
        <v>1</v>
      </c>
      <c r="E235">
        <f t="shared" si="11"/>
        <v>8</v>
      </c>
      <c r="F235">
        <f t="shared" si="12"/>
        <v>1940</v>
      </c>
      <c r="G235" s="2">
        <f t="shared" si="13"/>
        <v>0</v>
      </c>
    </row>
    <row r="236" spans="1:7" x14ac:dyDescent="0.25">
      <c r="A236">
        <v>228</v>
      </c>
      <c r="B236" s="1">
        <v>14884</v>
      </c>
      <c r="C236" s="2">
        <v>245.18670139121076</v>
      </c>
      <c r="D236" s="2">
        <v>1</v>
      </c>
      <c r="E236">
        <f t="shared" si="11"/>
        <v>9</v>
      </c>
      <c r="F236">
        <f t="shared" si="12"/>
        <v>1940</v>
      </c>
      <c r="G236" s="2">
        <f t="shared" si="13"/>
        <v>0</v>
      </c>
    </row>
    <row r="237" spans="1:7" x14ac:dyDescent="0.25">
      <c r="A237">
        <v>229</v>
      </c>
      <c r="B237" s="1">
        <v>14915</v>
      </c>
      <c r="C237" s="2">
        <v>208.40764336055321</v>
      </c>
      <c r="D237" s="2">
        <v>0.99999999999999989</v>
      </c>
      <c r="E237">
        <f t="shared" si="11"/>
        <v>10</v>
      </c>
      <c r="F237">
        <f t="shared" si="12"/>
        <v>1940</v>
      </c>
      <c r="G237" s="2">
        <f t="shared" si="13"/>
        <v>0</v>
      </c>
    </row>
    <row r="238" spans="1:7" x14ac:dyDescent="0.25">
      <c r="A238">
        <v>230</v>
      </c>
      <c r="B238" s="1">
        <v>14945</v>
      </c>
      <c r="C238" s="2">
        <v>139.9081154259168</v>
      </c>
      <c r="D238" s="2">
        <v>1</v>
      </c>
      <c r="E238">
        <f t="shared" si="11"/>
        <v>11</v>
      </c>
      <c r="F238">
        <f t="shared" si="12"/>
        <v>1940</v>
      </c>
      <c r="G238" s="2">
        <f t="shared" si="13"/>
        <v>0</v>
      </c>
    </row>
    <row r="239" spans="1:7" x14ac:dyDescent="0.25">
      <c r="A239">
        <v>231</v>
      </c>
      <c r="B239" s="1">
        <v>14976</v>
      </c>
      <c r="C239" s="2">
        <v>100.09781597435999</v>
      </c>
      <c r="D239" s="2">
        <v>1</v>
      </c>
      <c r="E239">
        <f t="shared" si="11"/>
        <v>12</v>
      </c>
      <c r="F239">
        <f t="shared" si="12"/>
        <v>1940</v>
      </c>
      <c r="G239" s="2">
        <f t="shared" si="13"/>
        <v>0</v>
      </c>
    </row>
    <row r="240" spans="1:7" x14ac:dyDescent="0.25">
      <c r="A240">
        <v>232</v>
      </c>
      <c r="B240" s="1">
        <v>15007</v>
      </c>
      <c r="C240" s="2">
        <v>94.480039683665979</v>
      </c>
      <c r="D240" s="2">
        <v>1</v>
      </c>
      <c r="E240">
        <f t="shared" si="11"/>
        <v>1</v>
      </c>
      <c r="F240">
        <f t="shared" si="12"/>
        <v>1941</v>
      </c>
      <c r="G240" s="2">
        <f t="shared" si="13"/>
        <v>0</v>
      </c>
    </row>
    <row r="241" spans="1:7" x14ac:dyDescent="0.25">
      <c r="A241">
        <v>233</v>
      </c>
      <c r="B241" s="1">
        <v>15035</v>
      </c>
      <c r="C241" s="2">
        <v>108.63618759646828</v>
      </c>
      <c r="D241" s="2">
        <v>1</v>
      </c>
      <c r="E241">
        <f t="shared" si="11"/>
        <v>2</v>
      </c>
      <c r="F241">
        <f t="shared" si="12"/>
        <v>1941</v>
      </c>
      <c r="G241" s="2">
        <f t="shared" si="13"/>
        <v>6033.3486003989001</v>
      </c>
    </row>
    <row r="242" spans="1:7" x14ac:dyDescent="0.25">
      <c r="A242">
        <v>234</v>
      </c>
      <c r="B242" s="1">
        <v>15066</v>
      </c>
      <c r="C242" s="2">
        <v>95.988743796674981</v>
      </c>
      <c r="D242" s="2">
        <v>1</v>
      </c>
      <c r="E242">
        <f t="shared" si="11"/>
        <v>3</v>
      </c>
      <c r="F242">
        <f t="shared" si="12"/>
        <v>1941</v>
      </c>
      <c r="G242" s="2">
        <f t="shared" si="13"/>
        <v>5902.1178003905934</v>
      </c>
    </row>
    <row r="243" spans="1:7" x14ac:dyDescent="0.25">
      <c r="A243">
        <v>235</v>
      </c>
      <c r="B243" s="1">
        <v>15096</v>
      </c>
      <c r="C243" s="2">
        <v>127.84175342511905</v>
      </c>
      <c r="D243" s="2">
        <v>1</v>
      </c>
      <c r="E243">
        <f t="shared" si="11"/>
        <v>4</v>
      </c>
      <c r="F243">
        <f t="shared" si="12"/>
        <v>1941</v>
      </c>
      <c r="G243" s="2">
        <f t="shared" si="13"/>
        <v>0</v>
      </c>
    </row>
    <row r="244" spans="1:7" x14ac:dyDescent="0.25">
      <c r="A244">
        <v>236</v>
      </c>
      <c r="B244" s="1">
        <v>15127</v>
      </c>
      <c r="C244" s="2">
        <v>173.69722718890344</v>
      </c>
      <c r="D244" s="2">
        <v>1</v>
      </c>
      <c r="E244">
        <f t="shared" si="11"/>
        <v>5</v>
      </c>
      <c r="F244">
        <f t="shared" si="12"/>
        <v>1941</v>
      </c>
      <c r="G244" s="2">
        <f t="shared" si="13"/>
        <v>0</v>
      </c>
    </row>
    <row r="245" spans="1:7" x14ac:dyDescent="0.25">
      <c r="A245">
        <v>237</v>
      </c>
      <c r="B245" s="1">
        <v>15157</v>
      </c>
      <c r="C245" s="2">
        <v>230.63820084858216</v>
      </c>
      <c r="D245" s="2">
        <v>1</v>
      </c>
      <c r="E245">
        <f t="shared" si="11"/>
        <v>6</v>
      </c>
      <c r="F245">
        <f t="shared" si="12"/>
        <v>1941</v>
      </c>
      <c r="G245" s="2">
        <f t="shared" si="13"/>
        <v>0</v>
      </c>
    </row>
    <row r="246" spans="1:7" x14ac:dyDescent="0.25">
      <c r="A246">
        <v>238</v>
      </c>
      <c r="B246" s="1">
        <v>15188</v>
      </c>
      <c r="C246" s="2">
        <v>271.71188667119026</v>
      </c>
      <c r="D246" s="2">
        <v>1</v>
      </c>
      <c r="E246">
        <f t="shared" si="11"/>
        <v>7</v>
      </c>
      <c r="F246">
        <f t="shared" si="12"/>
        <v>1941</v>
      </c>
      <c r="G246" s="2">
        <f t="shared" si="13"/>
        <v>0</v>
      </c>
    </row>
    <row r="247" spans="1:7" x14ac:dyDescent="0.25">
      <c r="A247">
        <v>239</v>
      </c>
      <c r="B247" s="1">
        <v>15219</v>
      </c>
      <c r="C247" s="2">
        <v>282.21761897027193</v>
      </c>
      <c r="D247" s="2">
        <v>1</v>
      </c>
      <c r="E247">
        <f t="shared" si="11"/>
        <v>8</v>
      </c>
      <c r="F247">
        <f t="shared" si="12"/>
        <v>1941</v>
      </c>
      <c r="G247" s="2">
        <f t="shared" si="13"/>
        <v>0</v>
      </c>
    </row>
    <row r="248" spans="1:7" x14ac:dyDescent="0.25">
      <c r="A248">
        <v>240</v>
      </c>
      <c r="B248" s="1">
        <v>15249</v>
      </c>
      <c r="C248" s="2">
        <v>245.18670139121073</v>
      </c>
      <c r="D248" s="2">
        <v>1</v>
      </c>
      <c r="E248">
        <f t="shared" si="11"/>
        <v>9</v>
      </c>
      <c r="F248">
        <f t="shared" si="12"/>
        <v>1941</v>
      </c>
      <c r="G248" s="2">
        <f t="shared" si="13"/>
        <v>0</v>
      </c>
    </row>
    <row r="249" spans="1:7" x14ac:dyDescent="0.25">
      <c r="A249">
        <v>241</v>
      </c>
      <c r="B249" s="1">
        <v>15280</v>
      </c>
      <c r="C249" s="2">
        <v>208.40764336055324</v>
      </c>
      <c r="D249" s="2">
        <v>1</v>
      </c>
      <c r="E249">
        <f t="shared" si="11"/>
        <v>10</v>
      </c>
      <c r="F249">
        <f t="shared" si="12"/>
        <v>1941</v>
      </c>
      <c r="G249" s="2">
        <f t="shared" si="13"/>
        <v>0</v>
      </c>
    </row>
    <row r="250" spans="1:7" x14ac:dyDescent="0.25">
      <c r="A250">
        <v>242</v>
      </c>
      <c r="B250" s="1">
        <v>15310</v>
      </c>
      <c r="C250" s="2">
        <v>139.9081154259168</v>
      </c>
      <c r="D250" s="2">
        <v>0.99999999999999989</v>
      </c>
      <c r="E250">
        <f t="shared" si="11"/>
        <v>11</v>
      </c>
      <c r="F250">
        <f t="shared" si="12"/>
        <v>1941</v>
      </c>
      <c r="G250" s="2">
        <f t="shared" si="13"/>
        <v>0</v>
      </c>
    </row>
    <row r="251" spans="1:7" x14ac:dyDescent="0.25">
      <c r="A251">
        <v>243</v>
      </c>
      <c r="B251" s="1">
        <v>15341</v>
      </c>
      <c r="C251" s="2">
        <v>100.09781597435999</v>
      </c>
      <c r="D251" s="2">
        <v>1</v>
      </c>
      <c r="E251">
        <f t="shared" si="11"/>
        <v>12</v>
      </c>
      <c r="F251">
        <f t="shared" si="12"/>
        <v>1941</v>
      </c>
      <c r="G251" s="2">
        <f t="shared" si="13"/>
        <v>0</v>
      </c>
    </row>
    <row r="252" spans="1:7" x14ac:dyDescent="0.25">
      <c r="A252">
        <v>244</v>
      </c>
      <c r="B252" s="1">
        <v>15372</v>
      </c>
      <c r="C252" s="2">
        <v>94.480039683665979</v>
      </c>
      <c r="D252" s="2">
        <v>1</v>
      </c>
      <c r="E252">
        <f t="shared" si="11"/>
        <v>1</v>
      </c>
      <c r="F252">
        <f t="shared" si="12"/>
        <v>1942</v>
      </c>
      <c r="G252" s="2">
        <f t="shared" si="13"/>
        <v>0</v>
      </c>
    </row>
    <row r="253" spans="1:7" x14ac:dyDescent="0.25">
      <c r="A253">
        <v>245</v>
      </c>
      <c r="B253" s="1">
        <v>15400</v>
      </c>
      <c r="C253" s="2">
        <v>108.63618759646828</v>
      </c>
      <c r="D253" s="2">
        <v>1</v>
      </c>
      <c r="E253">
        <f t="shared" si="11"/>
        <v>2</v>
      </c>
      <c r="F253">
        <f t="shared" si="12"/>
        <v>1942</v>
      </c>
      <c r="G253" s="2">
        <f t="shared" si="13"/>
        <v>6033.3486003989001</v>
      </c>
    </row>
    <row r="254" spans="1:7" x14ac:dyDescent="0.25">
      <c r="A254">
        <v>246</v>
      </c>
      <c r="B254" s="1">
        <v>15431</v>
      </c>
      <c r="C254" s="2">
        <v>95.988743796674271</v>
      </c>
      <c r="D254" s="2">
        <v>1</v>
      </c>
      <c r="E254">
        <f t="shared" si="11"/>
        <v>3</v>
      </c>
      <c r="F254">
        <f t="shared" si="12"/>
        <v>1942</v>
      </c>
      <c r="G254" s="2">
        <f t="shared" si="13"/>
        <v>5902.1178003905507</v>
      </c>
    </row>
    <row r="255" spans="1:7" x14ac:dyDescent="0.25">
      <c r="A255">
        <v>247</v>
      </c>
      <c r="B255" s="1">
        <v>15461</v>
      </c>
      <c r="C255" s="2">
        <v>127.84175342511902</v>
      </c>
      <c r="D255" s="2">
        <v>1</v>
      </c>
      <c r="E255">
        <f t="shared" si="11"/>
        <v>4</v>
      </c>
      <c r="F255">
        <f t="shared" si="12"/>
        <v>1942</v>
      </c>
      <c r="G255" s="2">
        <f t="shared" si="13"/>
        <v>0</v>
      </c>
    </row>
    <row r="256" spans="1:7" x14ac:dyDescent="0.25">
      <c r="A256">
        <v>248</v>
      </c>
      <c r="B256" s="1">
        <v>15492</v>
      </c>
      <c r="C256" s="2">
        <v>173.69722718890344</v>
      </c>
      <c r="D256" s="2">
        <v>1</v>
      </c>
      <c r="E256">
        <f t="shared" si="11"/>
        <v>5</v>
      </c>
      <c r="F256">
        <f t="shared" si="12"/>
        <v>1942</v>
      </c>
      <c r="G256" s="2">
        <f t="shared" si="13"/>
        <v>0</v>
      </c>
    </row>
    <row r="257" spans="1:7" x14ac:dyDescent="0.25">
      <c r="A257">
        <v>249</v>
      </c>
      <c r="B257" s="1">
        <v>15522</v>
      </c>
      <c r="C257" s="2">
        <v>230.63820084858213</v>
      </c>
      <c r="D257" s="2">
        <v>1</v>
      </c>
      <c r="E257">
        <f t="shared" si="11"/>
        <v>6</v>
      </c>
      <c r="F257">
        <f t="shared" si="12"/>
        <v>1942</v>
      </c>
      <c r="G257" s="2">
        <f t="shared" si="13"/>
        <v>0</v>
      </c>
    </row>
    <row r="258" spans="1:7" x14ac:dyDescent="0.25">
      <c r="A258">
        <v>250</v>
      </c>
      <c r="B258" s="1">
        <v>15553</v>
      </c>
      <c r="C258" s="2">
        <v>271.71188667119026</v>
      </c>
      <c r="D258" s="2">
        <v>1</v>
      </c>
      <c r="E258">
        <f t="shared" si="11"/>
        <v>7</v>
      </c>
      <c r="F258">
        <f t="shared" si="12"/>
        <v>1942</v>
      </c>
      <c r="G258" s="2">
        <f t="shared" si="13"/>
        <v>0</v>
      </c>
    </row>
    <row r="259" spans="1:7" x14ac:dyDescent="0.25">
      <c r="A259">
        <v>251</v>
      </c>
      <c r="B259" s="1">
        <v>15584</v>
      </c>
      <c r="C259" s="2">
        <v>282.21761897027199</v>
      </c>
      <c r="D259" s="2">
        <v>1</v>
      </c>
      <c r="E259">
        <f t="shared" si="11"/>
        <v>8</v>
      </c>
      <c r="F259">
        <f t="shared" si="12"/>
        <v>1942</v>
      </c>
      <c r="G259" s="2">
        <f t="shared" si="13"/>
        <v>0</v>
      </c>
    </row>
    <row r="260" spans="1:7" x14ac:dyDescent="0.25">
      <c r="A260">
        <v>252</v>
      </c>
      <c r="B260" s="1">
        <v>15614</v>
      </c>
      <c r="C260" s="2">
        <v>245.18670139121073</v>
      </c>
      <c r="D260" s="2">
        <v>0.99999999999999989</v>
      </c>
      <c r="E260">
        <f t="shared" si="11"/>
        <v>9</v>
      </c>
      <c r="F260">
        <f t="shared" si="12"/>
        <v>1942</v>
      </c>
      <c r="G260" s="2">
        <f t="shared" si="13"/>
        <v>0</v>
      </c>
    </row>
    <row r="261" spans="1:7" x14ac:dyDescent="0.25">
      <c r="A261">
        <v>253</v>
      </c>
      <c r="B261" s="1">
        <v>15645</v>
      </c>
      <c r="C261" s="2">
        <v>208.40764336055324</v>
      </c>
      <c r="D261" s="2">
        <v>1</v>
      </c>
      <c r="E261">
        <f t="shared" si="11"/>
        <v>10</v>
      </c>
      <c r="F261">
        <f t="shared" si="12"/>
        <v>1942</v>
      </c>
      <c r="G261" s="2">
        <f t="shared" si="13"/>
        <v>0</v>
      </c>
    </row>
    <row r="262" spans="1:7" x14ac:dyDescent="0.25">
      <c r="A262">
        <v>254</v>
      </c>
      <c r="B262" s="1">
        <v>15675</v>
      </c>
      <c r="C262" s="2">
        <v>139.9081154259168</v>
      </c>
      <c r="D262" s="2">
        <v>1</v>
      </c>
      <c r="E262">
        <f t="shared" si="11"/>
        <v>11</v>
      </c>
      <c r="F262">
        <f t="shared" si="12"/>
        <v>1942</v>
      </c>
      <c r="G262" s="2">
        <f t="shared" si="13"/>
        <v>0</v>
      </c>
    </row>
    <row r="263" spans="1:7" x14ac:dyDescent="0.25">
      <c r="A263">
        <v>255</v>
      </c>
      <c r="B263" s="1">
        <v>15706</v>
      </c>
      <c r="C263" s="2">
        <v>100.09781597435999</v>
      </c>
      <c r="D263" s="2">
        <v>1</v>
      </c>
      <c r="E263">
        <f t="shared" si="11"/>
        <v>12</v>
      </c>
      <c r="F263">
        <f t="shared" si="12"/>
        <v>1942</v>
      </c>
      <c r="G263" s="2">
        <f t="shared" si="13"/>
        <v>0</v>
      </c>
    </row>
    <row r="264" spans="1:7" x14ac:dyDescent="0.25">
      <c r="A264">
        <v>256</v>
      </c>
      <c r="B264" s="1">
        <v>15737</v>
      </c>
      <c r="C264" s="2">
        <v>94.480039683665979</v>
      </c>
      <c r="D264" s="2">
        <v>1</v>
      </c>
      <c r="E264">
        <f t="shared" si="11"/>
        <v>1</v>
      </c>
      <c r="F264">
        <f t="shared" si="12"/>
        <v>1943</v>
      </c>
      <c r="G264" s="2">
        <f t="shared" si="13"/>
        <v>0</v>
      </c>
    </row>
    <row r="265" spans="1:7" x14ac:dyDescent="0.25">
      <c r="A265">
        <v>257</v>
      </c>
      <c r="B265" s="1">
        <v>15765</v>
      </c>
      <c r="C265" s="2">
        <v>108.63618759646828</v>
      </c>
      <c r="D265" s="2">
        <v>1</v>
      </c>
      <c r="E265">
        <f t="shared" si="11"/>
        <v>2</v>
      </c>
      <c r="F265">
        <f t="shared" si="12"/>
        <v>1943</v>
      </c>
      <c r="G265" s="2">
        <f t="shared" si="13"/>
        <v>6033.3486003989001</v>
      </c>
    </row>
    <row r="266" spans="1:7" x14ac:dyDescent="0.25">
      <c r="A266">
        <v>258</v>
      </c>
      <c r="B266" s="1">
        <v>15796</v>
      </c>
      <c r="C266" s="2">
        <v>95.988743796678264</v>
      </c>
      <c r="D266" s="2">
        <v>1</v>
      </c>
      <c r="E266">
        <f t="shared" ref="E266:E329" si="14">MONTH(B266)</f>
        <v>3</v>
      </c>
      <c r="F266">
        <f t="shared" ref="F266:F329" si="15">YEAR(B266)</f>
        <v>1943</v>
      </c>
      <c r="G266" s="2">
        <f t="shared" ref="G266:G329" si="16">IF(E266=2,C266*$G$5*28,IF(E266=3,C266*$G$5*31,0))</f>
        <v>5902.1178003907953</v>
      </c>
    </row>
    <row r="267" spans="1:7" x14ac:dyDescent="0.25">
      <c r="A267">
        <v>259</v>
      </c>
      <c r="B267" s="1">
        <v>15826</v>
      </c>
      <c r="C267" s="2">
        <v>127.84175342511904</v>
      </c>
      <c r="D267" s="2">
        <v>0.99999999999999989</v>
      </c>
      <c r="E267">
        <f t="shared" si="14"/>
        <v>4</v>
      </c>
      <c r="F267">
        <f t="shared" si="15"/>
        <v>1943</v>
      </c>
      <c r="G267" s="2">
        <f t="shared" si="16"/>
        <v>0</v>
      </c>
    </row>
    <row r="268" spans="1:7" x14ac:dyDescent="0.25">
      <c r="A268">
        <v>260</v>
      </c>
      <c r="B268" s="1">
        <v>15857</v>
      </c>
      <c r="C268" s="2">
        <v>173.69722718890347</v>
      </c>
      <c r="D268" s="2">
        <v>1</v>
      </c>
      <c r="E268">
        <f t="shared" si="14"/>
        <v>5</v>
      </c>
      <c r="F268">
        <f t="shared" si="15"/>
        <v>1943</v>
      </c>
      <c r="G268" s="2">
        <f t="shared" si="16"/>
        <v>0</v>
      </c>
    </row>
    <row r="269" spans="1:7" x14ac:dyDescent="0.25">
      <c r="A269">
        <v>261</v>
      </c>
      <c r="B269" s="1">
        <v>15887</v>
      </c>
      <c r="C269" s="2">
        <v>230.63820084858216</v>
      </c>
      <c r="D269" s="2">
        <v>1</v>
      </c>
      <c r="E269">
        <f t="shared" si="14"/>
        <v>6</v>
      </c>
      <c r="F269">
        <f t="shared" si="15"/>
        <v>1943</v>
      </c>
      <c r="G269" s="2">
        <f t="shared" si="16"/>
        <v>0</v>
      </c>
    </row>
    <row r="270" spans="1:7" x14ac:dyDescent="0.25">
      <c r="A270">
        <v>262</v>
      </c>
      <c r="B270" s="1">
        <v>15918</v>
      </c>
      <c r="C270" s="2">
        <v>271.7118866711902</v>
      </c>
      <c r="D270" s="2">
        <v>1</v>
      </c>
      <c r="E270">
        <f t="shared" si="14"/>
        <v>7</v>
      </c>
      <c r="F270">
        <f t="shared" si="15"/>
        <v>1943</v>
      </c>
      <c r="G270" s="2">
        <f t="shared" si="16"/>
        <v>0</v>
      </c>
    </row>
    <row r="271" spans="1:7" x14ac:dyDescent="0.25">
      <c r="A271">
        <v>263</v>
      </c>
      <c r="B271" s="1">
        <v>15949</v>
      </c>
      <c r="C271" s="2">
        <v>282.21761897027193</v>
      </c>
      <c r="D271" s="2">
        <v>1</v>
      </c>
      <c r="E271">
        <f t="shared" si="14"/>
        <v>8</v>
      </c>
      <c r="F271">
        <f t="shared" si="15"/>
        <v>1943</v>
      </c>
      <c r="G271" s="2">
        <f t="shared" si="16"/>
        <v>0</v>
      </c>
    </row>
    <row r="272" spans="1:7" x14ac:dyDescent="0.25">
      <c r="A272">
        <v>264</v>
      </c>
      <c r="B272" s="1">
        <v>15979</v>
      </c>
      <c r="C272" s="2">
        <v>245.1867013912107</v>
      </c>
      <c r="D272" s="2">
        <v>0.99999999999999989</v>
      </c>
      <c r="E272">
        <f t="shared" si="14"/>
        <v>9</v>
      </c>
      <c r="F272">
        <f t="shared" si="15"/>
        <v>1943</v>
      </c>
      <c r="G272" s="2">
        <f t="shared" si="16"/>
        <v>0</v>
      </c>
    </row>
    <row r="273" spans="1:7" x14ac:dyDescent="0.25">
      <c r="A273">
        <v>265</v>
      </c>
      <c r="B273" s="1">
        <v>16010</v>
      </c>
      <c r="C273" s="2">
        <v>208.40764336055318</v>
      </c>
      <c r="D273" s="2">
        <v>1</v>
      </c>
      <c r="E273">
        <f t="shared" si="14"/>
        <v>10</v>
      </c>
      <c r="F273">
        <f t="shared" si="15"/>
        <v>1943</v>
      </c>
      <c r="G273" s="2">
        <f t="shared" si="16"/>
        <v>0</v>
      </c>
    </row>
    <row r="274" spans="1:7" x14ac:dyDescent="0.25">
      <c r="A274">
        <v>266</v>
      </c>
      <c r="B274" s="1">
        <v>16040</v>
      </c>
      <c r="C274" s="2">
        <v>139.9081154259168</v>
      </c>
      <c r="D274" s="2">
        <v>1</v>
      </c>
      <c r="E274">
        <f t="shared" si="14"/>
        <v>11</v>
      </c>
      <c r="F274">
        <f t="shared" si="15"/>
        <v>1943</v>
      </c>
      <c r="G274" s="2">
        <f t="shared" si="16"/>
        <v>0</v>
      </c>
    </row>
    <row r="275" spans="1:7" x14ac:dyDescent="0.25">
      <c r="A275">
        <v>267</v>
      </c>
      <c r="B275" s="1">
        <v>16071</v>
      </c>
      <c r="C275" s="2">
        <v>100.09781597435999</v>
      </c>
      <c r="D275" s="2">
        <v>1</v>
      </c>
      <c r="E275">
        <f t="shared" si="14"/>
        <v>12</v>
      </c>
      <c r="F275">
        <f t="shared" si="15"/>
        <v>1943</v>
      </c>
      <c r="G275" s="2">
        <f t="shared" si="16"/>
        <v>0</v>
      </c>
    </row>
    <row r="276" spans="1:7" x14ac:dyDescent="0.25">
      <c r="A276">
        <v>268</v>
      </c>
      <c r="B276" s="1">
        <v>16102</v>
      </c>
      <c r="C276" s="2">
        <v>94.480039683665979</v>
      </c>
      <c r="D276" s="2">
        <v>1</v>
      </c>
      <c r="E276">
        <f t="shared" si="14"/>
        <v>1</v>
      </c>
      <c r="F276">
        <f t="shared" si="15"/>
        <v>1944</v>
      </c>
      <c r="G276" s="2">
        <f t="shared" si="16"/>
        <v>0</v>
      </c>
    </row>
    <row r="277" spans="1:7" x14ac:dyDescent="0.25">
      <c r="A277">
        <v>269</v>
      </c>
      <c r="B277" s="1">
        <v>16131</v>
      </c>
      <c r="C277" s="2">
        <v>104.89011216210731</v>
      </c>
      <c r="D277" s="2">
        <v>0.88037543937420681</v>
      </c>
      <c r="E277">
        <f t="shared" si="14"/>
        <v>2</v>
      </c>
      <c r="F277">
        <f t="shared" si="15"/>
        <v>1944</v>
      </c>
      <c r="G277" s="2">
        <f t="shared" si="16"/>
        <v>5825.302096936869</v>
      </c>
    </row>
    <row r="278" spans="1:7" x14ac:dyDescent="0.25">
      <c r="A278">
        <v>270</v>
      </c>
      <c r="B278" s="1">
        <v>16162</v>
      </c>
      <c r="C278" s="2">
        <v>123.59371307269558</v>
      </c>
      <c r="D278" s="2">
        <v>0.50599272734573142</v>
      </c>
      <c r="E278">
        <f t="shared" si="14"/>
        <v>3</v>
      </c>
      <c r="F278">
        <f t="shared" si="15"/>
        <v>1944</v>
      </c>
      <c r="G278" s="2">
        <f t="shared" si="16"/>
        <v>7599.4812005029344</v>
      </c>
    </row>
    <row r="279" spans="1:7" x14ac:dyDescent="0.25">
      <c r="A279">
        <v>271</v>
      </c>
      <c r="B279" s="1">
        <v>16192</v>
      </c>
      <c r="C279" s="2">
        <v>181.23525201198248</v>
      </c>
      <c r="D279" s="2">
        <v>0.67001090511315198</v>
      </c>
      <c r="E279">
        <f t="shared" si="14"/>
        <v>4</v>
      </c>
      <c r="F279">
        <f t="shared" si="15"/>
        <v>1944</v>
      </c>
      <c r="G279" s="2">
        <f t="shared" si="16"/>
        <v>0</v>
      </c>
    </row>
    <row r="280" spans="1:7" x14ac:dyDescent="0.25">
      <c r="A280">
        <v>272</v>
      </c>
      <c r="B280" s="1">
        <v>16223</v>
      </c>
      <c r="C280" s="2">
        <v>220.07156033713082</v>
      </c>
      <c r="D280" s="2">
        <v>0.75</v>
      </c>
      <c r="E280">
        <f t="shared" si="14"/>
        <v>5</v>
      </c>
      <c r="F280">
        <f t="shared" si="15"/>
        <v>1944</v>
      </c>
      <c r="G280" s="2">
        <f t="shared" si="16"/>
        <v>0</v>
      </c>
    </row>
    <row r="281" spans="1:7" x14ac:dyDescent="0.25">
      <c r="A281">
        <v>273</v>
      </c>
      <c r="B281" s="1">
        <v>16253</v>
      </c>
      <c r="C281" s="2">
        <v>257.70906701703865</v>
      </c>
      <c r="D281" s="2">
        <v>0.74999999999999989</v>
      </c>
      <c r="E281">
        <f t="shared" si="14"/>
        <v>6</v>
      </c>
      <c r="F281">
        <f t="shared" si="15"/>
        <v>1944</v>
      </c>
      <c r="G281" s="2">
        <f t="shared" si="16"/>
        <v>0</v>
      </c>
    </row>
    <row r="282" spans="1:7" x14ac:dyDescent="0.25">
      <c r="A282">
        <v>274</v>
      </c>
      <c r="B282" s="1">
        <v>16284</v>
      </c>
      <c r="C282" s="2">
        <v>288.24290179325095</v>
      </c>
      <c r="D282" s="2">
        <v>0.74999999999999989</v>
      </c>
      <c r="E282">
        <f t="shared" si="14"/>
        <v>7</v>
      </c>
      <c r="F282">
        <f t="shared" si="15"/>
        <v>1944</v>
      </c>
      <c r="G282" s="2">
        <f t="shared" si="16"/>
        <v>0</v>
      </c>
    </row>
    <row r="283" spans="1:7" x14ac:dyDescent="0.25">
      <c r="A283">
        <v>275</v>
      </c>
      <c r="B283" s="1">
        <v>16315</v>
      </c>
      <c r="C283" s="2">
        <v>279.99483921206041</v>
      </c>
      <c r="D283" s="2">
        <v>0.75</v>
      </c>
      <c r="E283">
        <f t="shared" si="14"/>
        <v>8</v>
      </c>
      <c r="F283">
        <f t="shared" si="15"/>
        <v>1944</v>
      </c>
      <c r="G283" s="2">
        <f t="shared" si="16"/>
        <v>0</v>
      </c>
    </row>
    <row r="284" spans="1:7" x14ac:dyDescent="0.25">
      <c r="A284">
        <v>276</v>
      </c>
      <c r="B284" s="1">
        <v>16345</v>
      </c>
      <c r="C284" s="2">
        <v>253.56663201676477</v>
      </c>
      <c r="D284" s="2">
        <v>0.75</v>
      </c>
      <c r="E284">
        <f t="shared" si="14"/>
        <v>9</v>
      </c>
      <c r="F284">
        <f t="shared" si="15"/>
        <v>1944</v>
      </c>
      <c r="G284" s="2">
        <f t="shared" si="16"/>
        <v>0</v>
      </c>
    </row>
    <row r="285" spans="1:7" x14ac:dyDescent="0.25">
      <c r="A285">
        <v>277</v>
      </c>
      <c r="B285" s="1">
        <v>16376</v>
      </c>
      <c r="C285" s="2">
        <v>216.07475469170527</v>
      </c>
      <c r="D285" s="2">
        <v>0.74999999999999989</v>
      </c>
      <c r="E285">
        <f t="shared" si="14"/>
        <v>10</v>
      </c>
      <c r="F285">
        <f t="shared" si="15"/>
        <v>1944</v>
      </c>
      <c r="G285" s="2">
        <f t="shared" si="16"/>
        <v>0</v>
      </c>
    </row>
    <row r="286" spans="1:7" x14ac:dyDescent="0.25">
      <c r="A286">
        <v>278</v>
      </c>
      <c r="B286" s="1">
        <v>16406</v>
      </c>
      <c r="C286" s="2">
        <v>174.85540601156069</v>
      </c>
      <c r="D286" s="2">
        <v>0.75</v>
      </c>
      <c r="E286">
        <f t="shared" si="14"/>
        <v>11</v>
      </c>
      <c r="F286">
        <f t="shared" si="15"/>
        <v>1944</v>
      </c>
      <c r="G286" s="2">
        <f t="shared" si="16"/>
        <v>0</v>
      </c>
    </row>
    <row r="287" spans="1:7" x14ac:dyDescent="0.25">
      <c r="A287">
        <v>279</v>
      </c>
      <c r="B287" s="1">
        <v>16437</v>
      </c>
      <c r="C287" s="2">
        <v>153.1868782359345</v>
      </c>
      <c r="D287" s="2">
        <v>0.75</v>
      </c>
      <c r="E287">
        <f t="shared" si="14"/>
        <v>12</v>
      </c>
      <c r="F287">
        <f t="shared" si="15"/>
        <v>1944</v>
      </c>
      <c r="G287" s="2">
        <f t="shared" si="16"/>
        <v>0</v>
      </c>
    </row>
    <row r="288" spans="1:7" x14ac:dyDescent="0.25">
      <c r="A288">
        <v>280</v>
      </c>
      <c r="B288" s="1">
        <v>16468</v>
      </c>
      <c r="C288" s="2">
        <v>148.33069936464571</v>
      </c>
      <c r="D288" s="2">
        <v>0.75</v>
      </c>
      <c r="E288">
        <f t="shared" si="14"/>
        <v>1</v>
      </c>
      <c r="F288">
        <f t="shared" si="15"/>
        <v>1945</v>
      </c>
      <c r="G288" s="2">
        <f t="shared" si="16"/>
        <v>0</v>
      </c>
    </row>
    <row r="289" spans="1:7" x14ac:dyDescent="0.25">
      <c r="A289">
        <v>281</v>
      </c>
      <c r="B289" s="1">
        <v>16496</v>
      </c>
      <c r="C289" s="2">
        <v>145.70191233106178</v>
      </c>
      <c r="D289" s="2">
        <v>0.56961866223628477</v>
      </c>
      <c r="E289">
        <f t="shared" si="14"/>
        <v>2</v>
      </c>
      <c r="F289">
        <f t="shared" si="15"/>
        <v>1945</v>
      </c>
      <c r="G289" s="2">
        <f t="shared" si="16"/>
        <v>8091.8748005350008</v>
      </c>
    </row>
    <row r="290" spans="1:7" x14ac:dyDescent="0.25">
      <c r="A290">
        <v>282</v>
      </c>
      <c r="B290" s="1">
        <v>16527</v>
      </c>
      <c r="C290" s="2">
        <v>106.88716825976135</v>
      </c>
      <c r="D290" s="2">
        <v>0.5</v>
      </c>
      <c r="E290">
        <f t="shared" si="14"/>
        <v>3</v>
      </c>
      <c r="F290">
        <f t="shared" si="15"/>
        <v>1945</v>
      </c>
      <c r="G290" s="2">
        <f t="shared" si="16"/>
        <v>6572.2358004349135</v>
      </c>
    </row>
    <row r="291" spans="1:7" x14ac:dyDescent="0.25">
      <c r="A291">
        <v>283</v>
      </c>
      <c r="B291" s="1">
        <v>16557</v>
      </c>
      <c r="C291" s="2">
        <v>155.35965745471617</v>
      </c>
      <c r="D291" s="2">
        <v>0.85350059587543436</v>
      </c>
      <c r="E291">
        <f t="shared" si="14"/>
        <v>4</v>
      </c>
      <c r="F291">
        <f t="shared" si="15"/>
        <v>1945</v>
      </c>
      <c r="G291" s="2">
        <f t="shared" si="16"/>
        <v>0</v>
      </c>
    </row>
    <row r="292" spans="1:7" x14ac:dyDescent="0.25">
      <c r="A292">
        <v>284</v>
      </c>
      <c r="B292" s="1">
        <v>16588</v>
      </c>
      <c r="C292" s="2">
        <v>189.91672423298658</v>
      </c>
      <c r="D292" s="2">
        <v>0.85350059587543425</v>
      </c>
      <c r="E292">
        <f t="shared" si="14"/>
        <v>5</v>
      </c>
      <c r="F292">
        <f t="shared" si="15"/>
        <v>1945</v>
      </c>
      <c r="G292" s="2">
        <f t="shared" si="16"/>
        <v>0</v>
      </c>
    </row>
    <row r="293" spans="1:7" x14ac:dyDescent="0.25">
      <c r="A293">
        <v>285</v>
      </c>
      <c r="B293" s="1">
        <v>16618</v>
      </c>
      <c r="C293" s="2">
        <v>249.94227532208066</v>
      </c>
      <c r="D293" s="2">
        <v>0.85350059587543425</v>
      </c>
      <c r="E293">
        <f t="shared" si="14"/>
        <v>6</v>
      </c>
      <c r="F293">
        <f t="shared" si="15"/>
        <v>1945</v>
      </c>
      <c r="G293" s="2">
        <f t="shared" si="16"/>
        <v>0</v>
      </c>
    </row>
    <row r="294" spans="1:7" x14ac:dyDescent="0.25">
      <c r="A294">
        <v>286</v>
      </c>
      <c r="B294" s="1">
        <v>16649</v>
      </c>
      <c r="C294" s="2">
        <v>278.83348316359661</v>
      </c>
      <c r="D294" s="2">
        <v>0.85350059587543425</v>
      </c>
      <c r="E294">
        <f t="shared" si="14"/>
        <v>7</v>
      </c>
      <c r="F294">
        <f t="shared" si="15"/>
        <v>1945</v>
      </c>
      <c r="G294" s="2">
        <f t="shared" si="16"/>
        <v>0</v>
      </c>
    </row>
    <row r="295" spans="1:7" x14ac:dyDescent="0.25">
      <c r="A295">
        <v>287</v>
      </c>
      <c r="B295" s="1">
        <v>16680</v>
      </c>
      <c r="C295" s="2">
        <v>281.64601106700837</v>
      </c>
      <c r="D295" s="2">
        <v>0.85350059587543425</v>
      </c>
      <c r="E295">
        <f t="shared" si="14"/>
        <v>8</v>
      </c>
      <c r="F295">
        <f t="shared" si="15"/>
        <v>1945</v>
      </c>
      <c r="G295" s="2">
        <f t="shared" si="16"/>
        <v>0</v>
      </c>
    </row>
    <row r="296" spans="1:7" x14ac:dyDescent="0.25">
      <c r="A296">
        <v>288</v>
      </c>
      <c r="B296" s="1">
        <v>16710</v>
      </c>
      <c r="C296" s="2">
        <v>247.80503551638375</v>
      </c>
      <c r="D296" s="2">
        <v>0.85350059587543414</v>
      </c>
      <c r="E296">
        <f t="shared" si="14"/>
        <v>9</v>
      </c>
      <c r="F296">
        <f t="shared" si="15"/>
        <v>1945</v>
      </c>
      <c r="G296" s="2">
        <f t="shared" si="16"/>
        <v>0</v>
      </c>
    </row>
    <row r="297" spans="1:7" x14ac:dyDescent="0.25">
      <c r="A297">
        <v>289</v>
      </c>
      <c r="B297" s="1">
        <v>16741</v>
      </c>
      <c r="C297" s="2">
        <v>213.68325149262242</v>
      </c>
      <c r="D297" s="2">
        <v>0.85350059587543425</v>
      </c>
      <c r="E297">
        <f t="shared" si="14"/>
        <v>10</v>
      </c>
      <c r="F297">
        <f t="shared" si="15"/>
        <v>1945</v>
      </c>
      <c r="G297" s="2">
        <f t="shared" si="16"/>
        <v>0</v>
      </c>
    </row>
    <row r="298" spans="1:7" x14ac:dyDescent="0.25">
      <c r="A298">
        <v>290</v>
      </c>
      <c r="B298" s="1">
        <v>16771</v>
      </c>
      <c r="C298" s="2">
        <v>158.89264570494973</v>
      </c>
      <c r="D298" s="2">
        <v>0.85350059587543414</v>
      </c>
      <c r="E298">
        <f t="shared" si="14"/>
        <v>11</v>
      </c>
      <c r="F298">
        <f t="shared" si="15"/>
        <v>1945</v>
      </c>
      <c r="G298" s="2">
        <f t="shared" si="16"/>
        <v>0</v>
      </c>
    </row>
    <row r="299" spans="1:7" x14ac:dyDescent="0.25">
      <c r="A299">
        <v>291</v>
      </c>
      <c r="B299" s="1">
        <v>16802</v>
      </c>
      <c r="C299" s="2">
        <v>140.71970178349733</v>
      </c>
      <c r="D299" s="2">
        <v>0.85350059587543425</v>
      </c>
      <c r="E299">
        <f t="shared" si="14"/>
        <v>12</v>
      </c>
      <c r="F299">
        <f t="shared" si="15"/>
        <v>1945</v>
      </c>
      <c r="G299" s="2">
        <f t="shared" si="16"/>
        <v>0</v>
      </c>
    </row>
    <row r="300" spans="1:7" x14ac:dyDescent="0.25">
      <c r="A300">
        <v>292</v>
      </c>
      <c r="B300" s="1">
        <v>16833</v>
      </c>
      <c r="C300" s="2">
        <v>120.71654124454039</v>
      </c>
      <c r="D300" s="2">
        <v>0.85350059587543425</v>
      </c>
      <c r="E300">
        <f t="shared" si="14"/>
        <v>1</v>
      </c>
      <c r="F300">
        <f t="shared" si="15"/>
        <v>1946</v>
      </c>
      <c r="G300" s="2">
        <f t="shared" si="16"/>
        <v>0</v>
      </c>
    </row>
    <row r="301" spans="1:7" x14ac:dyDescent="0.25">
      <c r="A301">
        <v>293</v>
      </c>
      <c r="B301" s="1">
        <v>16861</v>
      </c>
      <c r="C301" s="2">
        <v>114.45563578137684</v>
      </c>
      <c r="D301" s="2">
        <v>0.85350059587543425</v>
      </c>
      <c r="E301">
        <f t="shared" si="14"/>
        <v>2</v>
      </c>
      <c r="F301">
        <f t="shared" si="15"/>
        <v>1946</v>
      </c>
      <c r="G301" s="2">
        <f t="shared" si="16"/>
        <v>6356.5444004202673</v>
      </c>
    </row>
    <row r="302" spans="1:7" x14ac:dyDescent="0.25">
      <c r="A302">
        <v>294</v>
      </c>
      <c r="B302" s="1">
        <v>16892</v>
      </c>
      <c r="C302" s="2">
        <v>96.914806888139083</v>
      </c>
      <c r="D302" s="2">
        <v>0.88176505098838065</v>
      </c>
      <c r="E302">
        <f t="shared" si="14"/>
        <v>3</v>
      </c>
      <c r="F302">
        <f t="shared" si="15"/>
        <v>1946</v>
      </c>
      <c r="G302" s="2">
        <f t="shared" si="16"/>
        <v>5959.0592003946676</v>
      </c>
    </row>
    <row r="303" spans="1:7" x14ac:dyDescent="0.25">
      <c r="A303">
        <v>295</v>
      </c>
      <c r="B303" s="1">
        <v>16922</v>
      </c>
      <c r="C303" s="2">
        <v>140.91721845376131</v>
      </c>
      <c r="D303" s="2">
        <v>1</v>
      </c>
      <c r="E303">
        <f t="shared" si="14"/>
        <v>4</v>
      </c>
      <c r="F303">
        <f t="shared" si="15"/>
        <v>1946</v>
      </c>
      <c r="G303" s="2">
        <f t="shared" si="16"/>
        <v>0</v>
      </c>
    </row>
    <row r="304" spans="1:7" x14ac:dyDescent="0.25">
      <c r="A304">
        <v>296</v>
      </c>
      <c r="B304" s="1">
        <v>16953</v>
      </c>
      <c r="C304" s="2">
        <v>189.91672423298658</v>
      </c>
      <c r="D304" s="2">
        <v>0.99999999999999989</v>
      </c>
      <c r="E304">
        <f t="shared" si="14"/>
        <v>5</v>
      </c>
      <c r="F304">
        <f t="shared" si="15"/>
        <v>1946</v>
      </c>
      <c r="G304" s="2">
        <f t="shared" si="16"/>
        <v>0</v>
      </c>
    </row>
    <row r="305" spans="1:7" x14ac:dyDescent="0.25">
      <c r="A305">
        <v>297</v>
      </c>
      <c r="B305" s="1">
        <v>16983</v>
      </c>
      <c r="C305" s="2">
        <v>249.94227532208066</v>
      </c>
      <c r="D305" s="2">
        <v>1</v>
      </c>
      <c r="E305">
        <f t="shared" si="14"/>
        <v>6</v>
      </c>
      <c r="F305">
        <f t="shared" si="15"/>
        <v>1946</v>
      </c>
      <c r="G305" s="2">
        <f t="shared" si="16"/>
        <v>0</v>
      </c>
    </row>
    <row r="306" spans="1:7" x14ac:dyDescent="0.25">
      <c r="A306">
        <v>298</v>
      </c>
      <c r="B306" s="1">
        <v>17014</v>
      </c>
      <c r="C306" s="2">
        <v>278.83348316359655</v>
      </c>
      <c r="D306" s="2">
        <v>0.99999999999999989</v>
      </c>
      <c r="E306">
        <f t="shared" si="14"/>
        <v>7</v>
      </c>
      <c r="F306">
        <f t="shared" si="15"/>
        <v>1946</v>
      </c>
      <c r="G306" s="2">
        <f t="shared" si="16"/>
        <v>0</v>
      </c>
    </row>
    <row r="307" spans="1:7" x14ac:dyDescent="0.25">
      <c r="A307">
        <v>299</v>
      </c>
      <c r="B307" s="1">
        <v>17045</v>
      </c>
      <c r="C307" s="2">
        <v>281.64601106700837</v>
      </c>
      <c r="D307" s="2">
        <v>1</v>
      </c>
      <c r="E307">
        <f t="shared" si="14"/>
        <v>8</v>
      </c>
      <c r="F307">
        <f t="shared" si="15"/>
        <v>1946</v>
      </c>
      <c r="G307" s="2">
        <f t="shared" si="16"/>
        <v>0</v>
      </c>
    </row>
    <row r="308" spans="1:7" x14ac:dyDescent="0.25">
      <c r="A308">
        <v>300</v>
      </c>
      <c r="B308" s="1">
        <v>17075</v>
      </c>
      <c r="C308" s="2">
        <v>247.80503551638381</v>
      </c>
      <c r="D308" s="2">
        <v>1</v>
      </c>
      <c r="E308">
        <f t="shared" si="14"/>
        <v>9</v>
      </c>
      <c r="F308">
        <f t="shared" si="15"/>
        <v>1946</v>
      </c>
      <c r="G308" s="2">
        <f t="shared" si="16"/>
        <v>0</v>
      </c>
    </row>
    <row r="309" spans="1:7" x14ac:dyDescent="0.25">
      <c r="A309">
        <v>301</v>
      </c>
      <c r="B309" s="1">
        <v>17106</v>
      </c>
      <c r="C309" s="2">
        <v>213.68325149262242</v>
      </c>
      <c r="D309" s="2">
        <v>1</v>
      </c>
      <c r="E309">
        <f t="shared" si="14"/>
        <v>10</v>
      </c>
      <c r="F309">
        <f t="shared" si="15"/>
        <v>1946</v>
      </c>
      <c r="G309" s="2">
        <f t="shared" si="16"/>
        <v>0</v>
      </c>
    </row>
    <row r="310" spans="1:7" x14ac:dyDescent="0.25">
      <c r="A310">
        <v>302</v>
      </c>
      <c r="B310" s="1">
        <v>17136</v>
      </c>
      <c r="C310" s="2">
        <v>158.89264570494973</v>
      </c>
      <c r="D310" s="2">
        <v>1</v>
      </c>
      <c r="E310">
        <f t="shared" si="14"/>
        <v>11</v>
      </c>
      <c r="F310">
        <f t="shared" si="15"/>
        <v>1946</v>
      </c>
      <c r="G310" s="2">
        <f t="shared" si="16"/>
        <v>0</v>
      </c>
    </row>
    <row r="311" spans="1:7" x14ac:dyDescent="0.25">
      <c r="A311">
        <v>303</v>
      </c>
      <c r="B311" s="1">
        <v>17167</v>
      </c>
      <c r="C311" s="2">
        <v>140.7197017834973</v>
      </c>
      <c r="D311" s="2">
        <v>1</v>
      </c>
      <c r="E311">
        <f t="shared" si="14"/>
        <v>12</v>
      </c>
      <c r="F311">
        <f t="shared" si="15"/>
        <v>1946</v>
      </c>
      <c r="G311" s="2">
        <f t="shared" si="16"/>
        <v>0</v>
      </c>
    </row>
    <row r="312" spans="1:7" x14ac:dyDescent="0.25">
      <c r="A312">
        <v>304</v>
      </c>
      <c r="B312" s="1">
        <v>17198</v>
      </c>
      <c r="C312" s="2">
        <v>120.71654124454041</v>
      </c>
      <c r="D312" s="2">
        <v>1</v>
      </c>
      <c r="E312">
        <f t="shared" si="14"/>
        <v>1</v>
      </c>
      <c r="F312">
        <f t="shared" si="15"/>
        <v>1947</v>
      </c>
      <c r="G312" s="2">
        <f t="shared" si="16"/>
        <v>0</v>
      </c>
    </row>
    <row r="313" spans="1:7" x14ac:dyDescent="0.25">
      <c r="A313">
        <v>305</v>
      </c>
      <c r="B313" s="1">
        <v>17226</v>
      </c>
      <c r="C313" s="2">
        <v>114.45563578137684</v>
      </c>
      <c r="D313" s="2">
        <v>0.83596119739266017</v>
      </c>
      <c r="E313">
        <f t="shared" si="14"/>
        <v>2</v>
      </c>
      <c r="F313">
        <f t="shared" si="15"/>
        <v>1947</v>
      </c>
      <c r="G313" s="2">
        <f t="shared" si="16"/>
        <v>6356.5444004202673</v>
      </c>
    </row>
    <row r="314" spans="1:7" x14ac:dyDescent="0.25">
      <c r="A314">
        <v>306</v>
      </c>
      <c r="B314" s="1">
        <v>17257</v>
      </c>
      <c r="C314" s="2">
        <v>123.59371307269612</v>
      </c>
      <c r="D314" s="2">
        <v>0.5</v>
      </c>
      <c r="E314">
        <f t="shared" si="14"/>
        <v>3</v>
      </c>
      <c r="F314">
        <f t="shared" si="15"/>
        <v>1947</v>
      </c>
      <c r="G314" s="2">
        <f t="shared" si="16"/>
        <v>7599.481200502968</v>
      </c>
    </row>
    <row r="315" spans="1:7" x14ac:dyDescent="0.25">
      <c r="A315">
        <v>307</v>
      </c>
      <c r="B315" s="1">
        <v>17287</v>
      </c>
      <c r="C315" s="2">
        <v>181.23525201198254</v>
      </c>
      <c r="D315" s="2">
        <v>0.62099115419703965</v>
      </c>
      <c r="E315">
        <f t="shared" si="14"/>
        <v>4</v>
      </c>
      <c r="F315">
        <f t="shared" si="15"/>
        <v>1947</v>
      </c>
      <c r="G315" s="2">
        <f t="shared" si="16"/>
        <v>0</v>
      </c>
    </row>
    <row r="316" spans="1:7" x14ac:dyDescent="0.25">
      <c r="A316">
        <v>308</v>
      </c>
      <c r="B316" s="1">
        <v>17318</v>
      </c>
      <c r="C316" s="2">
        <v>239.89165958575308</v>
      </c>
      <c r="D316" s="2">
        <v>0.53480557130983308</v>
      </c>
      <c r="E316">
        <f t="shared" si="14"/>
        <v>5</v>
      </c>
      <c r="F316">
        <f t="shared" si="15"/>
        <v>1947</v>
      </c>
      <c r="G316" s="2">
        <f t="shared" si="16"/>
        <v>0</v>
      </c>
    </row>
    <row r="317" spans="1:7" x14ac:dyDescent="0.25">
      <c r="A317">
        <v>309</v>
      </c>
      <c r="B317" s="1">
        <v>17348</v>
      </c>
      <c r="C317" s="2">
        <v>275.36306112931697</v>
      </c>
      <c r="D317" s="2">
        <v>0.53480557130983308</v>
      </c>
      <c r="E317">
        <f t="shared" si="14"/>
        <v>6</v>
      </c>
      <c r="F317">
        <f t="shared" si="15"/>
        <v>1947</v>
      </c>
      <c r="G317" s="2">
        <f t="shared" si="16"/>
        <v>0</v>
      </c>
    </row>
    <row r="318" spans="1:7" x14ac:dyDescent="0.25">
      <c r="A318">
        <v>310</v>
      </c>
      <c r="B318" s="1">
        <v>17379</v>
      </c>
      <c r="C318" s="2">
        <v>287.21574840608628</v>
      </c>
      <c r="D318" s="2">
        <v>0.53480557130983308</v>
      </c>
      <c r="E318">
        <f t="shared" si="14"/>
        <v>7</v>
      </c>
      <c r="F318">
        <f t="shared" si="15"/>
        <v>1947</v>
      </c>
      <c r="G318" s="2">
        <f t="shared" si="16"/>
        <v>0</v>
      </c>
    </row>
    <row r="319" spans="1:7" x14ac:dyDescent="0.25">
      <c r="A319">
        <v>311</v>
      </c>
      <c r="B319" s="1">
        <v>17410</v>
      </c>
      <c r="C319" s="2">
        <v>278.99732431952134</v>
      </c>
      <c r="D319" s="2">
        <v>0.53480557130983319</v>
      </c>
      <c r="E319">
        <f t="shared" si="14"/>
        <v>8</v>
      </c>
      <c r="F319">
        <f t="shared" si="15"/>
        <v>1947</v>
      </c>
      <c r="G319" s="2">
        <f t="shared" si="16"/>
        <v>0</v>
      </c>
    </row>
    <row r="320" spans="1:7" x14ac:dyDescent="0.25">
      <c r="A320">
        <v>312</v>
      </c>
      <c r="B320" s="1">
        <v>17440</v>
      </c>
      <c r="C320" s="2">
        <v>254.31992423903677</v>
      </c>
      <c r="D320" s="2">
        <v>0.53480557130983308</v>
      </c>
      <c r="E320">
        <f t="shared" si="14"/>
        <v>9</v>
      </c>
      <c r="F320">
        <f t="shared" si="15"/>
        <v>1947</v>
      </c>
      <c r="G320" s="2">
        <f t="shared" si="16"/>
        <v>0</v>
      </c>
    </row>
    <row r="321" spans="1:7" x14ac:dyDescent="0.25">
      <c r="A321">
        <v>313</v>
      </c>
      <c r="B321" s="1">
        <v>17471</v>
      </c>
      <c r="C321" s="2">
        <v>214.84262990668293</v>
      </c>
      <c r="D321" s="2">
        <v>0.53480557130983308</v>
      </c>
      <c r="E321">
        <f t="shared" si="14"/>
        <v>10</v>
      </c>
      <c r="F321">
        <f t="shared" si="15"/>
        <v>1947</v>
      </c>
      <c r="G321" s="2">
        <f t="shared" si="16"/>
        <v>0</v>
      </c>
    </row>
    <row r="322" spans="1:7" x14ac:dyDescent="0.25">
      <c r="A322">
        <v>314</v>
      </c>
      <c r="B322" s="1">
        <v>17501</v>
      </c>
      <c r="C322" s="2">
        <v>177.10611356727139</v>
      </c>
      <c r="D322" s="2">
        <v>0.53480557130983319</v>
      </c>
      <c r="E322">
        <f t="shared" si="14"/>
        <v>11</v>
      </c>
      <c r="F322">
        <f t="shared" si="15"/>
        <v>1947</v>
      </c>
      <c r="G322" s="2">
        <f t="shared" si="16"/>
        <v>0</v>
      </c>
    </row>
    <row r="323" spans="1:7" x14ac:dyDescent="0.25">
      <c r="A323">
        <v>315</v>
      </c>
      <c r="B323" s="1">
        <v>17532</v>
      </c>
      <c r="C323" s="2">
        <v>161.98826861286787</v>
      </c>
      <c r="D323" s="2">
        <v>0.53480557130983308</v>
      </c>
      <c r="E323">
        <f t="shared" si="14"/>
        <v>12</v>
      </c>
      <c r="F323">
        <f t="shared" si="15"/>
        <v>1947</v>
      </c>
      <c r="G323" s="2">
        <f t="shared" si="16"/>
        <v>0</v>
      </c>
    </row>
    <row r="324" spans="1:7" x14ac:dyDescent="0.25">
      <c r="A324">
        <v>316</v>
      </c>
      <c r="B324" s="1">
        <v>17563</v>
      </c>
      <c r="C324" s="2">
        <v>157.69227420398121</v>
      </c>
      <c r="D324" s="2">
        <v>0.53480557130983308</v>
      </c>
      <c r="E324">
        <f t="shared" si="14"/>
        <v>1</v>
      </c>
      <c r="F324">
        <f t="shared" si="15"/>
        <v>1948</v>
      </c>
      <c r="G324" s="2">
        <f t="shared" si="16"/>
        <v>0</v>
      </c>
    </row>
    <row r="325" spans="1:7" x14ac:dyDescent="0.25">
      <c r="A325">
        <v>317</v>
      </c>
      <c r="B325" s="1">
        <v>17592</v>
      </c>
      <c r="C325" s="2">
        <v>167.75275886167253</v>
      </c>
      <c r="D325" s="2">
        <v>0.5</v>
      </c>
      <c r="E325">
        <f t="shared" si="14"/>
        <v>2</v>
      </c>
      <c r="F325">
        <f t="shared" si="15"/>
        <v>1948</v>
      </c>
      <c r="G325" s="2">
        <f t="shared" si="16"/>
        <v>9316.5168557887555</v>
      </c>
    </row>
    <row r="326" spans="1:7" x14ac:dyDescent="0.25">
      <c r="A326">
        <v>318</v>
      </c>
      <c r="B326" s="1">
        <v>17623</v>
      </c>
      <c r="C326" s="2">
        <v>152.55323506386168</v>
      </c>
      <c r="D326" s="2">
        <v>0.5</v>
      </c>
      <c r="E326">
        <f t="shared" si="14"/>
        <v>3</v>
      </c>
      <c r="F326">
        <f t="shared" si="15"/>
        <v>1948</v>
      </c>
      <c r="G326" s="2">
        <f t="shared" si="16"/>
        <v>9380.1328006209169</v>
      </c>
    </row>
    <row r="327" spans="1:7" x14ac:dyDescent="0.25">
      <c r="A327">
        <v>319</v>
      </c>
      <c r="B327" s="1">
        <v>17653</v>
      </c>
      <c r="C327" s="2">
        <v>181.23525201198254</v>
      </c>
      <c r="D327" s="2">
        <v>0.75</v>
      </c>
      <c r="E327">
        <f t="shared" si="14"/>
        <v>4</v>
      </c>
      <c r="F327">
        <f t="shared" si="15"/>
        <v>1948</v>
      </c>
      <c r="G327" s="2">
        <f t="shared" si="16"/>
        <v>0</v>
      </c>
    </row>
    <row r="328" spans="1:7" x14ac:dyDescent="0.25">
      <c r="A328">
        <v>320</v>
      </c>
      <c r="B328" s="1">
        <v>17684</v>
      </c>
      <c r="C328" s="2">
        <v>189.91672423298658</v>
      </c>
      <c r="D328" s="2">
        <v>1</v>
      </c>
      <c r="E328">
        <f t="shared" si="14"/>
        <v>5</v>
      </c>
      <c r="F328">
        <f t="shared" si="15"/>
        <v>1948</v>
      </c>
      <c r="G328" s="2">
        <f t="shared" si="16"/>
        <v>0</v>
      </c>
    </row>
    <row r="329" spans="1:7" x14ac:dyDescent="0.25">
      <c r="A329">
        <v>321</v>
      </c>
      <c r="B329" s="1">
        <v>17714</v>
      </c>
      <c r="C329" s="2">
        <v>249.94227532208066</v>
      </c>
      <c r="D329" s="2">
        <v>1</v>
      </c>
      <c r="E329">
        <f t="shared" si="14"/>
        <v>6</v>
      </c>
      <c r="F329">
        <f t="shared" si="15"/>
        <v>1948</v>
      </c>
      <c r="G329" s="2">
        <f t="shared" si="16"/>
        <v>0</v>
      </c>
    </row>
    <row r="330" spans="1:7" x14ac:dyDescent="0.25">
      <c r="A330">
        <v>322</v>
      </c>
      <c r="B330" s="1">
        <v>17745</v>
      </c>
      <c r="C330" s="2">
        <v>278.83348316359655</v>
      </c>
      <c r="D330" s="2">
        <v>1</v>
      </c>
      <c r="E330">
        <f t="shared" ref="E330:E393" si="17">MONTH(B330)</f>
        <v>7</v>
      </c>
      <c r="F330">
        <f t="shared" ref="F330:F393" si="18">YEAR(B330)</f>
        <v>1948</v>
      </c>
      <c r="G330" s="2">
        <f t="shared" ref="G330:G393" si="19">IF(E330=2,C330*$G$5*28,IF(E330=3,C330*$G$5*31,0))</f>
        <v>0</v>
      </c>
    </row>
    <row r="331" spans="1:7" x14ac:dyDescent="0.25">
      <c r="A331">
        <v>323</v>
      </c>
      <c r="B331" s="1">
        <v>17776</v>
      </c>
      <c r="C331" s="2">
        <v>281.64601106700837</v>
      </c>
      <c r="D331" s="2">
        <v>1</v>
      </c>
      <c r="E331">
        <f t="shared" si="17"/>
        <v>8</v>
      </c>
      <c r="F331">
        <f t="shared" si="18"/>
        <v>1948</v>
      </c>
      <c r="G331" s="2">
        <f t="shared" si="19"/>
        <v>0</v>
      </c>
    </row>
    <row r="332" spans="1:7" x14ac:dyDescent="0.25">
      <c r="A332">
        <v>324</v>
      </c>
      <c r="B332" s="1">
        <v>17806</v>
      </c>
      <c r="C332" s="2">
        <v>247.80503551638378</v>
      </c>
      <c r="D332" s="2">
        <v>0.99999999999999989</v>
      </c>
      <c r="E332">
        <f t="shared" si="17"/>
        <v>9</v>
      </c>
      <c r="F332">
        <f t="shared" si="18"/>
        <v>1948</v>
      </c>
      <c r="G332" s="2">
        <f t="shared" si="19"/>
        <v>0</v>
      </c>
    </row>
    <row r="333" spans="1:7" x14ac:dyDescent="0.25">
      <c r="A333">
        <v>325</v>
      </c>
      <c r="B333" s="1">
        <v>17837</v>
      </c>
      <c r="C333" s="2">
        <v>213.68325149262245</v>
      </c>
      <c r="D333" s="2">
        <v>0.99999999999999989</v>
      </c>
      <c r="E333">
        <f t="shared" si="17"/>
        <v>10</v>
      </c>
      <c r="F333">
        <f t="shared" si="18"/>
        <v>1948</v>
      </c>
      <c r="G333" s="2">
        <f t="shared" si="19"/>
        <v>0</v>
      </c>
    </row>
    <row r="334" spans="1:7" x14ac:dyDescent="0.25">
      <c r="A334">
        <v>326</v>
      </c>
      <c r="B334" s="1">
        <v>17867</v>
      </c>
      <c r="C334" s="2">
        <v>158.8926457049497</v>
      </c>
      <c r="D334" s="2">
        <v>1</v>
      </c>
      <c r="E334">
        <f t="shared" si="17"/>
        <v>11</v>
      </c>
      <c r="F334">
        <f t="shared" si="18"/>
        <v>1948</v>
      </c>
      <c r="G334" s="2">
        <f t="shared" si="19"/>
        <v>0</v>
      </c>
    </row>
    <row r="335" spans="1:7" x14ac:dyDescent="0.25">
      <c r="A335">
        <v>327</v>
      </c>
      <c r="B335" s="1">
        <v>17898</v>
      </c>
      <c r="C335" s="2">
        <v>140.7197017834973</v>
      </c>
      <c r="D335" s="2">
        <v>1</v>
      </c>
      <c r="E335">
        <f t="shared" si="17"/>
        <v>12</v>
      </c>
      <c r="F335">
        <f t="shared" si="18"/>
        <v>1948</v>
      </c>
      <c r="G335" s="2">
        <f t="shared" si="19"/>
        <v>0</v>
      </c>
    </row>
    <row r="336" spans="1:7" x14ac:dyDescent="0.25">
      <c r="A336">
        <v>328</v>
      </c>
      <c r="B336" s="1">
        <v>17929</v>
      </c>
      <c r="C336" s="2">
        <v>120.71654124454039</v>
      </c>
      <c r="D336" s="2">
        <v>1</v>
      </c>
      <c r="E336">
        <f t="shared" si="17"/>
        <v>1</v>
      </c>
      <c r="F336">
        <f t="shared" si="18"/>
        <v>1949</v>
      </c>
      <c r="G336" s="2">
        <f t="shared" si="19"/>
        <v>0</v>
      </c>
    </row>
    <row r="337" spans="1:7" x14ac:dyDescent="0.25">
      <c r="A337">
        <v>329</v>
      </c>
      <c r="B337" s="1">
        <v>17957</v>
      </c>
      <c r="C337" s="2">
        <v>114.45563578137686</v>
      </c>
      <c r="D337" s="2">
        <v>0.88990356740213949</v>
      </c>
      <c r="E337">
        <f t="shared" si="17"/>
        <v>2</v>
      </c>
      <c r="F337">
        <f t="shared" si="18"/>
        <v>1949</v>
      </c>
      <c r="G337" s="2">
        <f t="shared" si="19"/>
        <v>6356.5444004202682</v>
      </c>
    </row>
    <row r="338" spans="1:7" x14ac:dyDescent="0.25">
      <c r="A338">
        <v>330</v>
      </c>
      <c r="B338" s="1">
        <v>17988</v>
      </c>
      <c r="C338" s="2">
        <v>152.55323506385562</v>
      </c>
      <c r="D338" s="2">
        <v>0.5</v>
      </c>
      <c r="E338">
        <f t="shared" si="17"/>
        <v>3</v>
      </c>
      <c r="F338">
        <f t="shared" si="18"/>
        <v>1949</v>
      </c>
      <c r="G338" s="2">
        <f t="shared" si="19"/>
        <v>9380.132800620544</v>
      </c>
    </row>
    <row r="339" spans="1:7" x14ac:dyDescent="0.25">
      <c r="A339">
        <v>331</v>
      </c>
      <c r="B339" s="1">
        <v>18018</v>
      </c>
      <c r="C339" s="2">
        <v>181.23525201198251</v>
      </c>
      <c r="D339" s="2">
        <v>1</v>
      </c>
      <c r="E339">
        <f t="shared" si="17"/>
        <v>4</v>
      </c>
      <c r="F339">
        <f t="shared" si="18"/>
        <v>1949</v>
      </c>
      <c r="G339" s="2">
        <f t="shared" si="19"/>
        <v>0</v>
      </c>
    </row>
    <row r="340" spans="1:7" x14ac:dyDescent="0.25">
      <c r="A340">
        <v>332</v>
      </c>
      <c r="B340" s="1">
        <v>18049</v>
      </c>
      <c r="C340" s="2">
        <v>220.07156033713082</v>
      </c>
      <c r="D340" s="2">
        <v>1</v>
      </c>
      <c r="E340">
        <f t="shared" si="17"/>
        <v>5</v>
      </c>
      <c r="F340">
        <f t="shared" si="18"/>
        <v>1949</v>
      </c>
      <c r="G340" s="2">
        <f t="shared" si="19"/>
        <v>0</v>
      </c>
    </row>
    <row r="341" spans="1:7" x14ac:dyDescent="0.25">
      <c r="A341">
        <v>333</v>
      </c>
      <c r="B341" s="1">
        <v>18079</v>
      </c>
      <c r="C341" s="2">
        <v>257.70906701703871</v>
      </c>
      <c r="D341" s="2">
        <v>1</v>
      </c>
      <c r="E341">
        <f t="shared" si="17"/>
        <v>6</v>
      </c>
      <c r="F341">
        <f t="shared" si="18"/>
        <v>1949</v>
      </c>
      <c r="G341" s="2">
        <f t="shared" si="19"/>
        <v>0</v>
      </c>
    </row>
    <row r="342" spans="1:7" x14ac:dyDescent="0.25">
      <c r="A342">
        <v>334</v>
      </c>
      <c r="B342" s="1">
        <v>18110</v>
      </c>
      <c r="C342" s="2">
        <v>288.24290179325095</v>
      </c>
      <c r="D342" s="2">
        <v>1</v>
      </c>
      <c r="E342">
        <f t="shared" si="17"/>
        <v>7</v>
      </c>
      <c r="F342">
        <f t="shared" si="18"/>
        <v>1949</v>
      </c>
      <c r="G342" s="2">
        <f t="shared" si="19"/>
        <v>0</v>
      </c>
    </row>
    <row r="343" spans="1:7" x14ac:dyDescent="0.25">
      <c r="A343">
        <v>335</v>
      </c>
      <c r="B343" s="1">
        <v>18141</v>
      </c>
      <c r="C343" s="2">
        <v>279.99483921206041</v>
      </c>
      <c r="D343" s="2">
        <v>1</v>
      </c>
      <c r="E343">
        <f t="shared" si="17"/>
        <v>8</v>
      </c>
      <c r="F343">
        <f t="shared" si="18"/>
        <v>1949</v>
      </c>
      <c r="G343" s="2">
        <f t="shared" si="19"/>
        <v>0</v>
      </c>
    </row>
    <row r="344" spans="1:7" x14ac:dyDescent="0.25">
      <c r="A344">
        <v>336</v>
      </c>
      <c r="B344" s="1">
        <v>18171</v>
      </c>
      <c r="C344" s="2">
        <v>253.56663201676474</v>
      </c>
      <c r="D344" s="2">
        <v>1</v>
      </c>
      <c r="E344">
        <f t="shared" si="17"/>
        <v>9</v>
      </c>
      <c r="F344">
        <f t="shared" si="18"/>
        <v>1949</v>
      </c>
      <c r="G344" s="2">
        <f t="shared" si="19"/>
        <v>0</v>
      </c>
    </row>
    <row r="345" spans="1:7" x14ac:dyDescent="0.25">
      <c r="A345">
        <v>337</v>
      </c>
      <c r="B345" s="1">
        <v>18202</v>
      </c>
      <c r="C345" s="2">
        <v>216.07475469170529</v>
      </c>
      <c r="D345" s="2">
        <v>1</v>
      </c>
      <c r="E345">
        <f t="shared" si="17"/>
        <v>10</v>
      </c>
      <c r="F345">
        <f t="shared" si="18"/>
        <v>1949</v>
      </c>
      <c r="G345" s="2">
        <f t="shared" si="19"/>
        <v>0</v>
      </c>
    </row>
    <row r="346" spans="1:7" x14ac:dyDescent="0.25">
      <c r="A346">
        <v>338</v>
      </c>
      <c r="B346" s="1">
        <v>18232</v>
      </c>
      <c r="C346" s="2">
        <v>174.85540601156066</v>
      </c>
      <c r="D346" s="2">
        <v>1</v>
      </c>
      <c r="E346">
        <f t="shared" si="17"/>
        <v>11</v>
      </c>
      <c r="F346">
        <f t="shared" si="18"/>
        <v>1949</v>
      </c>
      <c r="G346" s="2">
        <f t="shared" si="19"/>
        <v>0</v>
      </c>
    </row>
    <row r="347" spans="1:7" x14ac:dyDescent="0.25">
      <c r="A347">
        <v>339</v>
      </c>
      <c r="B347" s="1">
        <v>18263</v>
      </c>
      <c r="C347" s="2">
        <v>153.1868782359345</v>
      </c>
      <c r="D347" s="2">
        <v>1</v>
      </c>
      <c r="E347">
        <f t="shared" si="17"/>
        <v>12</v>
      </c>
      <c r="F347">
        <f t="shared" si="18"/>
        <v>1949</v>
      </c>
      <c r="G347" s="2">
        <f t="shared" si="19"/>
        <v>0</v>
      </c>
    </row>
    <row r="348" spans="1:7" x14ac:dyDescent="0.25">
      <c r="A348">
        <v>340</v>
      </c>
      <c r="B348" s="1">
        <v>18294</v>
      </c>
      <c r="C348" s="2">
        <v>148.33069936464571</v>
      </c>
      <c r="D348" s="2">
        <v>1</v>
      </c>
      <c r="E348">
        <f t="shared" si="17"/>
        <v>1</v>
      </c>
      <c r="F348">
        <f t="shared" si="18"/>
        <v>1950</v>
      </c>
      <c r="G348" s="2">
        <f t="shared" si="19"/>
        <v>0</v>
      </c>
    </row>
    <row r="349" spans="1:7" x14ac:dyDescent="0.25">
      <c r="A349">
        <v>341</v>
      </c>
      <c r="B349" s="1">
        <v>18322</v>
      </c>
      <c r="C349" s="2">
        <v>145.70191233106175</v>
      </c>
      <c r="D349" s="2">
        <v>0.85838524679702721</v>
      </c>
      <c r="E349">
        <f t="shared" si="17"/>
        <v>2</v>
      </c>
      <c r="F349">
        <f t="shared" si="18"/>
        <v>1950</v>
      </c>
      <c r="G349" s="2">
        <f t="shared" si="19"/>
        <v>8091.8748005349989</v>
      </c>
    </row>
    <row r="350" spans="1:7" x14ac:dyDescent="0.25">
      <c r="A350">
        <v>342</v>
      </c>
      <c r="B350" s="1">
        <v>18353</v>
      </c>
      <c r="C350" s="2">
        <v>123.59371307269318</v>
      </c>
      <c r="D350" s="2">
        <v>0.50561830680493514</v>
      </c>
      <c r="E350">
        <f t="shared" si="17"/>
        <v>3</v>
      </c>
      <c r="F350">
        <f t="shared" si="18"/>
        <v>1950</v>
      </c>
      <c r="G350" s="2">
        <f t="shared" si="19"/>
        <v>7599.481200502787</v>
      </c>
    </row>
    <row r="351" spans="1:7" x14ac:dyDescent="0.25">
      <c r="A351">
        <v>343</v>
      </c>
      <c r="B351" s="1">
        <v>18383</v>
      </c>
      <c r="C351" s="2">
        <v>181.23525201198251</v>
      </c>
      <c r="D351" s="2">
        <v>0.75</v>
      </c>
      <c r="E351">
        <f t="shared" si="17"/>
        <v>4</v>
      </c>
      <c r="F351">
        <f t="shared" si="18"/>
        <v>1950</v>
      </c>
      <c r="G351" s="2">
        <f t="shared" si="19"/>
        <v>0</v>
      </c>
    </row>
    <row r="352" spans="1:7" x14ac:dyDescent="0.25">
      <c r="A352">
        <v>344</v>
      </c>
      <c r="B352" s="1">
        <v>18414</v>
      </c>
      <c r="C352" s="2">
        <v>220.07156033713085</v>
      </c>
      <c r="D352" s="2">
        <v>0.75</v>
      </c>
      <c r="E352">
        <f t="shared" si="17"/>
        <v>5</v>
      </c>
      <c r="F352">
        <f t="shared" si="18"/>
        <v>1950</v>
      </c>
      <c r="G352" s="2">
        <f t="shared" si="19"/>
        <v>0</v>
      </c>
    </row>
    <row r="353" spans="1:7" x14ac:dyDescent="0.25">
      <c r="A353">
        <v>345</v>
      </c>
      <c r="B353" s="1">
        <v>18444</v>
      </c>
      <c r="C353" s="2">
        <v>257.70906701703859</v>
      </c>
      <c r="D353" s="2">
        <v>0.75</v>
      </c>
      <c r="E353">
        <f t="shared" si="17"/>
        <v>6</v>
      </c>
      <c r="F353">
        <f t="shared" si="18"/>
        <v>1950</v>
      </c>
      <c r="G353" s="2">
        <f t="shared" si="19"/>
        <v>0</v>
      </c>
    </row>
    <row r="354" spans="1:7" x14ac:dyDescent="0.25">
      <c r="A354">
        <v>346</v>
      </c>
      <c r="B354" s="1">
        <v>18475</v>
      </c>
      <c r="C354" s="2">
        <v>288.24290179325095</v>
      </c>
      <c r="D354" s="2">
        <v>0.75</v>
      </c>
      <c r="E354">
        <f t="shared" si="17"/>
        <v>7</v>
      </c>
      <c r="F354">
        <f t="shared" si="18"/>
        <v>1950</v>
      </c>
      <c r="G354" s="2">
        <f t="shared" si="19"/>
        <v>0</v>
      </c>
    </row>
    <row r="355" spans="1:7" x14ac:dyDescent="0.25">
      <c r="A355">
        <v>347</v>
      </c>
      <c r="B355" s="1">
        <v>18506</v>
      </c>
      <c r="C355" s="2">
        <v>279.99483921206041</v>
      </c>
      <c r="D355" s="2">
        <v>0.75000000000000011</v>
      </c>
      <c r="E355">
        <f t="shared" si="17"/>
        <v>8</v>
      </c>
      <c r="F355">
        <f t="shared" si="18"/>
        <v>1950</v>
      </c>
      <c r="G355" s="2">
        <f t="shared" si="19"/>
        <v>0</v>
      </c>
    </row>
    <row r="356" spans="1:7" x14ac:dyDescent="0.25">
      <c r="A356">
        <v>348</v>
      </c>
      <c r="B356" s="1">
        <v>18536</v>
      </c>
      <c r="C356" s="2">
        <v>253.56663201676474</v>
      </c>
      <c r="D356" s="2">
        <v>0.75</v>
      </c>
      <c r="E356">
        <f t="shared" si="17"/>
        <v>9</v>
      </c>
      <c r="F356">
        <f t="shared" si="18"/>
        <v>1950</v>
      </c>
      <c r="G356" s="2">
        <f t="shared" si="19"/>
        <v>0</v>
      </c>
    </row>
    <row r="357" spans="1:7" x14ac:dyDescent="0.25">
      <c r="A357">
        <v>349</v>
      </c>
      <c r="B357" s="1">
        <v>18567</v>
      </c>
      <c r="C357" s="2">
        <v>216.07475469170529</v>
      </c>
      <c r="D357" s="2">
        <v>0.75</v>
      </c>
      <c r="E357">
        <f t="shared" si="17"/>
        <v>10</v>
      </c>
      <c r="F357">
        <f t="shared" si="18"/>
        <v>1950</v>
      </c>
      <c r="G357" s="2">
        <f t="shared" si="19"/>
        <v>0</v>
      </c>
    </row>
    <row r="358" spans="1:7" x14ac:dyDescent="0.25">
      <c r="A358">
        <v>350</v>
      </c>
      <c r="B358" s="1">
        <v>18597</v>
      </c>
      <c r="C358" s="2">
        <v>174.85540601156069</v>
      </c>
      <c r="D358" s="2">
        <v>0.75000000000000011</v>
      </c>
      <c r="E358">
        <f t="shared" si="17"/>
        <v>11</v>
      </c>
      <c r="F358">
        <f t="shared" si="18"/>
        <v>1950</v>
      </c>
      <c r="G358" s="2">
        <f t="shared" si="19"/>
        <v>0</v>
      </c>
    </row>
    <row r="359" spans="1:7" x14ac:dyDescent="0.25">
      <c r="A359">
        <v>351</v>
      </c>
      <c r="B359" s="1">
        <v>18628</v>
      </c>
      <c r="C359" s="2">
        <v>153.18687823593447</v>
      </c>
      <c r="D359" s="2">
        <v>0.75</v>
      </c>
      <c r="E359">
        <f t="shared" si="17"/>
        <v>12</v>
      </c>
      <c r="F359">
        <f t="shared" si="18"/>
        <v>1950</v>
      </c>
      <c r="G359" s="2">
        <f t="shared" si="19"/>
        <v>0</v>
      </c>
    </row>
    <row r="360" spans="1:7" x14ac:dyDescent="0.25">
      <c r="A360">
        <v>352</v>
      </c>
      <c r="B360" s="1">
        <v>18659</v>
      </c>
      <c r="C360" s="2">
        <v>148.33069936464571</v>
      </c>
      <c r="D360" s="2">
        <v>0.75</v>
      </c>
      <c r="E360">
        <f t="shared" si="17"/>
        <v>1</v>
      </c>
      <c r="F360">
        <f t="shared" si="18"/>
        <v>1951</v>
      </c>
      <c r="G360" s="2">
        <f t="shared" si="19"/>
        <v>0</v>
      </c>
    </row>
    <row r="361" spans="1:7" x14ac:dyDescent="0.25">
      <c r="A361">
        <v>353</v>
      </c>
      <c r="B361" s="1">
        <v>18687</v>
      </c>
      <c r="C361" s="2">
        <v>145.70191233106175</v>
      </c>
      <c r="D361" s="2">
        <v>0.75</v>
      </c>
      <c r="E361">
        <f t="shared" si="17"/>
        <v>2</v>
      </c>
      <c r="F361">
        <f t="shared" si="18"/>
        <v>1951</v>
      </c>
      <c r="G361" s="2">
        <f t="shared" si="19"/>
        <v>8091.8748005349989</v>
      </c>
    </row>
    <row r="362" spans="1:7" x14ac:dyDescent="0.25">
      <c r="A362">
        <v>354</v>
      </c>
      <c r="B362" s="1">
        <v>18718</v>
      </c>
      <c r="C362" s="2">
        <v>95.988743796674441</v>
      </c>
      <c r="D362" s="2">
        <v>1</v>
      </c>
      <c r="E362">
        <f t="shared" si="17"/>
        <v>3</v>
      </c>
      <c r="F362">
        <f t="shared" si="18"/>
        <v>1951</v>
      </c>
      <c r="G362" s="2">
        <f t="shared" si="19"/>
        <v>5902.1178003905616</v>
      </c>
    </row>
    <row r="363" spans="1:7" x14ac:dyDescent="0.25">
      <c r="A363">
        <v>355</v>
      </c>
      <c r="B363" s="1">
        <v>18748</v>
      </c>
      <c r="C363" s="2">
        <v>127.84175342511904</v>
      </c>
      <c r="D363" s="2">
        <v>1</v>
      </c>
      <c r="E363">
        <f t="shared" si="17"/>
        <v>4</v>
      </c>
      <c r="F363">
        <f t="shared" si="18"/>
        <v>1951</v>
      </c>
      <c r="G363" s="2">
        <f t="shared" si="19"/>
        <v>0</v>
      </c>
    </row>
    <row r="364" spans="1:7" x14ac:dyDescent="0.25">
      <c r="A364">
        <v>356</v>
      </c>
      <c r="B364" s="1">
        <v>18779</v>
      </c>
      <c r="C364" s="2">
        <v>173.69722718890344</v>
      </c>
      <c r="D364" s="2">
        <v>1</v>
      </c>
      <c r="E364">
        <f t="shared" si="17"/>
        <v>5</v>
      </c>
      <c r="F364">
        <f t="shared" si="18"/>
        <v>1951</v>
      </c>
      <c r="G364" s="2">
        <f t="shared" si="19"/>
        <v>0</v>
      </c>
    </row>
    <row r="365" spans="1:7" x14ac:dyDescent="0.25">
      <c r="A365">
        <v>357</v>
      </c>
      <c r="B365" s="1">
        <v>18809</v>
      </c>
      <c r="C365" s="2">
        <v>230.63820084858216</v>
      </c>
      <c r="D365" s="2">
        <v>1</v>
      </c>
      <c r="E365">
        <f t="shared" si="17"/>
        <v>6</v>
      </c>
      <c r="F365">
        <f t="shared" si="18"/>
        <v>1951</v>
      </c>
      <c r="G365" s="2">
        <f t="shared" si="19"/>
        <v>0</v>
      </c>
    </row>
    <row r="366" spans="1:7" x14ac:dyDescent="0.25">
      <c r="A366">
        <v>358</v>
      </c>
      <c r="B366" s="1">
        <v>18840</v>
      </c>
      <c r="C366" s="2">
        <v>271.71188667119026</v>
      </c>
      <c r="D366" s="2">
        <v>1</v>
      </c>
      <c r="E366">
        <f t="shared" si="17"/>
        <v>7</v>
      </c>
      <c r="F366">
        <f t="shared" si="18"/>
        <v>1951</v>
      </c>
      <c r="G366" s="2">
        <f t="shared" si="19"/>
        <v>0</v>
      </c>
    </row>
    <row r="367" spans="1:7" x14ac:dyDescent="0.25">
      <c r="A367">
        <v>359</v>
      </c>
      <c r="B367" s="1">
        <v>18871</v>
      </c>
      <c r="C367" s="2">
        <v>282.21761897027187</v>
      </c>
      <c r="D367" s="2">
        <v>1</v>
      </c>
      <c r="E367">
        <f t="shared" si="17"/>
        <v>8</v>
      </c>
      <c r="F367">
        <f t="shared" si="18"/>
        <v>1951</v>
      </c>
      <c r="G367" s="2">
        <f t="shared" si="19"/>
        <v>0</v>
      </c>
    </row>
    <row r="368" spans="1:7" x14ac:dyDescent="0.25">
      <c r="A368">
        <v>360</v>
      </c>
      <c r="B368" s="1">
        <v>18901</v>
      </c>
      <c r="C368" s="2">
        <v>245.18670139121073</v>
      </c>
      <c r="D368" s="2">
        <v>1</v>
      </c>
      <c r="E368">
        <f t="shared" si="17"/>
        <v>9</v>
      </c>
      <c r="F368">
        <f t="shared" si="18"/>
        <v>1951</v>
      </c>
      <c r="G368" s="2">
        <f t="shared" si="19"/>
        <v>0</v>
      </c>
    </row>
    <row r="369" spans="1:7" x14ac:dyDescent="0.25">
      <c r="A369">
        <v>361</v>
      </c>
      <c r="B369" s="1">
        <v>18932</v>
      </c>
      <c r="C369" s="2">
        <v>208.40764336055321</v>
      </c>
      <c r="D369" s="2">
        <v>1</v>
      </c>
      <c r="E369">
        <f t="shared" si="17"/>
        <v>10</v>
      </c>
      <c r="F369">
        <f t="shared" si="18"/>
        <v>1951</v>
      </c>
      <c r="G369" s="2">
        <f t="shared" si="19"/>
        <v>0</v>
      </c>
    </row>
    <row r="370" spans="1:7" x14ac:dyDescent="0.25">
      <c r="A370">
        <v>362</v>
      </c>
      <c r="B370" s="1">
        <v>18962</v>
      </c>
      <c r="C370" s="2">
        <v>139.9081154259168</v>
      </c>
      <c r="D370" s="2">
        <v>1</v>
      </c>
      <c r="E370">
        <f t="shared" si="17"/>
        <v>11</v>
      </c>
      <c r="F370">
        <f t="shared" si="18"/>
        <v>1951</v>
      </c>
      <c r="G370" s="2">
        <f t="shared" si="19"/>
        <v>0</v>
      </c>
    </row>
    <row r="371" spans="1:7" x14ac:dyDescent="0.25">
      <c r="A371">
        <v>363</v>
      </c>
      <c r="B371" s="1">
        <v>18993</v>
      </c>
      <c r="C371" s="2">
        <v>100.09781597435999</v>
      </c>
      <c r="D371" s="2">
        <v>1.0000000000000002</v>
      </c>
      <c r="E371">
        <f t="shared" si="17"/>
        <v>12</v>
      </c>
      <c r="F371">
        <f t="shared" si="18"/>
        <v>1951</v>
      </c>
      <c r="G371" s="2">
        <f t="shared" si="19"/>
        <v>0</v>
      </c>
    </row>
    <row r="372" spans="1:7" x14ac:dyDescent="0.25">
      <c r="A372">
        <v>364</v>
      </c>
      <c r="B372" s="1">
        <v>19024</v>
      </c>
      <c r="C372" s="2">
        <v>94.480039683665979</v>
      </c>
      <c r="D372" s="2">
        <v>1</v>
      </c>
      <c r="E372">
        <f t="shared" si="17"/>
        <v>1</v>
      </c>
      <c r="F372">
        <f t="shared" si="18"/>
        <v>1952</v>
      </c>
      <c r="G372" s="2">
        <f t="shared" si="19"/>
        <v>0</v>
      </c>
    </row>
    <row r="373" spans="1:7" x14ac:dyDescent="0.25">
      <c r="A373">
        <v>365</v>
      </c>
      <c r="B373" s="1">
        <v>19053</v>
      </c>
      <c r="C373" s="2">
        <v>104.89011216210731</v>
      </c>
      <c r="D373" s="2">
        <v>1</v>
      </c>
      <c r="E373">
        <f t="shared" si="17"/>
        <v>2</v>
      </c>
      <c r="F373">
        <f t="shared" si="18"/>
        <v>1952</v>
      </c>
      <c r="G373" s="2">
        <f t="shared" si="19"/>
        <v>5825.302096936869</v>
      </c>
    </row>
    <row r="374" spans="1:7" x14ac:dyDescent="0.25">
      <c r="A374">
        <v>366</v>
      </c>
      <c r="B374" s="1">
        <v>19084</v>
      </c>
      <c r="C374" s="2">
        <v>95.988743796674726</v>
      </c>
      <c r="D374" s="2">
        <v>1</v>
      </c>
      <c r="E374">
        <f t="shared" si="17"/>
        <v>3</v>
      </c>
      <c r="F374">
        <f t="shared" si="18"/>
        <v>1952</v>
      </c>
      <c r="G374" s="2">
        <f t="shared" si="19"/>
        <v>5902.1178003905779</v>
      </c>
    </row>
    <row r="375" spans="1:7" x14ac:dyDescent="0.25">
      <c r="A375">
        <v>367</v>
      </c>
      <c r="B375" s="1">
        <v>19114</v>
      </c>
      <c r="C375" s="2">
        <v>127.84175342511904</v>
      </c>
      <c r="D375" s="2">
        <v>1</v>
      </c>
      <c r="E375">
        <f t="shared" si="17"/>
        <v>4</v>
      </c>
      <c r="F375">
        <f t="shared" si="18"/>
        <v>1952</v>
      </c>
      <c r="G375" s="2">
        <f t="shared" si="19"/>
        <v>0</v>
      </c>
    </row>
    <row r="376" spans="1:7" x14ac:dyDescent="0.25">
      <c r="A376">
        <v>368</v>
      </c>
      <c r="B376" s="1">
        <v>19145</v>
      </c>
      <c r="C376" s="2">
        <v>173.69722718890347</v>
      </c>
      <c r="D376" s="2">
        <v>1</v>
      </c>
      <c r="E376">
        <f t="shared" si="17"/>
        <v>5</v>
      </c>
      <c r="F376">
        <f t="shared" si="18"/>
        <v>1952</v>
      </c>
      <c r="G376" s="2">
        <f t="shared" si="19"/>
        <v>0</v>
      </c>
    </row>
    <row r="377" spans="1:7" x14ac:dyDescent="0.25">
      <c r="A377">
        <v>369</v>
      </c>
      <c r="B377" s="1">
        <v>19175</v>
      </c>
      <c r="C377" s="2">
        <v>230.63820084858216</v>
      </c>
      <c r="D377" s="2">
        <v>0.99999999999999989</v>
      </c>
      <c r="E377">
        <f t="shared" si="17"/>
        <v>6</v>
      </c>
      <c r="F377">
        <f t="shared" si="18"/>
        <v>1952</v>
      </c>
      <c r="G377" s="2">
        <f t="shared" si="19"/>
        <v>0</v>
      </c>
    </row>
    <row r="378" spans="1:7" x14ac:dyDescent="0.25">
      <c r="A378">
        <v>370</v>
      </c>
      <c r="B378" s="1">
        <v>19206</v>
      </c>
      <c r="C378" s="2">
        <v>271.71188667119026</v>
      </c>
      <c r="D378" s="2">
        <v>1</v>
      </c>
      <c r="E378">
        <f t="shared" si="17"/>
        <v>7</v>
      </c>
      <c r="F378">
        <f t="shared" si="18"/>
        <v>1952</v>
      </c>
      <c r="G378" s="2">
        <f t="shared" si="19"/>
        <v>0</v>
      </c>
    </row>
    <row r="379" spans="1:7" x14ac:dyDescent="0.25">
      <c r="A379">
        <v>371</v>
      </c>
      <c r="B379" s="1">
        <v>19237</v>
      </c>
      <c r="C379" s="2">
        <v>282.21761897027193</v>
      </c>
      <c r="D379" s="2">
        <v>1</v>
      </c>
      <c r="E379">
        <f t="shared" si="17"/>
        <v>8</v>
      </c>
      <c r="F379">
        <f t="shared" si="18"/>
        <v>1952</v>
      </c>
      <c r="G379" s="2">
        <f t="shared" si="19"/>
        <v>0</v>
      </c>
    </row>
    <row r="380" spans="1:7" x14ac:dyDescent="0.25">
      <c r="A380">
        <v>372</v>
      </c>
      <c r="B380" s="1">
        <v>19267</v>
      </c>
      <c r="C380" s="2">
        <v>245.18670139121073</v>
      </c>
      <c r="D380" s="2">
        <v>1</v>
      </c>
      <c r="E380">
        <f t="shared" si="17"/>
        <v>9</v>
      </c>
      <c r="F380">
        <f t="shared" si="18"/>
        <v>1952</v>
      </c>
      <c r="G380" s="2">
        <f t="shared" si="19"/>
        <v>0</v>
      </c>
    </row>
    <row r="381" spans="1:7" x14ac:dyDescent="0.25">
      <c r="A381">
        <v>373</v>
      </c>
      <c r="B381" s="1">
        <v>19298</v>
      </c>
      <c r="C381" s="2">
        <v>208.40764336055321</v>
      </c>
      <c r="D381" s="2">
        <v>1</v>
      </c>
      <c r="E381">
        <f t="shared" si="17"/>
        <v>10</v>
      </c>
      <c r="F381">
        <f t="shared" si="18"/>
        <v>1952</v>
      </c>
      <c r="G381" s="2">
        <f t="shared" si="19"/>
        <v>0</v>
      </c>
    </row>
    <row r="382" spans="1:7" x14ac:dyDescent="0.25">
      <c r="A382">
        <v>374</v>
      </c>
      <c r="B382" s="1">
        <v>19328</v>
      </c>
      <c r="C382" s="2">
        <v>139.9081154259168</v>
      </c>
      <c r="D382" s="2">
        <v>1</v>
      </c>
      <c r="E382">
        <f t="shared" si="17"/>
        <v>11</v>
      </c>
      <c r="F382">
        <f t="shared" si="18"/>
        <v>1952</v>
      </c>
      <c r="G382" s="2">
        <f t="shared" si="19"/>
        <v>0</v>
      </c>
    </row>
    <row r="383" spans="1:7" x14ac:dyDescent="0.25">
      <c r="A383">
        <v>375</v>
      </c>
      <c r="B383" s="1">
        <v>19359</v>
      </c>
      <c r="C383" s="2">
        <v>100.09781597435999</v>
      </c>
      <c r="D383" s="2">
        <v>1</v>
      </c>
      <c r="E383">
        <f t="shared" si="17"/>
        <v>12</v>
      </c>
      <c r="F383">
        <f t="shared" si="18"/>
        <v>1952</v>
      </c>
      <c r="G383" s="2">
        <f t="shared" si="19"/>
        <v>0</v>
      </c>
    </row>
    <row r="384" spans="1:7" x14ac:dyDescent="0.25">
      <c r="A384">
        <v>376</v>
      </c>
      <c r="B384" s="1">
        <v>19390</v>
      </c>
      <c r="C384" s="2">
        <v>94.480039683665979</v>
      </c>
      <c r="D384" s="2">
        <v>1</v>
      </c>
      <c r="E384">
        <f t="shared" si="17"/>
        <v>1</v>
      </c>
      <c r="F384">
        <f t="shared" si="18"/>
        <v>1953</v>
      </c>
      <c r="G384" s="2">
        <f t="shared" si="19"/>
        <v>0</v>
      </c>
    </row>
    <row r="385" spans="1:7" x14ac:dyDescent="0.25">
      <c r="A385">
        <v>377</v>
      </c>
      <c r="B385" s="1">
        <v>19418</v>
      </c>
      <c r="C385" s="2">
        <v>108.63618759646826</v>
      </c>
      <c r="D385" s="2">
        <v>0.95483504884375614</v>
      </c>
      <c r="E385">
        <f t="shared" si="17"/>
        <v>2</v>
      </c>
      <c r="F385">
        <f t="shared" si="18"/>
        <v>1953</v>
      </c>
      <c r="G385" s="2">
        <f t="shared" si="19"/>
        <v>6033.3486003988992</v>
      </c>
    </row>
    <row r="386" spans="1:7" x14ac:dyDescent="0.25">
      <c r="A386">
        <v>378</v>
      </c>
      <c r="B386" s="1">
        <v>19449</v>
      </c>
      <c r="C386" s="2">
        <v>96.914806888133569</v>
      </c>
      <c r="D386" s="2">
        <v>0.75</v>
      </c>
      <c r="E386">
        <f t="shared" si="17"/>
        <v>3</v>
      </c>
      <c r="F386">
        <f t="shared" si="18"/>
        <v>1953</v>
      </c>
      <c r="G386" s="2">
        <f t="shared" si="19"/>
        <v>5959.0592003943293</v>
      </c>
    </row>
    <row r="387" spans="1:7" x14ac:dyDescent="0.25">
      <c r="A387">
        <v>379</v>
      </c>
      <c r="B387" s="1">
        <v>19479</v>
      </c>
      <c r="C387" s="2">
        <v>140.91721845376131</v>
      </c>
      <c r="D387" s="2">
        <v>0.99999999999999989</v>
      </c>
      <c r="E387">
        <f t="shared" si="17"/>
        <v>4</v>
      </c>
      <c r="F387">
        <f t="shared" si="18"/>
        <v>1953</v>
      </c>
      <c r="G387" s="2">
        <f t="shared" si="19"/>
        <v>0</v>
      </c>
    </row>
    <row r="388" spans="1:7" x14ac:dyDescent="0.25">
      <c r="A388">
        <v>380</v>
      </c>
      <c r="B388" s="1">
        <v>19510</v>
      </c>
      <c r="C388" s="2">
        <v>172.19561393611602</v>
      </c>
      <c r="D388" s="2">
        <v>1</v>
      </c>
      <c r="E388">
        <f t="shared" si="17"/>
        <v>5</v>
      </c>
      <c r="F388">
        <f t="shared" si="18"/>
        <v>1953</v>
      </c>
      <c r="G388" s="2">
        <f t="shared" si="19"/>
        <v>0</v>
      </c>
    </row>
    <row r="389" spans="1:7" x14ac:dyDescent="0.25">
      <c r="A389">
        <v>381</v>
      </c>
      <c r="B389" s="1">
        <v>19540</v>
      </c>
      <c r="C389" s="2">
        <v>249.30857479426103</v>
      </c>
      <c r="D389" s="2">
        <v>1</v>
      </c>
      <c r="E389">
        <f t="shared" si="17"/>
        <v>6</v>
      </c>
      <c r="F389">
        <f t="shared" si="18"/>
        <v>1953</v>
      </c>
      <c r="G389" s="2">
        <f t="shared" si="19"/>
        <v>0</v>
      </c>
    </row>
    <row r="390" spans="1:7" x14ac:dyDescent="0.25">
      <c r="A390">
        <v>382</v>
      </c>
      <c r="B390" s="1">
        <v>19571</v>
      </c>
      <c r="C390" s="2">
        <v>274.69602802891444</v>
      </c>
      <c r="D390" s="2">
        <v>0.99999999999999989</v>
      </c>
      <c r="E390">
        <f t="shared" si="17"/>
        <v>7</v>
      </c>
      <c r="F390">
        <f t="shared" si="18"/>
        <v>1953</v>
      </c>
      <c r="G390" s="2">
        <f t="shared" si="19"/>
        <v>0</v>
      </c>
    </row>
    <row r="391" spans="1:7" x14ac:dyDescent="0.25">
      <c r="A391">
        <v>383</v>
      </c>
      <c r="B391" s="1">
        <v>19602</v>
      </c>
      <c r="C391" s="2">
        <v>284.25012948115892</v>
      </c>
      <c r="D391" s="2">
        <v>1</v>
      </c>
      <c r="E391">
        <f t="shared" si="17"/>
        <v>8</v>
      </c>
      <c r="F391">
        <f t="shared" si="18"/>
        <v>1953</v>
      </c>
      <c r="G391" s="2">
        <f t="shared" si="19"/>
        <v>0</v>
      </c>
    </row>
    <row r="392" spans="1:7" x14ac:dyDescent="0.25">
      <c r="A392">
        <v>384</v>
      </c>
      <c r="B392" s="1">
        <v>19632</v>
      </c>
      <c r="C392" s="2">
        <v>251.09751946104603</v>
      </c>
      <c r="D392" s="2">
        <v>1</v>
      </c>
      <c r="E392">
        <f t="shared" si="17"/>
        <v>9</v>
      </c>
      <c r="F392">
        <f t="shared" si="18"/>
        <v>1953</v>
      </c>
      <c r="G392" s="2">
        <f t="shared" si="19"/>
        <v>0</v>
      </c>
    </row>
    <row r="393" spans="1:7" x14ac:dyDescent="0.25">
      <c r="A393">
        <v>385</v>
      </c>
      <c r="B393" s="1">
        <v>19663</v>
      </c>
      <c r="C393" s="2">
        <v>215.12985528304065</v>
      </c>
      <c r="D393" s="2">
        <v>1</v>
      </c>
      <c r="E393">
        <f t="shared" si="17"/>
        <v>10</v>
      </c>
      <c r="F393">
        <f t="shared" si="18"/>
        <v>1953</v>
      </c>
      <c r="G393" s="2">
        <f t="shared" si="19"/>
        <v>0</v>
      </c>
    </row>
    <row r="394" spans="1:7" x14ac:dyDescent="0.25">
      <c r="A394">
        <v>386</v>
      </c>
      <c r="B394" s="1">
        <v>19693</v>
      </c>
      <c r="C394" s="2">
        <v>152.24052617673212</v>
      </c>
      <c r="D394" s="2">
        <v>1</v>
      </c>
      <c r="E394">
        <f t="shared" ref="E394:E457" si="20">MONTH(B394)</f>
        <v>11</v>
      </c>
      <c r="F394">
        <f t="shared" ref="F394:F457" si="21">YEAR(B394)</f>
        <v>1953</v>
      </c>
      <c r="G394" s="2">
        <f t="shared" ref="G394:G457" si="22">IF(E394=2,C394*$G$5*28,IF(E394=3,C394*$G$5*31,0))</f>
        <v>0</v>
      </c>
    </row>
    <row r="395" spans="1:7" x14ac:dyDescent="0.25">
      <c r="A395">
        <v>387</v>
      </c>
      <c r="B395" s="1">
        <v>19724</v>
      </c>
      <c r="C395" s="2">
        <v>138.92959785864781</v>
      </c>
      <c r="D395" s="2">
        <v>1</v>
      </c>
      <c r="E395">
        <f t="shared" si="20"/>
        <v>12</v>
      </c>
      <c r="F395">
        <f t="shared" si="21"/>
        <v>1953</v>
      </c>
      <c r="G395" s="2">
        <f t="shared" si="22"/>
        <v>0</v>
      </c>
    </row>
    <row r="396" spans="1:7" x14ac:dyDescent="0.25">
      <c r="A396">
        <v>388</v>
      </c>
      <c r="B396" s="1">
        <v>19755</v>
      </c>
      <c r="C396" s="2">
        <v>110.24576070621373</v>
      </c>
      <c r="D396" s="2">
        <v>1</v>
      </c>
      <c r="E396">
        <f t="shared" si="20"/>
        <v>1</v>
      </c>
      <c r="F396">
        <f t="shared" si="21"/>
        <v>1954</v>
      </c>
      <c r="G396" s="2">
        <f t="shared" si="22"/>
        <v>0</v>
      </c>
    </row>
    <row r="397" spans="1:7" x14ac:dyDescent="0.25">
      <c r="A397">
        <v>389</v>
      </c>
      <c r="B397" s="1">
        <v>19783</v>
      </c>
      <c r="C397" s="2">
        <v>102.91438209013761</v>
      </c>
      <c r="D397" s="2">
        <v>1</v>
      </c>
      <c r="E397">
        <f t="shared" si="20"/>
        <v>2</v>
      </c>
      <c r="F397">
        <f t="shared" si="21"/>
        <v>1954</v>
      </c>
      <c r="G397" s="2">
        <f t="shared" si="22"/>
        <v>5715.5756003778906</v>
      </c>
    </row>
    <row r="398" spans="1:7" x14ac:dyDescent="0.25">
      <c r="A398">
        <v>390</v>
      </c>
      <c r="B398" s="1">
        <v>19814</v>
      </c>
      <c r="C398" s="2">
        <v>96.914806888136582</v>
      </c>
      <c r="D398" s="2">
        <v>0.9760280808226609</v>
      </c>
      <c r="E398">
        <f t="shared" si="20"/>
        <v>3</v>
      </c>
      <c r="F398">
        <f t="shared" si="21"/>
        <v>1954</v>
      </c>
      <c r="G398" s="2">
        <f t="shared" si="22"/>
        <v>5959.0592003945139</v>
      </c>
    </row>
    <row r="399" spans="1:7" x14ac:dyDescent="0.25">
      <c r="A399">
        <v>391</v>
      </c>
      <c r="B399" s="1">
        <v>19844</v>
      </c>
      <c r="C399" s="2">
        <v>140.91721845376131</v>
      </c>
      <c r="D399" s="2">
        <v>1</v>
      </c>
      <c r="E399">
        <f t="shared" si="20"/>
        <v>4</v>
      </c>
      <c r="F399">
        <f t="shared" si="21"/>
        <v>1954</v>
      </c>
      <c r="G399" s="2">
        <f t="shared" si="22"/>
        <v>0</v>
      </c>
    </row>
    <row r="400" spans="1:7" x14ac:dyDescent="0.25">
      <c r="A400">
        <v>392</v>
      </c>
      <c r="B400" s="1">
        <v>19875</v>
      </c>
      <c r="C400" s="2">
        <v>172.19561393611599</v>
      </c>
      <c r="D400" s="2">
        <v>1</v>
      </c>
      <c r="E400">
        <f t="shared" si="20"/>
        <v>5</v>
      </c>
      <c r="F400">
        <f t="shared" si="21"/>
        <v>1954</v>
      </c>
      <c r="G400" s="2">
        <f t="shared" si="22"/>
        <v>0</v>
      </c>
    </row>
    <row r="401" spans="1:7" x14ac:dyDescent="0.25">
      <c r="A401">
        <v>393</v>
      </c>
      <c r="B401" s="1">
        <v>19905</v>
      </c>
      <c r="C401" s="2">
        <v>249.30857479426106</v>
      </c>
      <c r="D401" s="2">
        <v>1</v>
      </c>
      <c r="E401">
        <f t="shared" si="20"/>
        <v>6</v>
      </c>
      <c r="F401">
        <f t="shared" si="21"/>
        <v>1954</v>
      </c>
      <c r="G401" s="2">
        <f t="shared" si="22"/>
        <v>0</v>
      </c>
    </row>
    <row r="402" spans="1:7" x14ac:dyDescent="0.25">
      <c r="A402">
        <v>394</v>
      </c>
      <c r="B402" s="1">
        <v>19936</v>
      </c>
      <c r="C402" s="2">
        <v>274.69602802891444</v>
      </c>
      <c r="D402" s="2">
        <v>0.99999999999999989</v>
      </c>
      <c r="E402">
        <f t="shared" si="20"/>
        <v>7</v>
      </c>
      <c r="F402">
        <f t="shared" si="21"/>
        <v>1954</v>
      </c>
      <c r="G402" s="2">
        <f t="shared" si="22"/>
        <v>0</v>
      </c>
    </row>
    <row r="403" spans="1:7" x14ac:dyDescent="0.25">
      <c r="A403">
        <v>395</v>
      </c>
      <c r="B403" s="1">
        <v>19967</v>
      </c>
      <c r="C403" s="2">
        <v>284.25012948115898</v>
      </c>
      <c r="D403" s="2">
        <v>0.99999999999999989</v>
      </c>
      <c r="E403">
        <f t="shared" si="20"/>
        <v>8</v>
      </c>
      <c r="F403">
        <f t="shared" si="21"/>
        <v>1954</v>
      </c>
      <c r="G403" s="2">
        <f t="shared" si="22"/>
        <v>0</v>
      </c>
    </row>
    <row r="404" spans="1:7" x14ac:dyDescent="0.25">
      <c r="A404">
        <v>396</v>
      </c>
      <c r="B404" s="1">
        <v>19997</v>
      </c>
      <c r="C404" s="2">
        <v>251.09751946104601</v>
      </c>
      <c r="D404" s="2">
        <v>1</v>
      </c>
      <c r="E404">
        <f t="shared" si="20"/>
        <v>9</v>
      </c>
      <c r="F404">
        <f t="shared" si="21"/>
        <v>1954</v>
      </c>
      <c r="G404" s="2">
        <f t="shared" si="22"/>
        <v>0</v>
      </c>
    </row>
    <row r="405" spans="1:7" x14ac:dyDescent="0.25">
      <c r="A405">
        <v>397</v>
      </c>
      <c r="B405" s="1">
        <v>20028</v>
      </c>
      <c r="C405" s="2">
        <v>215.12985528304068</v>
      </c>
      <c r="D405" s="2">
        <v>1</v>
      </c>
      <c r="E405">
        <f t="shared" si="20"/>
        <v>10</v>
      </c>
      <c r="F405">
        <f t="shared" si="21"/>
        <v>1954</v>
      </c>
      <c r="G405" s="2">
        <f t="shared" si="22"/>
        <v>0</v>
      </c>
    </row>
    <row r="406" spans="1:7" x14ac:dyDescent="0.25">
      <c r="A406">
        <v>398</v>
      </c>
      <c r="B406" s="1">
        <v>20058</v>
      </c>
      <c r="C406" s="2">
        <v>152.24052617673215</v>
      </c>
      <c r="D406" s="2">
        <v>1.0000000000000002</v>
      </c>
      <c r="E406">
        <f t="shared" si="20"/>
        <v>11</v>
      </c>
      <c r="F406">
        <f t="shared" si="21"/>
        <v>1954</v>
      </c>
      <c r="G406" s="2">
        <f t="shared" si="22"/>
        <v>0</v>
      </c>
    </row>
    <row r="407" spans="1:7" x14ac:dyDescent="0.25">
      <c r="A407">
        <v>399</v>
      </c>
      <c r="B407" s="1">
        <v>20089</v>
      </c>
      <c r="C407" s="2">
        <v>138.92959785864781</v>
      </c>
      <c r="D407" s="2">
        <v>1</v>
      </c>
      <c r="E407">
        <f t="shared" si="20"/>
        <v>12</v>
      </c>
      <c r="F407">
        <f t="shared" si="21"/>
        <v>1954</v>
      </c>
      <c r="G407" s="2">
        <f t="shared" si="22"/>
        <v>0</v>
      </c>
    </row>
    <row r="408" spans="1:7" x14ac:dyDescent="0.25">
      <c r="A408">
        <v>400</v>
      </c>
      <c r="B408" s="1">
        <v>20120</v>
      </c>
      <c r="C408" s="2">
        <v>110.24576070621373</v>
      </c>
      <c r="D408" s="2">
        <v>1</v>
      </c>
      <c r="E408">
        <f t="shared" si="20"/>
        <v>1</v>
      </c>
      <c r="F408">
        <f t="shared" si="21"/>
        <v>1955</v>
      </c>
      <c r="G408" s="2">
        <f t="shared" si="22"/>
        <v>0</v>
      </c>
    </row>
    <row r="409" spans="1:7" x14ac:dyDescent="0.25">
      <c r="A409">
        <v>401</v>
      </c>
      <c r="B409" s="1">
        <v>20148</v>
      </c>
      <c r="C409" s="2">
        <v>102.91438209013759</v>
      </c>
      <c r="D409" s="2">
        <v>1</v>
      </c>
      <c r="E409">
        <f t="shared" si="20"/>
        <v>2</v>
      </c>
      <c r="F409">
        <f t="shared" si="21"/>
        <v>1955</v>
      </c>
      <c r="G409" s="2">
        <f t="shared" si="22"/>
        <v>5715.5756003778897</v>
      </c>
    </row>
    <row r="410" spans="1:7" x14ac:dyDescent="0.25">
      <c r="A410">
        <v>402</v>
      </c>
      <c r="B410" s="1">
        <v>20179</v>
      </c>
      <c r="C410" s="2">
        <v>123.59371307269309</v>
      </c>
      <c r="D410" s="2">
        <v>0.54447971976228315</v>
      </c>
      <c r="E410">
        <f t="shared" si="20"/>
        <v>3</v>
      </c>
      <c r="F410">
        <f t="shared" si="21"/>
        <v>1955</v>
      </c>
      <c r="G410" s="2">
        <f t="shared" si="22"/>
        <v>7599.4812005027825</v>
      </c>
    </row>
    <row r="411" spans="1:7" x14ac:dyDescent="0.25">
      <c r="A411">
        <v>403</v>
      </c>
      <c r="B411" s="1">
        <v>20209</v>
      </c>
      <c r="C411" s="2">
        <v>181.23525201198251</v>
      </c>
      <c r="D411" s="2">
        <v>0.62679153051297254</v>
      </c>
      <c r="E411">
        <f t="shared" si="20"/>
        <v>4</v>
      </c>
      <c r="F411">
        <f t="shared" si="21"/>
        <v>1955</v>
      </c>
      <c r="G411" s="2">
        <f t="shared" si="22"/>
        <v>0</v>
      </c>
    </row>
    <row r="412" spans="1:7" x14ac:dyDescent="0.25">
      <c r="A412">
        <v>404</v>
      </c>
      <c r="B412" s="1">
        <v>20240</v>
      </c>
      <c r="C412" s="2">
        <v>220.07156033713082</v>
      </c>
      <c r="D412" s="2">
        <v>0.75</v>
      </c>
      <c r="E412">
        <f t="shared" si="20"/>
        <v>5</v>
      </c>
      <c r="F412">
        <f t="shared" si="21"/>
        <v>1955</v>
      </c>
      <c r="G412" s="2">
        <f t="shared" si="22"/>
        <v>0</v>
      </c>
    </row>
    <row r="413" spans="1:7" x14ac:dyDescent="0.25">
      <c r="A413">
        <v>405</v>
      </c>
      <c r="B413" s="1">
        <v>20270</v>
      </c>
      <c r="C413" s="2">
        <v>257.70906701703865</v>
      </c>
      <c r="D413" s="2">
        <v>0.75</v>
      </c>
      <c r="E413">
        <f t="shared" si="20"/>
        <v>6</v>
      </c>
      <c r="F413">
        <f t="shared" si="21"/>
        <v>1955</v>
      </c>
      <c r="G413" s="2">
        <f t="shared" si="22"/>
        <v>0</v>
      </c>
    </row>
    <row r="414" spans="1:7" x14ac:dyDescent="0.25">
      <c r="A414">
        <v>406</v>
      </c>
      <c r="B414" s="1">
        <v>20301</v>
      </c>
      <c r="C414" s="2">
        <v>288.24290179325095</v>
      </c>
      <c r="D414" s="2">
        <v>0.75</v>
      </c>
      <c r="E414">
        <f t="shared" si="20"/>
        <v>7</v>
      </c>
      <c r="F414">
        <f t="shared" si="21"/>
        <v>1955</v>
      </c>
      <c r="G414" s="2">
        <f t="shared" si="22"/>
        <v>0</v>
      </c>
    </row>
    <row r="415" spans="1:7" x14ac:dyDescent="0.25">
      <c r="A415">
        <v>407</v>
      </c>
      <c r="B415" s="1">
        <v>20332</v>
      </c>
      <c r="C415" s="2">
        <v>279.99483921206041</v>
      </c>
      <c r="D415" s="2">
        <v>0.74999999999999989</v>
      </c>
      <c r="E415">
        <f t="shared" si="20"/>
        <v>8</v>
      </c>
      <c r="F415">
        <f t="shared" si="21"/>
        <v>1955</v>
      </c>
      <c r="G415" s="2">
        <f t="shared" si="22"/>
        <v>0</v>
      </c>
    </row>
    <row r="416" spans="1:7" x14ac:dyDescent="0.25">
      <c r="A416">
        <v>408</v>
      </c>
      <c r="B416" s="1">
        <v>20362</v>
      </c>
      <c r="C416" s="2">
        <v>253.56663201676474</v>
      </c>
      <c r="D416" s="2">
        <v>0.75</v>
      </c>
      <c r="E416">
        <f t="shared" si="20"/>
        <v>9</v>
      </c>
      <c r="F416">
        <f t="shared" si="21"/>
        <v>1955</v>
      </c>
      <c r="G416" s="2">
        <f t="shared" si="22"/>
        <v>0</v>
      </c>
    </row>
    <row r="417" spans="1:7" x14ac:dyDescent="0.25">
      <c r="A417">
        <v>409</v>
      </c>
      <c r="B417" s="1">
        <v>20393</v>
      </c>
      <c r="C417" s="2">
        <v>216.07475469170529</v>
      </c>
      <c r="D417" s="2">
        <v>0.75</v>
      </c>
      <c r="E417">
        <f t="shared" si="20"/>
        <v>10</v>
      </c>
      <c r="F417">
        <f t="shared" si="21"/>
        <v>1955</v>
      </c>
      <c r="G417" s="2">
        <f t="shared" si="22"/>
        <v>0</v>
      </c>
    </row>
    <row r="418" spans="1:7" x14ac:dyDescent="0.25">
      <c r="A418">
        <v>410</v>
      </c>
      <c r="B418" s="1">
        <v>20423</v>
      </c>
      <c r="C418" s="2">
        <v>174.85540601156069</v>
      </c>
      <c r="D418" s="2">
        <v>0.75</v>
      </c>
      <c r="E418">
        <f t="shared" si="20"/>
        <v>11</v>
      </c>
      <c r="F418">
        <f t="shared" si="21"/>
        <v>1955</v>
      </c>
      <c r="G418" s="2">
        <f t="shared" si="22"/>
        <v>0</v>
      </c>
    </row>
    <row r="419" spans="1:7" x14ac:dyDescent="0.25">
      <c r="A419">
        <v>411</v>
      </c>
      <c r="B419" s="1">
        <v>20454</v>
      </c>
      <c r="C419" s="2">
        <v>153.1868782359345</v>
      </c>
      <c r="D419" s="2">
        <v>0.75</v>
      </c>
      <c r="E419">
        <f t="shared" si="20"/>
        <v>12</v>
      </c>
      <c r="F419">
        <f t="shared" si="21"/>
        <v>1955</v>
      </c>
      <c r="G419" s="2">
        <f t="shared" si="22"/>
        <v>0</v>
      </c>
    </row>
    <row r="420" spans="1:7" x14ac:dyDescent="0.25">
      <c r="A420">
        <v>412</v>
      </c>
      <c r="B420" s="1">
        <v>20485</v>
      </c>
      <c r="C420" s="2">
        <v>148.33069936464571</v>
      </c>
      <c r="D420" s="2">
        <v>0.75</v>
      </c>
      <c r="E420">
        <f t="shared" si="20"/>
        <v>1</v>
      </c>
      <c r="F420">
        <f t="shared" si="21"/>
        <v>1956</v>
      </c>
      <c r="G420" s="2">
        <f t="shared" si="22"/>
        <v>0</v>
      </c>
    </row>
    <row r="421" spans="1:7" x14ac:dyDescent="0.25">
      <c r="A421">
        <v>413</v>
      </c>
      <c r="B421" s="1">
        <v>20514</v>
      </c>
      <c r="C421" s="2">
        <v>140.67770845757687</v>
      </c>
      <c r="D421" s="2">
        <v>0.75</v>
      </c>
      <c r="E421">
        <f t="shared" si="20"/>
        <v>2</v>
      </c>
      <c r="F421">
        <f t="shared" si="21"/>
        <v>1956</v>
      </c>
      <c r="G421" s="2">
        <f t="shared" si="22"/>
        <v>7812.8446349993101</v>
      </c>
    </row>
    <row r="422" spans="1:7" x14ac:dyDescent="0.25">
      <c r="A422">
        <v>414</v>
      </c>
      <c r="B422" s="1">
        <v>20545</v>
      </c>
      <c r="C422" s="2">
        <v>95.988743796674314</v>
      </c>
      <c r="D422" s="2">
        <v>1</v>
      </c>
      <c r="E422">
        <f t="shared" si="20"/>
        <v>3</v>
      </c>
      <c r="F422">
        <f t="shared" si="21"/>
        <v>1956</v>
      </c>
      <c r="G422" s="2">
        <f t="shared" si="22"/>
        <v>5902.1178003905534</v>
      </c>
    </row>
    <row r="423" spans="1:7" x14ac:dyDescent="0.25">
      <c r="A423">
        <v>415</v>
      </c>
      <c r="B423" s="1">
        <v>20575</v>
      </c>
      <c r="C423" s="2">
        <v>127.84175342511901</v>
      </c>
      <c r="D423" s="2">
        <v>1</v>
      </c>
      <c r="E423">
        <f t="shared" si="20"/>
        <v>4</v>
      </c>
      <c r="F423">
        <f t="shared" si="21"/>
        <v>1956</v>
      </c>
      <c r="G423" s="2">
        <f t="shared" si="22"/>
        <v>0</v>
      </c>
    </row>
    <row r="424" spans="1:7" x14ac:dyDescent="0.25">
      <c r="A424">
        <v>416</v>
      </c>
      <c r="B424" s="1">
        <v>20606</v>
      </c>
      <c r="C424" s="2">
        <v>173.69722718890344</v>
      </c>
      <c r="D424" s="2">
        <v>1</v>
      </c>
      <c r="E424">
        <f t="shared" si="20"/>
        <v>5</v>
      </c>
      <c r="F424">
        <f t="shared" si="21"/>
        <v>1956</v>
      </c>
      <c r="G424" s="2">
        <f t="shared" si="22"/>
        <v>0</v>
      </c>
    </row>
    <row r="425" spans="1:7" x14ac:dyDescent="0.25">
      <c r="A425">
        <v>417</v>
      </c>
      <c r="B425" s="1">
        <v>20636</v>
      </c>
      <c r="C425" s="2">
        <v>230.63820084858213</v>
      </c>
      <c r="D425" s="2">
        <v>1</v>
      </c>
      <c r="E425">
        <f t="shared" si="20"/>
        <v>6</v>
      </c>
      <c r="F425">
        <f t="shared" si="21"/>
        <v>1956</v>
      </c>
      <c r="G425" s="2">
        <f t="shared" si="22"/>
        <v>0</v>
      </c>
    </row>
    <row r="426" spans="1:7" x14ac:dyDescent="0.25">
      <c r="A426">
        <v>418</v>
      </c>
      <c r="B426" s="1">
        <v>20667</v>
      </c>
      <c r="C426" s="2">
        <v>271.71188667119026</v>
      </c>
      <c r="D426" s="2">
        <v>1</v>
      </c>
      <c r="E426">
        <f t="shared" si="20"/>
        <v>7</v>
      </c>
      <c r="F426">
        <f t="shared" si="21"/>
        <v>1956</v>
      </c>
      <c r="G426" s="2">
        <f t="shared" si="22"/>
        <v>0</v>
      </c>
    </row>
    <row r="427" spans="1:7" x14ac:dyDescent="0.25">
      <c r="A427">
        <v>419</v>
      </c>
      <c r="B427" s="1">
        <v>20698</v>
      </c>
      <c r="C427" s="2">
        <v>282.21761897027187</v>
      </c>
      <c r="D427" s="2">
        <v>1</v>
      </c>
      <c r="E427">
        <f t="shared" si="20"/>
        <v>8</v>
      </c>
      <c r="F427">
        <f t="shared" si="21"/>
        <v>1956</v>
      </c>
      <c r="G427" s="2">
        <f t="shared" si="22"/>
        <v>0</v>
      </c>
    </row>
    <row r="428" spans="1:7" x14ac:dyDescent="0.25">
      <c r="A428">
        <v>420</v>
      </c>
      <c r="B428" s="1">
        <v>20728</v>
      </c>
      <c r="C428" s="2">
        <v>245.18670139121073</v>
      </c>
      <c r="D428" s="2">
        <v>1</v>
      </c>
      <c r="E428">
        <f t="shared" si="20"/>
        <v>9</v>
      </c>
      <c r="F428">
        <f t="shared" si="21"/>
        <v>1956</v>
      </c>
      <c r="G428" s="2">
        <f t="shared" si="22"/>
        <v>0</v>
      </c>
    </row>
    <row r="429" spans="1:7" x14ac:dyDescent="0.25">
      <c r="A429">
        <v>421</v>
      </c>
      <c r="B429" s="1">
        <v>20759</v>
      </c>
      <c r="C429" s="2">
        <v>208.40764336055318</v>
      </c>
      <c r="D429" s="2">
        <v>1</v>
      </c>
      <c r="E429">
        <f t="shared" si="20"/>
        <v>10</v>
      </c>
      <c r="F429">
        <f t="shared" si="21"/>
        <v>1956</v>
      </c>
      <c r="G429" s="2">
        <f t="shared" si="22"/>
        <v>0</v>
      </c>
    </row>
    <row r="430" spans="1:7" x14ac:dyDescent="0.25">
      <c r="A430">
        <v>422</v>
      </c>
      <c r="B430" s="1">
        <v>20789</v>
      </c>
      <c r="C430" s="2">
        <v>139.90811542591678</v>
      </c>
      <c r="D430" s="2">
        <v>1</v>
      </c>
      <c r="E430">
        <f t="shared" si="20"/>
        <v>11</v>
      </c>
      <c r="F430">
        <f t="shared" si="21"/>
        <v>1956</v>
      </c>
      <c r="G430" s="2">
        <f t="shared" si="22"/>
        <v>0</v>
      </c>
    </row>
    <row r="431" spans="1:7" x14ac:dyDescent="0.25">
      <c r="A431">
        <v>423</v>
      </c>
      <c r="B431" s="1">
        <v>20820</v>
      </c>
      <c r="C431" s="2">
        <v>100.09781597435999</v>
      </c>
      <c r="D431" s="2">
        <v>1</v>
      </c>
      <c r="E431">
        <f t="shared" si="20"/>
        <v>12</v>
      </c>
      <c r="F431">
        <f t="shared" si="21"/>
        <v>1956</v>
      </c>
      <c r="G431" s="2">
        <f t="shared" si="22"/>
        <v>0</v>
      </c>
    </row>
    <row r="432" spans="1:7" x14ac:dyDescent="0.25">
      <c r="A432">
        <v>424</v>
      </c>
      <c r="B432" s="1">
        <v>20851</v>
      </c>
      <c r="C432" s="2">
        <v>94.480039683665964</v>
      </c>
      <c r="D432" s="2">
        <v>1</v>
      </c>
      <c r="E432">
        <f t="shared" si="20"/>
        <v>1</v>
      </c>
      <c r="F432">
        <f t="shared" si="21"/>
        <v>1957</v>
      </c>
      <c r="G432" s="2">
        <f t="shared" si="22"/>
        <v>0</v>
      </c>
    </row>
    <row r="433" spans="1:7" x14ac:dyDescent="0.25">
      <c r="A433">
        <v>425</v>
      </c>
      <c r="B433" s="1">
        <v>20879</v>
      </c>
      <c r="C433" s="2">
        <v>108.63618759646829</v>
      </c>
      <c r="D433" s="2">
        <v>0.85958004073163063</v>
      </c>
      <c r="E433">
        <f t="shared" si="20"/>
        <v>2</v>
      </c>
      <c r="F433">
        <f t="shared" si="21"/>
        <v>1957</v>
      </c>
      <c r="G433" s="2">
        <f t="shared" si="22"/>
        <v>6033.3486003989001</v>
      </c>
    </row>
    <row r="434" spans="1:7" x14ac:dyDescent="0.25">
      <c r="A434">
        <v>426</v>
      </c>
      <c r="B434" s="1">
        <v>20910</v>
      </c>
      <c r="C434" s="2">
        <v>106.88716825976543</v>
      </c>
      <c r="D434" s="2">
        <v>0.75000000000000011</v>
      </c>
      <c r="E434">
        <f t="shared" si="20"/>
        <v>3</v>
      </c>
      <c r="F434">
        <f t="shared" si="21"/>
        <v>1957</v>
      </c>
      <c r="G434" s="2">
        <f t="shared" si="22"/>
        <v>6572.2358004351636</v>
      </c>
    </row>
    <row r="435" spans="1:7" x14ac:dyDescent="0.25">
      <c r="A435">
        <v>427</v>
      </c>
      <c r="B435" s="1">
        <v>20940</v>
      </c>
      <c r="C435" s="2">
        <v>155.35965745471617</v>
      </c>
      <c r="D435" s="2">
        <v>1</v>
      </c>
      <c r="E435">
        <f t="shared" si="20"/>
        <v>4</v>
      </c>
      <c r="F435">
        <f t="shared" si="21"/>
        <v>1957</v>
      </c>
      <c r="G435" s="2">
        <f t="shared" si="22"/>
        <v>0</v>
      </c>
    </row>
    <row r="436" spans="1:7" x14ac:dyDescent="0.25">
      <c r="A436">
        <v>428</v>
      </c>
      <c r="B436" s="1">
        <v>20971</v>
      </c>
      <c r="C436" s="2">
        <v>189.91672423298658</v>
      </c>
      <c r="D436" s="2">
        <v>1</v>
      </c>
      <c r="E436">
        <f t="shared" si="20"/>
        <v>5</v>
      </c>
      <c r="F436">
        <f t="shared" si="21"/>
        <v>1957</v>
      </c>
      <c r="G436" s="2">
        <f t="shared" si="22"/>
        <v>0</v>
      </c>
    </row>
    <row r="437" spans="1:7" x14ac:dyDescent="0.25">
      <c r="A437">
        <v>429</v>
      </c>
      <c r="B437" s="1">
        <v>21001</v>
      </c>
      <c r="C437" s="2">
        <v>249.94227532208069</v>
      </c>
      <c r="D437" s="2">
        <v>1</v>
      </c>
      <c r="E437">
        <f t="shared" si="20"/>
        <v>6</v>
      </c>
      <c r="F437">
        <f t="shared" si="21"/>
        <v>1957</v>
      </c>
      <c r="G437" s="2">
        <f t="shared" si="22"/>
        <v>0</v>
      </c>
    </row>
    <row r="438" spans="1:7" x14ac:dyDescent="0.25">
      <c r="A438">
        <v>430</v>
      </c>
      <c r="B438" s="1">
        <v>21032</v>
      </c>
      <c r="C438" s="2">
        <v>278.83348316359661</v>
      </c>
      <c r="D438" s="2">
        <v>1</v>
      </c>
      <c r="E438">
        <f t="shared" si="20"/>
        <v>7</v>
      </c>
      <c r="F438">
        <f t="shared" si="21"/>
        <v>1957</v>
      </c>
      <c r="G438" s="2">
        <f t="shared" si="22"/>
        <v>0</v>
      </c>
    </row>
    <row r="439" spans="1:7" x14ac:dyDescent="0.25">
      <c r="A439">
        <v>431</v>
      </c>
      <c r="B439" s="1">
        <v>21063</v>
      </c>
      <c r="C439" s="2">
        <v>281.64601106700832</v>
      </c>
      <c r="D439" s="2">
        <v>1</v>
      </c>
      <c r="E439">
        <f t="shared" si="20"/>
        <v>8</v>
      </c>
      <c r="F439">
        <f t="shared" si="21"/>
        <v>1957</v>
      </c>
      <c r="G439" s="2">
        <f t="shared" si="22"/>
        <v>0</v>
      </c>
    </row>
    <row r="440" spans="1:7" x14ac:dyDescent="0.25">
      <c r="A440">
        <v>432</v>
      </c>
      <c r="B440" s="1">
        <v>21093</v>
      </c>
      <c r="C440" s="2">
        <v>247.80503551638375</v>
      </c>
      <c r="D440" s="2">
        <v>1</v>
      </c>
      <c r="E440">
        <f t="shared" si="20"/>
        <v>9</v>
      </c>
      <c r="F440">
        <f t="shared" si="21"/>
        <v>1957</v>
      </c>
      <c r="G440" s="2">
        <f t="shared" si="22"/>
        <v>0</v>
      </c>
    </row>
    <row r="441" spans="1:7" x14ac:dyDescent="0.25">
      <c r="A441">
        <v>433</v>
      </c>
      <c r="B441" s="1">
        <v>21124</v>
      </c>
      <c r="C441" s="2">
        <v>213.68325149262242</v>
      </c>
      <c r="D441" s="2">
        <v>1</v>
      </c>
      <c r="E441">
        <f t="shared" si="20"/>
        <v>10</v>
      </c>
      <c r="F441">
        <f t="shared" si="21"/>
        <v>1957</v>
      </c>
      <c r="G441" s="2">
        <f t="shared" si="22"/>
        <v>0</v>
      </c>
    </row>
    <row r="442" spans="1:7" x14ac:dyDescent="0.25">
      <c r="A442">
        <v>434</v>
      </c>
      <c r="B442" s="1">
        <v>21154</v>
      </c>
      <c r="C442" s="2">
        <v>158.89264570494973</v>
      </c>
      <c r="D442" s="2">
        <v>1</v>
      </c>
      <c r="E442">
        <f t="shared" si="20"/>
        <v>11</v>
      </c>
      <c r="F442">
        <f t="shared" si="21"/>
        <v>1957</v>
      </c>
      <c r="G442" s="2">
        <f t="shared" si="22"/>
        <v>0</v>
      </c>
    </row>
    <row r="443" spans="1:7" x14ac:dyDescent="0.25">
      <c r="A443">
        <v>435</v>
      </c>
      <c r="B443" s="1">
        <v>21185</v>
      </c>
      <c r="C443" s="2">
        <v>140.7197017834973</v>
      </c>
      <c r="D443" s="2">
        <v>1</v>
      </c>
      <c r="E443">
        <f t="shared" si="20"/>
        <v>12</v>
      </c>
      <c r="F443">
        <f t="shared" si="21"/>
        <v>1957</v>
      </c>
      <c r="G443" s="2">
        <f t="shared" si="22"/>
        <v>0</v>
      </c>
    </row>
    <row r="444" spans="1:7" x14ac:dyDescent="0.25">
      <c r="A444">
        <v>436</v>
      </c>
      <c r="B444" s="1">
        <v>21216</v>
      </c>
      <c r="C444" s="2">
        <v>120.71654124454038</v>
      </c>
      <c r="D444" s="2">
        <v>1</v>
      </c>
      <c r="E444">
        <f t="shared" si="20"/>
        <v>1</v>
      </c>
      <c r="F444">
        <f t="shared" si="21"/>
        <v>1958</v>
      </c>
      <c r="G444" s="2">
        <f t="shared" si="22"/>
        <v>0</v>
      </c>
    </row>
    <row r="445" spans="1:7" x14ac:dyDescent="0.25">
      <c r="A445">
        <v>437</v>
      </c>
      <c r="B445" s="1">
        <v>21244</v>
      </c>
      <c r="C445" s="2">
        <v>114.45563578137684</v>
      </c>
      <c r="D445" s="2">
        <v>1</v>
      </c>
      <c r="E445">
        <f t="shared" si="20"/>
        <v>2</v>
      </c>
      <c r="F445">
        <f t="shared" si="21"/>
        <v>1958</v>
      </c>
      <c r="G445" s="2">
        <f t="shared" si="22"/>
        <v>6356.5444004202673</v>
      </c>
    </row>
    <row r="446" spans="1:7" x14ac:dyDescent="0.25">
      <c r="A446">
        <v>438</v>
      </c>
      <c r="B446" s="1">
        <v>21275</v>
      </c>
      <c r="C446" s="2">
        <v>95.988743796676459</v>
      </c>
      <c r="D446" s="2">
        <v>1</v>
      </c>
      <c r="E446">
        <f t="shared" si="20"/>
        <v>3</v>
      </c>
      <c r="F446">
        <f t="shared" si="21"/>
        <v>1958</v>
      </c>
      <c r="G446" s="2">
        <f t="shared" si="22"/>
        <v>5902.1178003906844</v>
      </c>
    </row>
    <row r="447" spans="1:7" x14ac:dyDescent="0.25">
      <c r="A447">
        <v>439</v>
      </c>
      <c r="B447" s="1">
        <v>21305</v>
      </c>
      <c r="C447" s="2">
        <v>127.84175342511904</v>
      </c>
      <c r="D447" s="2">
        <v>1</v>
      </c>
      <c r="E447">
        <f t="shared" si="20"/>
        <v>4</v>
      </c>
      <c r="F447">
        <f t="shared" si="21"/>
        <v>1958</v>
      </c>
      <c r="G447" s="2">
        <f t="shared" si="22"/>
        <v>0</v>
      </c>
    </row>
    <row r="448" spans="1:7" x14ac:dyDescent="0.25">
      <c r="A448">
        <v>440</v>
      </c>
      <c r="B448" s="1">
        <v>21336</v>
      </c>
      <c r="C448" s="2">
        <v>173.69722718890347</v>
      </c>
      <c r="D448" s="2">
        <v>1</v>
      </c>
      <c r="E448">
        <f t="shared" si="20"/>
        <v>5</v>
      </c>
      <c r="F448">
        <f t="shared" si="21"/>
        <v>1958</v>
      </c>
      <c r="G448" s="2">
        <f t="shared" si="22"/>
        <v>0</v>
      </c>
    </row>
    <row r="449" spans="1:7" x14ac:dyDescent="0.25">
      <c r="A449">
        <v>441</v>
      </c>
      <c r="B449" s="1">
        <v>21366</v>
      </c>
      <c r="C449" s="2">
        <v>230.63820084858219</v>
      </c>
      <c r="D449" s="2">
        <v>1</v>
      </c>
      <c r="E449">
        <f t="shared" si="20"/>
        <v>6</v>
      </c>
      <c r="F449">
        <f t="shared" si="21"/>
        <v>1958</v>
      </c>
      <c r="G449" s="2">
        <f t="shared" si="22"/>
        <v>0</v>
      </c>
    </row>
    <row r="450" spans="1:7" x14ac:dyDescent="0.25">
      <c r="A450">
        <v>442</v>
      </c>
      <c r="B450" s="1">
        <v>21397</v>
      </c>
      <c r="C450" s="2">
        <v>271.7118866711902</v>
      </c>
      <c r="D450" s="2">
        <v>1</v>
      </c>
      <c r="E450">
        <f t="shared" si="20"/>
        <v>7</v>
      </c>
      <c r="F450">
        <f t="shared" si="21"/>
        <v>1958</v>
      </c>
      <c r="G450" s="2">
        <f t="shared" si="22"/>
        <v>0</v>
      </c>
    </row>
    <row r="451" spans="1:7" x14ac:dyDescent="0.25">
      <c r="A451">
        <v>443</v>
      </c>
      <c r="B451" s="1">
        <v>21428</v>
      </c>
      <c r="C451" s="2">
        <v>282.21761897027193</v>
      </c>
      <c r="D451" s="2">
        <v>1</v>
      </c>
      <c r="E451">
        <f t="shared" si="20"/>
        <v>8</v>
      </c>
      <c r="F451">
        <f t="shared" si="21"/>
        <v>1958</v>
      </c>
      <c r="G451" s="2">
        <f t="shared" si="22"/>
        <v>0</v>
      </c>
    </row>
    <row r="452" spans="1:7" x14ac:dyDescent="0.25">
      <c r="A452">
        <v>444</v>
      </c>
      <c r="B452" s="1">
        <v>21458</v>
      </c>
      <c r="C452" s="2">
        <v>245.18670139121073</v>
      </c>
      <c r="D452" s="2">
        <v>1</v>
      </c>
      <c r="E452">
        <f t="shared" si="20"/>
        <v>9</v>
      </c>
      <c r="F452">
        <f t="shared" si="21"/>
        <v>1958</v>
      </c>
      <c r="G452" s="2">
        <f t="shared" si="22"/>
        <v>0</v>
      </c>
    </row>
    <row r="453" spans="1:7" x14ac:dyDescent="0.25">
      <c r="A453">
        <v>445</v>
      </c>
      <c r="B453" s="1">
        <v>21489</v>
      </c>
      <c r="C453" s="2">
        <v>208.40764336055324</v>
      </c>
      <c r="D453" s="2">
        <v>1</v>
      </c>
      <c r="E453">
        <f t="shared" si="20"/>
        <v>10</v>
      </c>
      <c r="F453">
        <f t="shared" si="21"/>
        <v>1958</v>
      </c>
      <c r="G453" s="2">
        <f t="shared" si="22"/>
        <v>0</v>
      </c>
    </row>
    <row r="454" spans="1:7" x14ac:dyDescent="0.25">
      <c r="A454">
        <v>446</v>
      </c>
      <c r="B454" s="1">
        <v>21519</v>
      </c>
      <c r="C454" s="2">
        <v>139.9081154259168</v>
      </c>
      <c r="D454" s="2">
        <v>0.99999999999999989</v>
      </c>
      <c r="E454">
        <f t="shared" si="20"/>
        <v>11</v>
      </c>
      <c r="F454">
        <f t="shared" si="21"/>
        <v>1958</v>
      </c>
      <c r="G454" s="2">
        <f t="shared" si="22"/>
        <v>0</v>
      </c>
    </row>
    <row r="455" spans="1:7" x14ac:dyDescent="0.25">
      <c r="A455">
        <v>447</v>
      </c>
      <c r="B455" s="1">
        <v>21550</v>
      </c>
      <c r="C455" s="2">
        <v>100.09781597435999</v>
      </c>
      <c r="D455" s="2">
        <v>1</v>
      </c>
      <c r="E455">
        <f t="shared" si="20"/>
        <v>12</v>
      </c>
      <c r="F455">
        <f t="shared" si="21"/>
        <v>1958</v>
      </c>
      <c r="G455" s="2">
        <f t="shared" si="22"/>
        <v>0</v>
      </c>
    </row>
    <row r="456" spans="1:7" x14ac:dyDescent="0.25">
      <c r="A456">
        <v>448</v>
      </c>
      <c r="B456" s="1">
        <v>21581</v>
      </c>
      <c r="C456" s="2">
        <v>94.480039683665964</v>
      </c>
      <c r="D456" s="2">
        <v>1</v>
      </c>
      <c r="E456">
        <f t="shared" si="20"/>
        <v>1</v>
      </c>
      <c r="F456">
        <f t="shared" si="21"/>
        <v>1959</v>
      </c>
      <c r="G456" s="2">
        <f t="shared" si="22"/>
        <v>0</v>
      </c>
    </row>
    <row r="457" spans="1:7" x14ac:dyDescent="0.25">
      <c r="A457">
        <v>449</v>
      </c>
      <c r="B457" s="1">
        <v>21609</v>
      </c>
      <c r="C457" s="2">
        <v>108.63618759646828</v>
      </c>
      <c r="D457" s="2">
        <v>1</v>
      </c>
      <c r="E457">
        <f t="shared" si="20"/>
        <v>2</v>
      </c>
      <c r="F457">
        <f t="shared" si="21"/>
        <v>1959</v>
      </c>
      <c r="G457" s="2">
        <f t="shared" si="22"/>
        <v>6033.3486003989001</v>
      </c>
    </row>
    <row r="458" spans="1:7" x14ac:dyDescent="0.25">
      <c r="A458">
        <v>450</v>
      </c>
      <c r="B458" s="1">
        <v>21640</v>
      </c>
      <c r="C458" s="2">
        <v>106.88716825976039</v>
      </c>
      <c r="D458" s="2">
        <v>0.96864608474683778</v>
      </c>
      <c r="E458">
        <f t="shared" ref="E458:E521" si="23">MONTH(B458)</f>
        <v>3</v>
      </c>
      <c r="F458">
        <f t="shared" ref="F458:F521" si="24">YEAR(B458)</f>
        <v>1959</v>
      </c>
      <c r="G458" s="2">
        <f t="shared" ref="G458:G521" si="25">IF(E458=2,C458*$G$5*28,IF(E458=3,C458*$G$5*31,0))</f>
        <v>6572.2358004348534</v>
      </c>
    </row>
    <row r="459" spans="1:7" x14ac:dyDescent="0.25">
      <c r="A459">
        <v>451</v>
      </c>
      <c r="B459" s="1">
        <v>21670</v>
      </c>
      <c r="C459" s="2">
        <v>155.35965745471614</v>
      </c>
      <c r="D459" s="2">
        <v>0.96864608474683778</v>
      </c>
      <c r="E459">
        <f t="shared" si="23"/>
        <v>4</v>
      </c>
      <c r="F459">
        <f t="shared" si="24"/>
        <v>1959</v>
      </c>
      <c r="G459" s="2">
        <f t="shared" si="25"/>
        <v>0</v>
      </c>
    </row>
    <row r="460" spans="1:7" x14ac:dyDescent="0.25">
      <c r="A460">
        <v>452</v>
      </c>
      <c r="B460" s="1">
        <v>21701</v>
      </c>
      <c r="C460" s="2">
        <v>189.91672423298655</v>
      </c>
      <c r="D460" s="2">
        <v>0.96864608474683778</v>
      </c>
      <c r="E460">
        <f t="shared" si="23"/>
        <v>5</v>
      </c>
      <c r="F460">
        <f t="shared" si="24"/>
        <v>1959</v>
      </c>
      <c r="G460" s="2">
        <f t="shared" si="25"/>
        <v>0</v>
      </c>
    </row>
    <row r="461" spans="1:7" x14ac:dyDescent="0.25">
      <c r="A461">
        <v>453</v>
      </c>
      <c r="B461" s="1">
        <v>21731</v>
      </c>
      <c r="C461" s="2">
        <v>249.94227532208066</v>
      </c>
      <c r="D461" s="2">
        <v>0.96864608474683755</v>
      </c>
      <c r="E461">
        <f t="shared" si="23"/>
        <v>6</v>
      </c>
      <c r="F461">
        <f t="shared" si="24"/>
        <v>1959</v>
      </c>
      <c r="G461" s="2">
        <f t="shared" si="25"/>
        <v>0</v>
      </c>
    </row>
    <row r="462" spans="1:7" x14ac:dyDescent="0.25">
      <c r="A462">
        <v>454</v>
      </c>
      <c r="B462" s="1">
        <v>21762</v>
      </c>
      <c r="C462" s="2">
        <v>278.83348316359661</v>
      </c>
      <c r="D462" s="2">
        <v>0.96864608474683755</v>
      </c>
      <c r="E462">
        <f t="shared" si="23"/>
        <v>7</v>
      </c>
      <c r="F462">
        <f t="shared" si="24"/>
        <v>1959</v>
      </c>
      <c r="G462" s="2">
        <f t="shared" si="25"/>
        <v>0</v>
      </c>
    </row>
    <row r="463" spans="1:7" x14ac:dyDescent="0.25">
      <c r="A463">
        <v>455</v>
      </c>
      <c r="B463" s="1">
        <v>21793</v>
      </c>
      <c r="C463" s="2">
        <v>281.64601106700837</v>
      </c>
      <c r="D463" s="2">
        <v>0.96864608474683767</v>
      </c>
      <c r="E463">
        <f t="shared" si="23"/>
        <v>8</v>
      </c>
      <c r="F463">
        <f t="shared" si="24"/>
        <v>1959</v>
      </c>
      <c r="G463" s="2">
        <f t="shared" si="25"/>
        <v>0</v>
      </c>
    </row>
    <row r="464" spans="1:7" x14ac:dyDescent="0.25">
      <c r="A464">
        <v>456</v>
      </c>
      <c r="B464" s="1">
        <v>21823</v>
      </c>
      <c r="C464" s="2">
        <v>247.80503551638381</v>
      </c>
      <c r="D464" s="2">
        <v>0.96864608474683767</v>
      </c>
      <c r="E464">
        <f t="shared" si="23"/>
        <v>9</v>
      </c>
      <c r="F464">
        <f t="shared" si="24"/>
        <v>1959</v>
      </c>
      <c r="G464" s="2">
        <f t="shared" si="25"/>
        <v>0</v>
      </c>
    </row>
    <row r="465" spans="1:7" x14ac:dyDescent="0.25">
      <c r="A465">
        <v>457</v>
      </c>
      <c r="B465" s="1">
        <v>21854</v>
      </c>
      <c r="C465" s="2">
        <v>213.68325149262242</v>
      </c>
      <c r="D465" s="2">
        <v>0.96864608474683767</v>
      </c>
      <c r="E465">
        <f t="shared" si="23"/>
        <v>10</v>
      </c>
      <c r="F465">
        <f t="shared" si="24"/>
        <v>1959</v>
      </c>
      <c r="G465" s="2">
        <f t="shared" si="25"/>
        <v>0</v>
      </c>
    </row>
    <row r="466" spans="1:7" x14ac:dyDescent="0.25">
      <c r="A466">
        <v>458</v>
      </c>
      <c r="B466" s="1">
        <v>21884</v>
      </c>
      <c r="C466" s="2">
        <v>158.89264570494973</v>
      </c>
      <c r="D466" s="2">
        <v>0.96864608474683755</v>
      </c>
      <c r="E466">
        <f t="shared" si="23"/>
        <v>11</v>
      </c>
      <c r="F466">
        <f t="shared" si="24"/>
        <v>1959</v>
      </c>
      <c r="G466" s="2">
        <f t="shared" si="25"/>
        <v>0</v>
      </c>
    </row>
    <row r="467" spans="1:7" x14ac:dyDescent="0.25">
      <c r="A467">
        <v>459</v>
      </c>
      <c r="B467" s="1">
        <v>21915</v>
      </c>
      <c r="C467" s="2">
        <v>140.7197017834973</v>
      </c>
      <c r="D467" s="2">
        <v>0.96864608474683767</v>
      </c>
      <c r="E467">
        <f t="shared" si="23"/>
        <v>12</v>
      </c>
      <c r="F467">
        <f t="shared" si="24"/>
        <v>1959</v>
      </c>
      <c r="G467" s="2">
        <f t="shared" si="25"/>
        <v>0</v>
      </c>
    </row>
    <row r="468" spans="1:7" x14ac:dyDescent="0.25">
      <c r="A468">
        <v>460</v>
      </c>
      <c r="B468" s="1">
        <v>21946</v>
      </c>
      <c r="C468" s="2">
        <v>120.71654124454038</v>
      </c>
      <c r="D468" s="2">
        <v>0.96864608474683755</v>
      </c>
      <c r="E468">
        <f t="shared" si="23"/>
        <v>1</v>
      </c>
      <c r="F468">
        <f t="shared" si="24"/>
        <v>1960</v>
      </c>
      <c r="G468" s="2">
        <f t="shared" si="25"/>
        <v>0</v>
      </c>
    </row>
    <row r="469" spans="1:7" x14ac:dyDescent="0.25">
      <c r="A469">
        <v>461</v>
      </c>
      <c r="B469" s="1">
        <v>21975</v>
      </c>
      <c r="C469" s="2">
        <v>110.50888971995006</v>
      </c>
      <c r="D469" s="2">
        <v>0.5</v>
      </c>
      <c r="E469">
        <f t="shared" si="23"/>
        <v>2</v>
      </c>
      <c r="F469">
        <f t="shared" si="24"/>
        <v>1960</v>
      </c>
      <c r="G469" s="2">
        <f t="shared" si="25"/>
        <v>6137.3532141988799</v>
      </c>
    </row>
    <row r="470" spans="1:7" x14ac:dyDescent="0.25">
      <c r="A470">
        <v>462</v>
      </c>
      <c r="B470" s="1">
        <v>22006</v>
      </c>
      <c r="C470" s="2">
        <v>123.59371307269362</v>
      </c>
      <c r="D470" s="2">
        <v>0.5</v>
      </c>
      <c r="E470">
        <f t="shared" si="23"/>
        <v>3</v>
      </c>
      <c r="F470">
        <f t="shared" si="24"/>
        <v>1960</v>
      </c>
      <c r="G470" s="2">
        <f t="shared" si="25"/>
        <v>7599.4812005028152</v>
      </c>
    </row>
    <row r="471" spans="1:7" x14ac:dyDescent="0.25">
      <c r="A471">
        <v>463</v>
      </c>
      <c r="B471" s="1">
        <v>22036</v>
      </c>
      <c r="C471" s="2">
        <v>181.23525201198251</v>
      </c>
      <c r="D471" s="2">
        <v>0.74560855678569804</v>
      </c>
      <c r="E471">
        <f t="shared" si="23"/>
        <v>4</v>
      </c>
      <c r="F471">
        <f t="shared" si="24"/>
        <v>1960</v>
      </c>
      <c r="G471" s="2">
        <f t="shared" si="25"/>
        <v>0</v>
      </c>
    </row>
    <row r="472" spans="1:7" x14ac:dyDescent="0.25">
      <c r="A472">
        <v>464</v>
      </c>
      <c r="B472" s="1">
        <v>22067</v>
      </c>
      <c r="C472" s="2">
        <v>220.07156033713085</v>
      </c>
      <c r="D472" s="2">
        <v>0.75</v>
      </c>
      <c r="E472">
        <f t="shared" si="23"/>
        <v>5</v>
      </c>
      <c r="F472">
        <f t="shared" si="24"/>
        <v>1960</v>
      </c>
      <c r="G472" s="2">
        <f t="shared" si="25"/>
        <v>0</v>
      </c>
    </row>
    <row r="473" spans="1:7" x14ac:dyDescent="0.25">
      <c r="A473">
        <v>465</v>
      </c>
      <c r="B473" s="1">
        <v>22097</v>
      </c>
      <c r="C473" s="2">
        <v>257.70906701703865</v>
      </c>
      <c r="D473" s="2">
        <v>0.75</v>
      </c>
      <c r="E473">
        <f t="shared" si="23"/>
        <v>6</v>
      </c>
      <c r="F473">
        <f t="shared" si="24"/>
        <v>1960</v>
      </c>
      <c r="G473" s="2">
        <f t="shared" si="25"/>
        <v>0</v>
      </c>
    </row>
    <row r="474" spans="1:7" x14ac:dyDescent="0.25">
      <c r="A474">
        <v>466</v>
      </c>
      <c r="B474" s="1">
        <v>22128</v>
      </c>
      <c r="C474" s="2">
        <v>288.24290179325095</v>
      </c>
      <c r="D474" s="2">
        <v>0.75</v>
      </c>
      <c r="E474">
        <f t="shared" si="23"/>
        <v>7</v>
      </c>
      <c r="F474">
        <f t="shared" si="24"/>
        <v>1960</v>
      </c>
      <c r="G474" s="2">
        <f t="shared" si="25"/>
        <v>0</v>
      </c>
    </row>
    <row r="475" spans="1:7" x14ac:dyDescent="0.25">
      <c r="A475">
        <v>467</v>
      </c>
      <c r="B475" s="1">
        <v>22159</v>
      </c>
      <c r="C475" s="2">
        <v>279.99483921206041</v>
      </c>
      <c r="D475" s="2">
        <v>0.75</v>
      </c>
      <c r="E475">
        <f t="shared" si="23"/>
        <v>8</v>
      </c>
      <c r="F475">
        <f t="shared" si="24"/>
        <v>1960</v>
      </c>
      <c r="G475" s="2">
        <f t="shared" si="25"/>
        <v>0</v>
      </c>
    </row>
    <row r="476" spans="1:7" x14ac:dyDescent="0.25">
      <c r="A476">
        <v>468</v>
      </c>
      <c r="B476" s="1">
        <v>22189</v>
      </c>
      <c r="C476" s="2">
        <v>253.56663201676471</v>
      </c>
      <c r="D476" s="2">
        <v>0.75</v>
      </c>
      <c r="E476">
        <f t="shared" si="23"/>
        <v>9</v>
      </c>
      <c r="F476">
        <f t="shared" si="24"/>
        <v>1960</v>
      </c>
      <c r="G476" s="2">
        <f t="shared" si="25"/>
        <v>0</v>
      </c>
    </row>
    <row r="477" spans="1:7" x14ac:dyDescent="0.25">
      <c r="A477">
        <v>469</v>
      </c>
      <c r="B477" s="1">
        <v>22220</v>
      </c>
      <c r="C477" s="2">
        <v>216.07475469170524</v>
      </c>
      <c r="D477" s="2">
        <v>0.74999999999999989</v>
      </c>
      <c r="E477">
        <f t="shared" si="23"/>
        <v>10</v>
      </c>
      <c r="F477">
        <f t="shared" si="24"/>
        <v>1960</v>
      </c>
      <c r="G477" s="2">
        <f t="shared" si="25"/>
        <v>0</v>
      </c>
    </row>
    <row r="478" spans="1:7" x14ac:dyDescent="0.25">
      <c r="A478">
        <v>470</v>
      </c>
      <c r="B478" s="1">
        <v>22250</v>
      </c>
      <c r="C478" s="2">
        <v>174.85540601156069</v>
      </c>
      <c r="D478" s="2">
        <v>0.75</v>
      </c>
      <c r="E478">
        <f t="shared" si="23"/>
        <v>11</v>
      </c>
      <c r="F478">
        <f t="shared" si="24"/>
        <v>1960</v>
      </c>
      <c r="G478" s="2">
        <f t="shared" si="25"/>
        <v>0</v>
      </c>
    </row>
    <row r="479" spans="1:7" x14ac:dyDescent="0.25">
      <c r="A479">
        <v>471</v>
      </c>
      <c r="B479" s="1">
        <v>22281</v>
      </c>
      <c r="C479" s="2">
        <v>153.1868782359345</v>
      </c>
      <c r="D479" s="2">
        <v>0.75000000000000011</v>
      </c>
      <c r="E479">
        <f t="shared" si="23"/>
        <v>12</v>
      </c>
      <c r="F479">
        <f t="shared" si="24"/>
        <v>1960</v>
      </c>
      <c r="G479" s="2">
        <f t="shared" si="25"/>
        <v>0</v>
      </c>
    </row>
    <row r="480" spans="1:7" x14ac:dyDescent="0.25">
      <c r="A480">
        <v>472</v>
      </c>
      <c r="B480" s="1">
        <v>22312</v>
      </c>
      <c r="C480" s="2">
        <v>148.33069936464571</v>
      </c>
      <c r="D480" s="2">
        <v>0.75</v>
      </c>
      <c r="E480">
        <f t="shared" si="23"/>
        <v>1</v>
      </c>
      <c r="F480">
        <f t="shared" si="24"/>
        <v>1961</v>
      </c>
      <c r="G480" s="2">
        <f t="shared" si="25"/>
        <v>0</v>
      </c>
    </row>
    <row r="481" spans="1:7" x14ac:dyDescent="0.25">
      <c r="A481">
        <v>473</v>
      </c>
      <c r="B481" s="1">
        <v>22340</v>
      </c>
      <c r="C481" s="2">
        <v>145.70191233106175</v>
      </c>
      <c r="D481" s="2">
        <v>0.58611685479475362</v>
      </c>
      <c r="E481">
        <f t="shared" si="23"/>
        <v>2</v>
      </c>
      <c r="F481">
        <f t="shared" si="24"/>
        <v>1961</v>
      </c>
      <c r="G481" s="2">
        <f t="shared" si="25"/>
        <v>8091.8748005349989</v>
      </c>
    </row>
    <row r="482" spans="1:7" x14ac:dyDescent="0.25">
      <c r="A482">
        <v>474</v>
      </c>
      <c r="B482" s="1">
        <v>22371</v>
      </c>
      <c r="C482" s="2">
        <v>123.59371307269366</v>
      </c>
      <c r="D482" s="2">
        <v>0.5</v>
      </c>
      <c r="E482">
        <f t="shared" si="23"/>
        <v>3</v>
      </c>
      <c r="F482">
        <f t="shared" si="24"/>
        <v>1961</v>
      </c>
      <c r="G482" s="2">
        <f t="shared" si="25"/>
        <v>7599.4812005028161</v>
      </c>
    </row>
    <row r="483" spans="1:7" x14ac:dyDescent="0.25">
      <c r="A483">
        <v>475</v>
      </c>
      <c r="B483" s="1">
        <v>22401</v>
      </c>
      <c r="C483" s="2">
        <v>181.23525201198254</v>
      </c>
      <c r="D483" s="2">
        <v>0.80840127489317581</v>
      </c>
      <c r="E483">
        <f t="shared" si="23"/>
        <v>4</v>
      </c>
      <c r="F483">
        <f t="shared" si="24"/>
        <v>1961</v>
      </c>
      <c r="G483" s="2">
        <f t="shared" si="25"/>
        <v>0</v>
      </c>
    </row>
    <row r="484" spans="1:7" x14ac:dyDescent="0.25">
      <c r="A484">
        <v>476</v>
      </c>
      <c r="B484" s="1">
        <v>22432</v>
      </c>
      <c r="C484" s="2">
        <v>220.07156033713082</v>
      </c>
      <c r="D484" s="2">
        <v>0.8084012748931757</v>
      </c>
      <c r="E484">
        <f t="shared" si="23"/>
        <v>5</v>
      </c>
      <c r="F484">
        <f t="shared" si="24"/>
        <v>1961</v>
      </c>
      <c r="G484" s="2">
        <f t="shared" si="25"/>
        <v>0</v>
      </c>
    </row>
    <row r="485" spans="1:7" x14ac:dyDescent="0.25">
      <c r="A485">
        <v>477</v>
      </c>
      <c r="B485" s="1">
        <v>22462</v>
      </c>
      <c r="C485" s="2">
        <v>257.70906701703865</v>
      </c>
      <c r="D485" s="2">
        <v>0.80840127489317581</v>
      </c>
      <c r="E485">
        <f t="shared" si="23"/>
        <v>6</v>
      </c>
      <c r="F485">
        <f t="shared" si="24"/>
        <v>1961</v>
      </c>
      <c r="G485" s="2">
        <f t="shared" si="25"/>
        <v>0</v>
      </c>
    </row>
    <row r="486" spans="1:7" x14ac:dyDescent="0.25">
      <c r="A486">
        <v>478</v>
      </c>
      <c r="B486" s="1">
        <v>22493</v>
      </c>
      <c r="C486" s="2">
        <v>288.24290179325095</v>
      </c>
      <c r="D486" s="2">
        <v>0.8084012748931757</v>
      </c>
      <c r="E486">
        <f t="shared" si="23"/>
        <v>7</v>
      </c>
      <c r="F486">
        <f t="shared" si="24"/>
        <v>1961</v>
      </c>
      <c r="G486" s="2">
        <f t="shared" si="25"/>
        <v>0</v>
      </c>
    </row>
    <row r="487" spans="1:7" x14ac:dyDescent="0.25">
      <c r="A487">
        <v>479</v>
      </c>
      <c r="B487" s="1">
        <v>22524</v>
      </c>
      <c r="C487" s="2">
        <v>279.99483921206041</v>
      </c>
      <c r="D487" s="2">
        <v>0.8084012748931757</v>
      </c>
      <c r="E487">
        <f t="shared" si="23"/>
        <v>8</v>
      </c>
      <c r="F487">
        <f t="shared" si="24"/>
        <v>1961</v>
      </c>
      <c r="G487" s="2">
        <f t="shared" si="25"/>
        <v>0</v>
      </c>
    </row>
    <row r="488" spans="1:7" x14ac:dyDescent="0.25">
      <c r="A488">
        <v>480</v>
      </c>
      <c r="B488" s="1">
        <v>22554</v>
      </c>
      <c r="C488" s="2">
        <v>253.56663201676474</v>
      </c>
      <c r="D488" s="2">
        <v>0.8084012748931757</v>
      </c>
      <c r="E488">
        <f t="shared" si="23"/>
        <v>9</v>
      </c>
      <c r="F488">
        <f t="shared" si="24"/>
        <v>1961</v>
      </c>
      <c r="G488" s="2">
        <f t="shared" si="25"/>
        <v>0</v>
      </c>
    </row>
    <row r="489" spans="1:7" x14ac:dyDescent="0.25">
      <c r="A489">
        <v>481</v>
      </c>
      <c r="B489" s="1">
        <v>22585</v>
      </c>
      <c r="C489" s="2">
        <v>216.07475469170527</v>
      </c>
      <c r="D489" s="2">
        <v>0.8084012748931757</v>
      </c>
      <c r="E489">
        <f t="shared" si="23"/>
        <v>10</v>
      </c>
      <c r="F489">
        <f t="shared" si="24"/>
        <v>1961</v>
      </c>
      <c r="G489" s="2">
        <f t="shared" si="25"/>
        <v>0</v>
      </c>
    </row>
    <row r="490" spans="1:7" x14ac:dyDescent="0.25">
      <c r="A490">
        <v>482</v>
      </c>
      <c r="B490" s="1">
        <v>22615</v>
      </c>
      <c r="C490" s="2">
        <v>174.85540601156069</v>
      </c>
      <c r="D490" s="2">
        <v>0.8084012748931757</v>
      </c>
      <c r="E490">
        <f t="shared" si="23"/>
        <v>11</v>
      </c>
      <c r="F490">
        <f t="shared" si="24"/>
        <v>1961</v>
      </c>
      <c r="G490" s="2">
        <f t="shared" si="25"/>
        <v>0</v>
      </c>
    </row>
    <row r="491" spans="1:7" x14ac:dyDescent="0.25">
      <c r="A491">
        <v>483</v>
      </c>
      <c r="B491" s="1">
        <v>22646</v>
      </c>
      <c r="C491" s="2">
        <v>153.1868782359345</v>
      </c>
      <c r="D491" s="2">
        <v>0.8084012748931757</v>
      </c>
      <c r="E491">
        <f t="shared" si="23"/>
        <v>12</v>
      </c>
      <c r="F491">
        <f t="shared" si="24"/>
        <v>1961</v>
      </c>
      <c r="G491" s="2">
        <f t="shared" si="25"/>
        <v>0</v>
      </c>
    </row>
    <row r="492" spans="1:7" x14ac:dyDescent="0.25">
      <c r="A492">
        <v>484</v>
      </c>
      <c r="B492" s="1">
        <v>22677</v>
      </c>
      <c r="C492" s="2">
        <v>148.33069936464571</v>
      </c>
      <c r="D492" s="2">
        <v>0.8084012748931757</v>
      </c>
      <c r="E492">
        <f t="shared" si="23"/>
        <v>1</v>
      </c>
      <c r="F492">
        <f t="shared" si="24"/>
        <v>1962</v>
      </c>
      <c r="G492" s="2">
        <f t="shared" si="25"/>
        <v>0</v>
      </c>
    </row>
    <row r="493" spans="1:7" x14ac:dyDescent="0.25">
      <c r="A493">
        <v>485</v>
      </c>
      <c r="B493" s="1">
        <v>22705</v>
      </c>
      <c r="C493" s="2">
        <v>145.70191233106175</v>
      </c>
      <c r="D493" s="2">
        <v>0.75000000000000011</v>
      </c>
      <c r="E493">
        <f t="shared" si="23"/>
        <v>2</v>
      </c>
      <c r="F493">
        <f t="shared" si="24"/>
        <v>1962</v>
      </c>
      <c r="G493" s="2">
        <f t="shared" si="25"/>
        <v>8091.8748005349989</v>
      </c>
    </row>
    <row r="494" spans="1:7" x14ac:dyDescent="0.25">
      <c r="A494">
        <v>486</v>
      </c>
      <c r="B494" s="1">
        <v>22736</v>
      </c>
      <c r="C494" s="2">
        <v>106.8871682597629</v>
      </c>
      <c r="D494" s="2">
        <v>0.75</v>
      </c>
      <c r="E494">
        <f t="shared" si="23"/>
        <v>3</v>
      </c>
      <c r="F494">
        <f t="shared" si="24"/>
        <v>1962</v>
      </c>
      <c r="G494" s="2">
        <f t="shared" si="25"/>
        <v>6572.235800435009</v>
      </c>
    </row>
    <row r="495" spans="1:7" x14ac:dyDescent="0.25">
      <c r="A495">
        <v>487</v>
      </c>
      <c r="B495" s="1">
        <v>22766</v>
      </c>
      <c r="C495" s="2">
        <v>155.35965745471617</v>
      </c>
      <c r="D495" s="2">
        <v>1</v>
      </c>
      <c r="E495">
        <f t="shared" si="23"/>
        <v>4</v>
      </c>
      <c r="F495">
        <f t="shared" si="24"/>
        <v>1962</v>
      </c>
      <c r="G495" s="2">
        <f t="shared" si="25"/>
        <v>0</v>
      </c>
    </row>
    <row r="496" spans="1:7" x14ac:dyDescent="0.25">
      <c r="A496">
        <v>488</v>
      </c>
      <c r="B496" s="1">
        <v>22797</v>
      </c>
      <c r="C496" s="2">
        <v>189.91672423298655</v>
      </c>
      <c r="D496" s="2">
        <v>0.99999999999999989</v>
      </c>
      <c r="E496">
        <f t="shared" si="23"/>
        <v>5</v>
      </c>
      <c r="F496">
        <f t="shared" si="24"/>
        <v>1962</v>
      </c>
      <c r="G496" s="2">
        <f t="shared" si="25"/>
        <v>0</v>
      </c>
    </row>
    <row r="497" spans="1:7" x14ac:dyDescent="0.25">
      <c r="A497">
        <v>489</v>
      </c>
      <c r="B497" s="1">
        <v>22827</v>
      </c>
      <c r="C497" s="2">
        <v>249.94227532208066</v>
      </c>
      <c r="D497" s="2">
        <v>1</v>
      </c>
      <c r="E497">
        <f t="shared" si="23"/>
        <v>6</v>
      </c>
      <c r="F497">
        <f t="shared" si="24"/>
        <v>1962</v>
      </c>
      <c r="G497" s="2">
        <f t="shared" si="25"/>
        <v>0</v>
      </c>
    </row>
    <row r="498" spans="1:7" x14ac:dyDescent="0.25">
      <c r="A498">
        <v>490</v>
      </c>
      <c r="B498" s="1">
        <v>22858</v>
      </c>
      <c r="C498" s="2">
        <v>278.83348316359661</v>
      </c>
      <c r="D498" s="2">
        <v>1</v>
      </c>
      <c r="E498">
        <f t="shared" si="23"/>
        <v>7</v>
      </c>
      <c r="F498">
        <f t="shared" si="24"/>
        <v>1962</v>
      </c>
      <c r="G498" s="2">
        <f t="shared" si="25"/>
        <v>0</v>
      </c>
    </row>
    <row r="499" spans="1:7" x14ac:dyDescent="0.25">
      <c r="A499">
        <v>491</v>
      </c>
      <c r="B499" s="1">
        <v>22889</v>
      </c>
      <c r="C499" s="2">
        <v>281.64601106700837</v>
      </c>
      <c r="D499" s="2">
        <v>1</v>
      </c>
      <c r="E499">
        <f t="shared" si="23"/>
        <v>8</v>
      </c>
      <c r="F499">
        <f t="shared" si="24"/>
        <v>1962</v>
      </c>
      <c r="G499" s="2">
        <f t="shared" si="25"/>
        <v>0</v>
      </c>
    </row>
    <row r="500" spans="1:7" x14ac:dyDescent="0.25">
      <c r="A500">
        <v>492</v>
      </c>
      <c r="B500" s="1">
        <v>22919</v>
      </c>
      <c r="C500" s="2">
        <v>247.80503551638381</v>
      </c>
      <c r="D500" s="2">
        <v>1</v>
      </c>
      <c r="E500">
        <f t="shared" si="23"/>
        <v>9</v>
      </c>
      <c r="F500">
        <f t="shared" si="24"/>
        <v>1962</v>
      </c>
      <c r="G500" s="2">
        <f t="shared" si="25"/>
        <v>0</v>
      </c>
    </row>
    <row r="501" spans="1:7" x14ac:dyDescent="0.25">
      <c r="A501">
        <v>493</v>
      </c>
      <c r="B501" s="1">
        <v>22950</v>
      </c>
      <c r="C501" s="2">
        <v>213.68325149262242</v>
      </c>
      <c r="D501" s="2">
        <v>0.99999999999999989</v>
      </c>
      <c r="E501">
        <f t="shared" si="23"/>
        <v>10</v>
      </c>
      <c r="F501">
        <f t="shared" si="24"/>
        <v>1962</v>
      </c>
      <c r="G501" s="2">
        <f t="shared" si="25"/>
        <v>0</v>
      </c>
    </row>
    <row r="502" spans="1:7" x14ac:dyDescent="0.25">
      <c r="A502">
        <v>494</v>
      </c>
      <c r="B502" s="1">
        <v>22980</v>
      </c>
      <c r="C502" s="2">
        <v>158.89264570494973</v>
      </c>
      <c r="D502" s="2">
        <v>1</v>
      </c>
      <c r="E502">
        <f t="shared" si="23"/>
        <v>11</v>
      </c>
      <c r="F502">
        <f t="shared" si="24"/>
        <v>1962</v>
      </c>
      <c r="G502" s="2">
        <f t="shared" si="25"/>
        <v>0</v>
      </c>
    </row>
    <row r="503" spans="1:7" x14ac:dyDescent="0.25">
      <c r="A503">
        <v>495</v>
      </c>
      <c r="B503" s="1">
        <v>23011</v>
      </c>
      <c r="C503" s="2">
        <v>140.7197017834973</v>
      </c>
      <c r="D503" s="2">
        <v>1</v>
      </c>
      <c r="E503">
        <f t="shared" si="23"/>
        <v>12</v>
      </c>
      <c r="F503">
        <f t="shared" si="24"/>
        <v>1962</v>
      </c>
      <c r="G503" s="2">
        <f t="shared" si="25"/>
        <v>0</v>
      </c>
    </row>
    <row r="504" spans="1:7" x14ac:dyDescent="0.25">
      <c r="A504">
        <v>496</v>
      </c>
      <c r="B504" s="1">
        <v>23042</v>
      </c>
      <c r="C504" s="2">
        <v>120.71654124454039</v>
      </c>
      <c r="D504" s="2">
        <v>1</v>
      </c>
      <c r="E504">
        <f t="shared" si="23"/>
        <v>1</v>
      </c>
      <c r="F504">
        <f t="shared" si="24"/>
        <v>1963</v>
      </c>
      <c r="G504" s="2">
        <f t="shared" si="25"/>
        <v>0</v>
      </c>
    </row>
    <row r="505" spans="1:7" x14ac:dyDescent="0.25">
      <c r="A505">
        <v>497</v>
      </c>
      <c r="B505" s="1">
        <v>23070</v>
      </c>
      <c r="C505" s="2">
        <v>114.45563578137686</v>
      </c>
      <c r="D505" s="2">
        <v>1</v>
      </c>
      <c r="E505">
        <f t="shared" si="23"/>
        <v>2</v>
      </c>
      <c r="F505">
        <f t="shared" si="24"/>
        <v>1963</v>
      </c>
      <c r="G505" s="2">
        <f t="shared" si="25"/>
        <v>6356.5444004202682</v>
      </c>
    </row>
    <row r="506" spans="1:7" x14ac:dyDescent="0.25">
      <c r="A506">
        <v>498</v>
      </c>
      <c r="B506" s="1">
        <v>23101</v>
      </c>
      <c r="C506" s="2">
        <v>106.88716825976188</v>
      </c>
      <c r="D506" s="2">
        <v>0.96497204025384731</v>
      </c>
      <c r="E506">
        <f t="shared" si="23"/>
        <v>3</v>
      </c>
      <c r="F506">
        <f t="shared" si="24"/>
        <v>1963</v>
      </c>
      <c r="G506" s="2">
        <f t="shared" si="25"/>
        <v>6572.2358004349453</v>
      </c>
    </row>
    <row r="507" spans="1:7" x14ac:dyDescent="0.25">
      <c r="A507">
        <v>499</v>
      </c>
      <c r="B507" s="1">
        <v>23131</v>
      </c>
      <c r="C507" s="2">
        <v>140.91721845376131</v>
      </c>
      <c r="D507" s="2">
        <v>1</v>
      </c>
      <c r="E507">
        <f t="shared" si="23"/>
        <v>4</v>
      </c>
      <c r="F507">
        <f t="shared" si="24"/>
        <v>1963</v>
      </c>
      <c r="G507" s="2">
        <f t="shared" si="25"/>
        <v>0</v>
      </c>
    </row>
    <row r="508" spans="1:7" x14ac:dyDescent="0.25">
      <c r="A508">
        <v>500</v>
      </c>
      <c r="B508" s="1">
        <v>23162</v>
      </c>
      <c r="C508" s="2">
        <v>173.69722718890341</v>
      </c>
      <c r="D508" s="2">
        <v>1</v>
      </c>
      <c r="E508">
        <f t="shared" si="23"/>
        <v>5</v>
      </c>
      <c r="F508">
        <f t="shared" si="24"/>
        <v>1963</v>
      </c>
      <c r="G508" s="2">
        <f t="shared" si="25"/>
        <v>0</v>
      </c>
    </row>
    <row r="509" spans="1:7" x14ac:dyDescent="0.25">
      <c r="A509">
        <v>501</v>
      </c>
      <c r="B509" s="1">
        <v>23192</v>
      </c>
      <c r="C509" s="2">
        <v>230.63820084858219</v>
      </c>
      <c r="D509" s="2">
        <v>1</v>
      </c>
      <c r="E509">
        <f t="shared" si="23"/>
        <v>6</v>
      </c>
      <c r="F509">
        <f t="shared" si="24"/>
        <v>1963</v>
      </c>
      <c r="G509" s="2">
        <f t="shared" si="25"/>
        <v>0</v>
      </c>
    </row>
    <row r="510" spans="1:7" x14ac:dyDescent="0.25">
      <c r="A510">
        <v>502</v>
      </c>
      <c r="B510" s="1">
        <v>23223</v>
      </c>
      <c r="C510" s="2">
        <v>271.71188667119026</v>
      </c>
      <c r="D510" s="2">
        <v>1</v>
      </c>
      <c r="E510">
        <f t="shared" si="23"/>
        <v>7</v>
      </c>
      <c r="F510">
        <f t="shared" si="24"/>
        <v>1963</v>
      </c>
      <c r="G510" s="2">
        <f t="shared" si="25"/>
        <v>0</v>
      </c>
    </row>
    <row r="511" spans="1:7" x14ac:dyDescent="0.25">
      <c r="A511">
        <v>503</v>
      </c>
      <c r="B511" s="1">
        <v>23254</v>
      </c>
      <c r="C511" s="2">
        <v>282.21761897027193</v>
      </c>
      <c r="D511" s="2">
        <v>1</v>
      </c>
      <c r="E511">
        <f t="shared" si="23"/>
        <v>8</v>
      </c>
      <c r="F511">
        <f t="shared" si="24"/>
        <v>1963</v>
      </c>
      <c r="G511" s="2">
        <f t="shared" si="25"/>
        <v>0</v>
      </c>
    </row>
    <row r="512" spans="1:7" x14ac:dyDescent="0.25">
      <c r="A512">
        <v>504</v>
      </c>
      <c r="B512" s="1">
        <v>23284</v>
      </c>
      <c r="C512" s="2">
        <v>245.1867013912107</v>
      </c>
      <c r="D512" s="2">
        <v>1</v>
      </c>
      <c r="E512">
        <f t="shared" si="23"/>
        <v>9</v>
      </c>
      <c r="F512">
        <f t="shared" si="24"/>
        <v>1963</v>
      </c>
      <c r="G512" s="2">
        <f t="shared" si="25"/>
        <v>0</v>
      </c>
    </row>
    <row r="513" spans="1:7" x14ac:dyDescent="0.25">
      <c r="A513">
        <v>505</v>
      </c>
      <c r="B513" s="1">
        <v>23315</v>
      </c>
      <c r="C513" s="2">
        <v>208.40764336055318</v>
      </c>
      <c r="D513" s="2">
        <v>0.99999999999999989</v>
      </c>
      <c r="E513">
        <f t="shared" si="23"/>
        <v>10</v>
      </c>
      <c r="F513">
        <f t="shared" si="24"/>
        <v>1963</v>
      </c>
      <c r="G513" s="2">
        <f t="shared" si="25"/>
        <v>0</v>
      </c>
    </row>
    <row r="514" spans="1:7" x14ac:dyDescent="0.25">
      <c r="A514">
        <v>506</v>
      </c>
      <c r="B514" s="1">
        <v>23345</v>
      </c>
      <c r="C514" s="2">
        <v>139.9081154259168</v>
      </c>
      <c r="D514" s="2">
        <v>1</v>
      </c>
      <c r="E514">
        <f t="shared" si="23"/>
        <v>11</v>
      </c>
      <c r="F514">
        <f t="shared" si="24"/>
        <v>1963</v>
      </c>
      <c r="G514" s="2">
        <f t="shared" si="25"/>
        <v>0</v>
      </c>
    </row>
    <row r="515" spans="1:7" x14ac:dyDescent="0.25">
      <c r="A515">
        <v>507</v>
      </c>
      <c r="B515" s="1">
        <v>23376</v>
      </c>
      <c r="C515" s="2">
        <v>100.09781597435999</v>
      </c>
      <c r="D515" s="2">
        <v>1</v>
      </c>
      <c r="E515">
        <f t="shared" si="23"/>
        <v>12</v>
      </c>
      <c r="F515">
        <f t="shared" si="24"/>
        <v>1963</v>
      </c>
      <c r="G515" s="2">
        <f t="shared" si="25"/>
        <v>0</v>
      </c>
    </row>
    <row r="516" spans="1:7" x14ac:dyDescent="0.25">
      <c r="A516">
        <v>508</v>
      </c>
      <c r="B516" s="1">
        <v>23407</v>
      </c>
      <c r="C516" s="2">
        <v>94.480039683665979</v>
      </c>
      <c r="D516" s="2">
        <v>1</v>
      </c>
      <c r="E516">
        <f t="shared" si="23"/>
        <v>1</v>
      </c>
      <c r="F516">
        <f t="shared" si="24"/>
        <v>1964</v>
      </c>
      <c r="G516" s="2">
        <f t="shared" si="25"/>
        <v>0</v>
      </c>
    </row>
    <row r="517" spans="1:7" x14ac:dyDescent="0.25">
      <c r="A517">
        <v>509</v>
      </c>
      <c r="B517" s="1">
        <v>23436</v>
      </c>
      <c r="C517" s="2">
        <v>104.8901121621073</v>
      </c>
      <c r="D517" s="2">
        <v>1</v>
      </c>
      <c r="E517">
        <f t="shared" si="23"/>
        <v>2</v>
      </c>
      <c r="F517">
        <f t="shared" si="24"/>
        <v>1964</v>
      </c>
      <c r="G517" s="2">
        <f t="shared" si="25"/>
        <v>5825.3020969368681</v>
      </c>
    </row>
    <row r="518" spans="1:7" x14ac:dyDescent="0.25">
      <c r="A518">
        <v>510</v>
      </c>
      <c r="B518" s="1">
        <v>23467</v>
      </c>
      <c r="C518" s="2">
        <v>106.88716825976176</v>
      </c>
      <c r="D518" s="2">
        <v>0.79582364677059092</v>
      </c>
      <c r="E518">
        <f t="shared" si="23"/>
        <v>3</v>
      </c>
      <c r="F518">
        <f t="shared" si="24"/>
        <v>1964</v>
      </c>
      <c r="G518" s="2">
        <f t="shared" si="25"/>
        <v>6572.235800434938</v>
      </c>
    </row>
    <row r="519" spans="1:7" x14ac:dyDescent="0.25">
      <c r="A519">
        <v>511</v>
      </c>
      <c r="B519" s="1">
        <v>23497</v>
      </c>
      <c r="C519" s="2">
        <v>181.23525201198257</v>
      </c>
      <c r="D519" s="2">
        <v>0.74593239305872694</v>
      </c>
      <c r="E519">
        <f t="shared" si="23"/>
        <v>4</v>
      </c>
      <c r="F519">
        <f t="shared" si="24"/>
        <v>1964</v>
      </c>
      <c r="G519" s="2">
        <f t="shared" si="25"/>
        <v>0</v>
      </c>
    </row>
    <row r="520" spans="1:7" x14ac:dyDescent="0.25">
      <c r="A520">
        <v>512</v>
      </c>
      <c r="B520" s="1">
        <v>23528</v>
      </c>
      <c r="C520" s="2">
        <v>220.07156033713082</v>
      </c>
      <c r="D520" s="2">
        <v>0.75</v>
      </c>
      <c r="E520">
        <f t="shared" si="23"/>
        <v>5</v>
      </c>
      <c r="F520">
        <f t="shared" si="24"/>
        <v>1964</v>
      </c>
      <c r="G520" s="2">
        <f t="shared" si="25"/>
        <v>0</v>
      </c>
    </row>
    <row r="521" spans="1:7" x14ac:dyDescent="0.25">
      <c r="A521">
        <v>513</v>
      </c>
      <c r="B521" s="1">
        <v>23558</v>
      </c>
      <c r="C521" s="2">
        <v>257.70906701703865</v>
      </c>
      <c r="D521" s="2">
        <v>0.74999999999999989</v>
      </c>
      <c r="E521">
        <f t="shared" si="23"/>
        <v>6</v>
      </c>
      <c r="F521">
        <f t="shared" si="24"/>
        <v>1964</v>
      </c>
      <c r="G521" s="2">
        <f t="shared" si="25"/>
        <v>0</v>
      </c>
    </row>
    <row r="522" spans="1:7" x14ac:dyDescent="0.25">
      <c r="A522">
        <v>514</v>
      </c>
      <c r="B522" s="1">
        <v>23589</v>
      </c>
      <c r="C522" s="2">
        <v>288.24290179325095</v>
      </c>
      <c r="D522" s="2">
        <v>0.75</v>
      </c>
      <c r="E522">
        <f t="shared" ref="E522:E585" si="26">MONTH(B522)</f>
        <v>7</v>
      </c>
      <c r="F522">
        <f t="shared" ref="F522:F585" si="27">YEAR(B522)</f>
        <v>1964</v>
      </c>
      <c r="G522" s="2">
        <f t="shared" ref="G522:G585" si="28">IF(E522=2,C522*$G$5*28,IF(E522=3,C522*$G$5*31,0))</f>
        <v>0</v>
      </c>
    </row>
    <row r="523" spans="1:7" x14ac:dyDescent="0.25">
      <c r="A523">
        <v>515</v>
      </c>
      <c r="B523" s="1">
        <v>23620</v>
      </c>
      <c r="C523" s="2">
        <v>279.99483921206041</v>
      </c>
      <c r="D523" s="2">
        <v>0.75</v>
      </c>
      <c r="E523">
        <f t="shared" si="26"/>
        <v>8</v>
      </c>
      <c r="F523">
        <f t="shared" si="27"/>
        <v>1964</v>
      </c>
      <c r="G523" s="2">
        <f t="shared" si="28"/>
        <v>0</v>
      </c>
    </row>
    <row r="524" spans="1:7" x14ac:dyDescent="0.25">
      <c r="A524">
        <v>516</v>
      </c>
      <c r="B524" s="1">
        <v>23650</v>
      </c>
      <c r="C524" s="2">
        <v>253.56663201676474</v>
      </c>
      <c r="D524" s="2">
        <v>0.75</v>
      </c>
      <c r="E524">
        <f t="shared" si="26"/>
        <v>9</v>
      </c>
      <c r="F524">
        <f t="shared" si="27"/>
        <v>1964</v>
      </c>
      <c r="G524" s="2">
        <f t="shared" si="28"/>
        <v>0</v>
      </c>
    </row>
    <row r="525" spans="1:7" x14ac:dyDescent="0.25">
      <c r="A525">
        <v>517</v>
      </c>
      <c r="B525" s="1">
        <v>23681</v>
      </c>
      <c r="C525" s="2">
        <v>216.07475469170527</v>
      </c>
      <c r="D525" s="2">
        <v>0.75</v>
      </c>
      <c r="E525">
        <f t="shared" si="26"/>
        <v>10</v>
      </c>
      <c r="F525">
        <f t="shared" si="27"/>
        <v>1964</v>
      </c>
      <c r="G525" s="2">
        <f t="shared" si="28"/>
        <v>0</v>
      </c>
    </row>
    <row r="526" spans="1:7" x14ac:dyDescent="0.25">
      <c r="A526">
        <v>518</v>
      </c>
      <c r="B526" s="1">
        <v>23711</v>
      </c>
      <c r="C526" s="2">
        <v>174.85540601156069</v>
      </c>
      <c r="D526" s="2">
        <v>0.75000000000000011</v>
      </c>
      <c r="E526">
        <f t="shared" si="26"/>
        <v>11</v>
      </c>
      <c r="F526">
        <f t="shared" si="27"/>
        <v>1964</v>
      </c>
      <c r="G526" s="2">
        <f t="shared" si="28"/>
        <v>0</v>
      </c>
    </row>
    <row r="527" spans="1:7" x14ac:dyDescent="0.25">
      <c r="A527">
        <v>519</v>
      </c>
      <c r="B527" s="1">
        <v>23742</v>
      </c>
      <c r="C527" s="2">
        <v>153.1868782359345</v>
      </c>
      <c r="D527" s="2">
        <v>0.75</v>
      </c>
      <c r="E527">
        <f t="shared" si="26"/>
        <v>12</v>
      </c>
      <c r="F527">
        <f t="shared" si="27"/>
        <v>1964</v>
      </c>
      <c r="G527" s="2">
        <f t="shared" si="28"/>
        <v>0</v>
      </c>
    </row>
    <row r="528" spans="1:7" x14ac:dyDescent="0.25">
      <c r="A528">
        <v>520</v>
      </c>
      <c r="B528" s="1">
        <v>23773</v>
      </c>
      <c r="C528" s="2">
        <v>148.33069936464571</v>
      </c>
      <c r="D528" s="2">
        <v>0.75</v>
      </c>
      <c r="E528">
        <f t="shared" si="26"/>
        <v>1</v>
      </c>
      <c r="F528">
        <f t="shared" si="27"/>
        <v>1965</v>
      </c>
      <c r="G528" s="2">
        <f t="shared" si="28"/>
        <v>0</v>
      </c>
    </row>
    <row r="529" spans="1:7" x14ac:dyDescent="0.25">
      <c r="A529">
        <v>521</v>
      </c>
      <c r="B529" s="1">
        <v>23801</v>
      </c>
      <c r="C529" s="2">
        <v>145.70191233106175</v>
      </c>
      <c r="D529" s="2">
        <v>0.75000000000000011</v>
      </c>
      <c r="E529">
        <f t="shared" si="26"/>
        <v>2</v>
      </c>
      <c r="F529">
        <f t="shared" si="27"/>
        <v>1965</v>
      </c>
      <c r="G529" s="2">
        <f t="shared" si="28"/>
        <v>8091.8748005349989</v>
      </c>
    </row>
    <row r="530" spans="1:7" x14ac:dyDescent="0.25">
      <c r="A530">
        <v>522</v>
      </c>
      <c r="B530" s="1">
        <v>23832</v>
      </c>
      <c r="C530" s="2">
        <v>95.988743796674413</v>
      </c>
      <c r="D530" s="2">
        <v>1</v>
      </c>
      <c r="E530">
        <f t="shared" si="26"/>
        <v>3</v>
      </c>
      <c r="F530">
        <f t="shared" si="27"/>
        <v>1965</v>
      </c>
      <c r="G530" s="2">
        <f t="shared" si="28"/>
        <v>5902.1178003905598</v>
      </c>
    </row>
    <row r="531" spans="1:7" x14ac:dyDescent="0.25">
      <c r="A531">
        <v>523</v>
      </c>
      <c r="B531" s="1">
        <v>23862</v>
      </c>
      <c r="C531" s="2">
        <v>127.84175342511904</v>
      </c>
      <c r="D531" s="2">
        <v>1</v>
      </c>
      <c r="E531">
        <f t="shared" si="26"/>
        <v>4</v>
      </c>
      <c r="F531">
        <f t="shared" si="27"/>
        <v>1965</v>
      </c>
      <c r="G531" s="2">
        <f t="shared" si="28"/>
        <v>0</v>
      </c>
    </row>
    <row r="532" spans="1:7" x14ac:dyDescent="0.25">
      <c r="A532">
        <v>524</v>
      </c>
      <c r="B532" s="1">
        <v>23893</v>
      </c>
      <c r="C532" s="2">
        <v>173.69722718890347</v>
      </c>
      <c r="D532" s="2">
        <v>1</v>
      </c>
      <c r="E532">
        <f t="shared" si="26"/>
        <v>5</v>
      </c>
      <c r="F532">
        <f t="shared" si="27"/>
        <v>1965</v>
      </c>
      <c r="G532" s="2">
        <f t="shared" si="28"/>
        <v>0</v>
      </c>
    </row>
    <row r="533" spans="1:7" x14ac:dyDescent="0.25">
      <c r="A533">
        <v>525</v>
      </c>
      <c r="B533" s="1">
        <v>23923</v>
      </c>
      <c r="C533" s="2">
        <v>230.63820084858216</v>
      </c>
      <c r="D533" s="2">
        <v>1</v>
      </c>
      <c r="E533">
        <f t="shared" si="26"/>
        <v>6</v>
      </c>
      <c r="F533">
        <f t="shared" si="27"/>
        <v>1965</v>
      </c>
      <c r="G533" s="2">
        <f t="shared" si="28"/>
        <v>0</v>
      </c>
    </row>
    <row r="534" spans="1:7" x14ac:dyDescent="0.25">
      <c r="A534">
        <v>526</v>
      </c>
      <c r="B534" s="1">
        <v>23954</v>
      </c>
      <c r="C534" s="2">
        <v>271.71188667119026</v>
      </c>
      <c r="D534" s="2">
        <v>1</v>
      </c>
      <c r="E534">
        <f t="shared" si="26"/>
        <v>7</v>
      </c>
      <c r="F534">
        <f t="shared" si="27"/>
        <v>1965</v>
      </c>
      <c r="G534" s="2">
        <f t="shared" si="28"/>
        <v>0</v>
      </c>
    </row>
    <row r="535" spans="1:7" x14ac:dyDescent="0.25">
      <c r="A535">
        <v>527</v>
      </c>
      <c r="B535" s="1">
        <v>23985</v>
      </c>
      <c r="C535" s="2">
        <v>282.21761897027193</v>
      </c>
      <c r="D535" s="2">
        <v>1</v>
      </c>
      <c r="E535">
        <f t="shared" si="26"/>
        <v>8</v>
      </c>
      <c r="F535">
        <f t="shared" si="27"/>
        <v>1965</v>
      </c>
      <c r="G535" s="2">
        <f t="shared" si="28"/>
        <v>0</v>
      </c>
    </row>
    <row r="536" spans="1:7" x14ac:dyDescent="0.25">
      <c r="A536">
        <v>528</v>
      </c>
      <c r="B536" s="1">
        <v>24015</v>
      </c>
      <c r="C536" s="2">
        <v>245.1867013912107</v>
      </c>
      <c r="D536" s="2">
        <v>1</v>
      </c>
      <c r="E536">
        <f t="shared" si="26"/>
        <v>9</v>
      </c>
      <c r="F536">
        <f t="shared" si="27"/>
        <v>1965</v>
      </c>
      <c r="G536" s="2">
        <f t="shared" si="28"/>
        <v>0</v>
      </c>
    </row>
    <row r="537" spans="1:7" x14ac:dyDescent="0.25">
      <c r="A537">
        <v>529</v>
      </c>
      <c r="B537" s="1">
        <v>24046</v>
      </c>
      <c r="C537" s="2">
        <v>208.40764336055321</v>
      </c>
      <c r="D537" s="2">
        <v>1</v>
      </c>
      <c r="E537">
        <f t="shared" si="26"/>
        <v>10</v>
      </c>
      <c r="F537">
        <f t="shared" si="27"/>
        <v>1965</v>
      </c>
      <c r="G537" s="2">
        <f t="shared" si="28"/>
        <v>0</v>
      </c>
    </row>
    <row r="538" spans="1:7" x14ac:dyDescent="0.25">
      <c r="A538">
        <v>530</v>
      </c>
      <c r="B538" s="1">
        <v>24076</v>
      </c>
      <c r="C538" s="2">
        <v>139.9081154259168</v>
      </c>
      <c r="D538" s="2">
        <v>1</v>
      </c>
      <c r="E538">
        <f t="shared" si="26"/>
        <v>11</v>
      </c>
      <c r="F538">
        <f t="shared" si="27"/>
        <v>1965</v>
      </c>
      <c r="G538" s="2">
        <f t="shared" si="28"/>
        <v>0</v>
      </c>
    </row>
    <row r="539" spans="1:7" x14ac:dyDescent="0.25">
      <c r="A539">
        <v>531</v>
      </c>
      <c r="B539" s="1">
        <v>24107</v>
      </c>
      <c r="C539" s="2">
        <v>100.09781597436</v>
      </c>
      <c r="D539" s="2">
        <v>1</v>
      </c>
      <c r="E539">
        <f t="shared" si="26"/>
        <v>12</v>
      </c>
      <c r="F539">
        <f t="shared" si="27"/>
        <v>1965</v>
      </c>
      <c r="G539" s="2">
        <f t="shared" si="28"/>
        <v>0</v>
      </c>
    </row>
    <row r="540" spans="1:7" x14ac:dyDescent="0.25">
      <c r="A540">
        <v>532</v>
      </c>
      <c r="B540" s="1">
        <v>24138</v>
      </c>
      <c r="C540" s="2">
        <v>94.480039683665964</v>
      </c>
      <c r="D540" s="2">
        <v>1</v>
      </c>
      <c r="E540">
        <f t="shared" si="26"/>
        <v>1</v>
      </c>
      <c r="F540">
        <f t="shared" si="27"/>
        <v>1966</v>
      </c>
      <c r="G540" s="2">
        <f t="shared" si="28"/>
        <v>0</v>
      </c>
    </row>
    <row r="541" spans="1:7" x14ac:dyDescent="0.25">
      <c r="A541">
        <v>533</v>
      </c>
      <c r="B541" s="1">
        <v>24166</v>
      </c>
      <c r="C541" s="2">
        <v>108.63618759646828</v>
      </c>
      <c r="D541" s="2">
        <v>1</v>
      </c>
      <c r="E541">
        <f t="shared" si="26"/>
        <v>2</v>
      </c>
      <c r="F541">
        <f t="shared" si="27"/>
        <v>1966</v>
      </c>
      <c r="G541" s="2">
        <f t="shared" si="28"/>
        <v>6033.3486003989001</v>
      </c>
    </row>
    <row r="542" spans="1:7" x14ac:dyDescent="0.25">
      <c r="A542">
        <v>534</v>
      </c>
      <c r="B542" s="1">
        <v>24197</v>
      </c>
      <c r="C542" s="2">
        <v>106.88716825976077</v>
      </c>
      <c r="D542" s="2">
        <v>1</v>
      </c>
      <c r="E542">
        <f t="shared" si="26"/>
        <v>3</v>
      </c>
      <c r="F542">
        <f t="shared" si="27"/>
        <v>1966</v>
      </c>
      <c r="G542" s="2">
        <f t="shared" si="28"/>
        <v>6572.2358004348771</v>
      </c>
    </row>
    <row r="543" spans="1:7" x14ac:dyDescent="0.25">
      <c r="A543">
        <v>535</v>
      </c>
      <c r="B543" s="1">
        <v>24227</v>
      </c>
      <c r="C543" s="2">
        <v>155.35965745471617</v>
      </c>
      <c r="D543" s="2">
        <v>1</v>
      </c>
      <c r="E543">
        <f t="shared" si="26"/>
        <v>4</v>
      </c>
      <c r="F543">
        <f t="shared" si="27"/>
        <v>1966</v>
      </c>
      <c r="G543" s="2">
        <f t="shared" si="28"/>
        <v>0</v>
      </c>
    </row>
    <row r="544" spans="1:7" x14ac:dyDescent="0.25">
      <c r="A544">
        <v>536</v>
      </c>
      <c r="B544" s="1">
        <v>24258</v>
      </c>
      <c r="C544" s="2">
        <v>189.91672423298655</v>
      </c>
      <c r="D544" s="2">
        <v>1</v>
      </c>
      <c r="E544">
        <f t="shared" si="26"/>
        <v>5</v>
      </c>
      <c r="F544">
        <f t="shared" si="27"/>
        <v>1966</v>
      </c>
      <c r="G544" s="2">
        <f t="shared" si="28"/>
        <v>0</v>
      </c>
    </row>
    <row r="545" spans="1:7" x14ac:dyDescent="0.25">
      <c r="A545">
        <v>537</v>
      </c>
      <c r="B545" s="1">
        <v>24288</v>
      </c>
      <c r="C545" s="2">
        <v>249.9422753220806</v>
      </c>
      <c r="D545" s="2">
        <v>1</v>
      </c>
      <c r="E545">
        <f t="shared" si="26"/>
        <v>6</v>
      </c>
      <c r="F545">
        <f t="shared" si="27"/>
        <v>1966</v>
      </c>
      <c r="G545" s="2">
        <f t="shared" si="28"/>
        <v>0</v>
      </c>
    </row>
    <row r="546" spans="1:7" x14ac:dyDescent="0.25">
      <c r="A546">
        <v>538</v>
      </c>
      <c r="B546" s="1">
        <v>24319</v>
      </c>
      <c r="C546" s="2">
        <v>278.83348316359661</v>
      </c>
      <c r="D546" s="2">
        <v>1</v>
      </c>
      <c r="E546">
        <f t="shared" si="26"/>
        <v>7</v>
      </c>
      <c r="F546">
        <f t="shared" si="27"/>
        <v>1966</v>
      </c>
      <c r="G546" s="2">
        <f t="shared" si="28"/>
        <v>0</v>
      </c>
    </row>
    <row r="547" spans="1:7" x14ac:dyDescent="0.25">
      <c r="A547">
        <v>539</v>
      </c>
      <c r="B547" s="1">
        <v>24350</v>
      </c>
      <c r="C547" s="2">
        <v>281.64601106700837</v>
      </c>
      <c r="D547" s="2">
        <v>1</v>
      </c>
      <c r="E547">
        <f t="shared" si="26"/>
        <v>8</v>
      </c>
      <c r="F547">
        <f t="shared" si="27"/>
        <v>1966</v>
      </c>
      <c r="G547" s="2">
        <f t="shared" si="28"/>
        <v>0</v>
      </c>
    </row>
    <row r="548" spans="1:7" x14ac:dyDescent="0.25">
      <c r="A548">
        <v>540</v>
      </c>
      <c r="B548" s="1">
        <v>24380</v>
      </c>
      <c r="C548" s="2">
        <v>247.80503551638381</v>
      </c>
      <c r="D548" s="2">
        <v>1</v>
      </c>
      <c r="E548">
        <f t="shared" si="26"/>
        <v>9</v>
      </c>
      <c r="F548">
        <f t="shared" si="27"/>
        <v>1966</v>
      </c>
      <c r="G548" s="2">
        <f t="shared" si="28"/>
        <v>0</v>
      </c>
    </row>
    <row r="549" spans="1:7" x14ac:dyDescent="0.25">
      <c r="A549">
        <v>541</v>
      </c>
      <c r="B549" s="1">
        <v>24411</v>
      </c>
      <c r="C549" s="2">
        <v>213.68325149262245</v>
      </c>
      <c r="D549" s="2">
        <v>1</v>
      </c>
      <c r="E549">
        <f t="shared" si="26"/>
        <v>10</v>
      </c>
      <c r="F549">
        <f t="shared" si="27"/>
        <v>1966</v>
      </c>
      <c r="G549" s="2">
        <f t="shared" si="28"/>
        <v>0</v>
      </c>
    </row>
    <row r="550" spans="1:7" x14ac:dyDescent="0.25">
      <c r="A550">
        <v>542</v>
      </c>
      <c r="B550" s="1">
        <v>24441</v>
      </c>
      <c r="C550" s="2">
        <v>158.89264570494973</v>
      </c>
      <c r="D550" s="2">
        <v>1</v>
      </c>
      <c r="E550">
        <f t="shared" si="26"/>
        <v>11</v>
      </c>
      <c r="F550">
        <f t="shared" si="27"/>
        <v>1966</v>
      </c>
      <c r="G550" s="2">
        <f t="shared" si="28"/>
        <v>0</v>
      </c>
    </row>
    <row r="551" spans="1:7" x14ac:dyDescent="0.25">
      <c r="A551">
        <v>543</v>
      </c>
      <c r="B551" s="1">
        <v>24472</v>
      </c>
      <c r="C551" s="2">
        <v>140.7197017834973</v>
      </c>
      <c r="D551" s="2">
        <v>1</v>
      </c>
      <c r="E551">
        <f t="shared" si="26"/>
        <v>12</v>
      </c>
      <c r="F551">
        <f t="shared" si="27"/>
        <v>1966</v>
      </c>
      <c r="G551" s="2">
        <f t="shared" si="28"/>
        <v>0</v>
      </c>
    </row>
    <row r="552" spans="1:7" x14ac:dyDescent="0.25">
      <c r="A552">
        <v>544</v>
      </c>
      <c r="B552" s="1">
        <v>24503</v>
      </c>
      <c r="C552" s="2">
        <v>120.71654124454039</v>
      </c>
      <c r="D552" s="2">
        <v>1</v>
      </c>
      <c r="E552">
        <f t="shared" si="26"/>
        <v>1</v>
      </c>
      <c r="F552">
        <f t="shared" si="27"/>
        <v>1967</v>
      </c>
      <c r="G552" s="2">
        <f t="shared" si="28"/>
        <v>0</v>
      </c>
    </row>
    <row r="553" spans="1:7" x14ac:dyDescent="0.25">
      <c r="A553">
        <v>545</v>
      </c>
      <c r="B553" s="1">
        <v>24531</v>
      </c>
      <c r="C553" s="2">
        <v>114.45563578137684</v>
      </c>
      <c r="D553" s="2">
        <v>1</v>
      </c>
      <c r="E553">
        <f t="shared" si="26"/>
        <v>2</v>
      </c>
      <c r="F553">
        <f t="shared" si="27"/>
        <v>1967</v>
      </c>
      <c r="G553" s="2">
        <f t="shared" si="28"/>
        <v>6356.5444004202673</v>
      </c>
    </row>
    <row r="554" spans="1:7" x14ac:dyDescent="0.25">
      <c r="A554">
        <v>546</v>
      </c>
      <c r="B554" s="1">
        <v>24562</v>
      </c>
      <c r="C554" s="2">
        <v>96.914806888134024</v>
      </c>
      <c r="D554" s="2">
        <v>1</v>
      </c>
      <c r="E554">
        <f t="shared" si="26"/>
        <v>3</v>
      </c>
      <c r="F554">
        <f t="shared" si="27"/>
        <v>1967</v>
      </c>
      <c r="G554" s="2">
        <f t="shared" si="28"/>
        <v>5959.0592003943566</v>
      </c>
    </row>
    <row r="555" spans="1:7" x14ac:dyDescent="0.25">
      <c r="A555">
        <v>547</v>
      </c>
      <c r="B555" s="1">
        <v>24592</v>
      </c>
      <c r="C555" s="2">
        <v>127.84175342511904</v>
      </c>
      <c r="D555" s="2">
        <v>1</v>
      </c>
      <c r="E555">
        <f t="shared" si="26"/>
        <v>4</v>
      </c>
      <c r="F555">
        <f t="shared" si="27"/>
        <v>1967</v>
      </c>
      <c r="G555" s="2">
        <f t="shared" si="28"/>
        <v>0</v>
      </c>
    </row>
    <row r="556" spans="1:7" x14ac:dyDescent="0.25">
      <c r="A556">
        <v>548</v>
      </c>
      <c r="B556" s="1">
        <v>24623</v>
      </c>
      <c r="C556" s="2">
        <v>173.69722718890347</v>
      </c>
      <c r="D556" s="2">
        <v>1</v>
      </c>
      <c r="E556">
        <f t="shared" si="26"/>
        <v>5</v>
      </c>
      <c r="F556">
        <f t="shared" si="27"/>
        <v>1967</v>
      </c>
      <c r="G556" s="2">
        <f t="shared" si="28"/>
        <v>0</v>
      </c>
    </row>
    <row r="557" spans="1:7" x14ac:dyDescent="0.25">
      <c r="A557">
        <v>549</v>
      </c>
      <c r="B557" s="1">
        <v>24653</v>
      </c>
      <c r="C557" s="2">
        <v>230.63820084858213</v>
      </c>
      <c r="D557" s="2">
        <v>1</v>
      </c>
      <c r="E557">
        <f t="shared" si="26"/>
        <v>6</v>
      </c>
      <c r="F557">
        <f t="shared" si="27"/>
        <v>1967</v>
      </c>
      <c r="G557" s="2">
        <f t="shared" si="28"/>
        <v>0</v>
      </c>
    </row>
    <row r="558" spans="1:7" x14ac:dyDescent="0.25">
      <c r="A558">
        <v>550</v>
      </c>
      <c r="B558" s="1">
        <v>24684</v>
      </c>
      <c r="C558" s="2">
        <v>271.71188667119026</v>
      </c>
      <c r="D558" s="2">
        <v>1</v>
      </c>
      <c r="E558">
        <f t="shared" si="26"/>
        <v>7</v>
      </c>
      <c r="F558">
        <f t="shared" si="27"/>
        <v>1967</v>
      </c>
      <c r="G558" s="2">
        <f t="shared" si="28"/>
        <v>0</v>
      </c>
    </row>
    <row r="559" spans="1:7" x14ac:dyDescent="0.25">
      <c r="A559">
        <v>551</v>
      </c>
      <c r="B559" s="1">
        <v>24715</v>
      </c>
      <c r="C559" s="2">
        <v>282.21761897027193</v>
      </c>
      <c r="D559" s="2">
        <v>0.99999999999999989</v>
      </c>
      <c r="E559">
        <f t="shared" si="26"/>
        <v>8</v>
      </c>
      <c r="F559">
        <f t="shared" si="27"/>
        <v>1967</v>
      </c>
      <c r="G559" s="2">
        <f t="shared" si="28"/>
        <v>0</v>
      </c>
    </row>
    <row r="560" spans="1:7" x14ac:dyDescent="0.25">
      <c r="A560">
        <v>552</v>
      </c>
      <c r="B560" s="1">
        <v>24745</v>
      </c>
      <c r="C560" s="2">
        <v>245.18670139121073</v>
      </c>
      <c r="D560" s="2">
        <v>1</v>
      </c>
      <c r="E560">
        <f t="shared" si="26"/>
        <v>9</v>
      </c>
      <c r="F560">
        <f t="shared" si="27"/>
        <v>1967</v>
      </c>
      <c r="G560" s="2">
        <f t="shared" si="28"/>
        <v>0</v>
      </c>
    </row>
    <row r="561" spans="1:7" x14ac:dyDescent="0.25">
      <c r="A561">
        <v>553</v>
      </c>
      <c r="B561" s="1">
        <v>24776</v>
      </c>
      <c r="C561" s="2">
        <v>208.40764336055321</v>
      </c>
      <c r="D561" s="2">
        <v>1</v>
      </c>
      <c r="E561">
        <f t="shared" si="26"/>
        <v>10</v>
      </c>
      <c r="F561">
        <f t="shared" si="27"/>
        <v>1967</v>
      </c>
      <c r="G561" s="2">
        <f t="shared" si="28"/>
        <v>0</v>
      </c>
    </row>
    <row r="562" spans="1:7" x14ac:dyDescent="0.25">
      <c r="A562">
        <v>554</v>
      </c>
      <c r="B562" s="1">
        <v>24806</v>
      </c>
      <c r="C562" s="2">
        <v>139.9081154259168</v>
      </c>
      <c r="D562" s="2">
        <v>1</v>
      </c>
      <c r="E562">
        <f t="shared" si="26"/>
        <v>11</v>
      </c>
      <c r="F562">
        <f t="shared" si="27"/>
        <v>1967</v>
      </c>
      <c r="G562" s="2">
        <f t="shared" si="28"/>
        <v>0</v>
      </c>
    </row>
    <row r="563" spans="1:7" x14ac:dyDescent="0.25">
      <c r="A563">
        <v>555</v>
      </c>
      <c r="B563" s="1">
        <v>24837</v>
      </c>
      <c r="C563" s="2">
        <v>100.09781597435999</v>
      </c>
      <c r="D563" s="2">
        <v>1</v>
      </c>
      <c r="E563">
        <f t="shared" si="26"/>
        <v>12</v>
      </c>
      <c r="F563">
        <f t="shared" si="27"/>
        <v>1967</v>
      </c>
      <c r="G563" s="2">
        <f t="shared" si="28"/>
        <v>0</v>
      </c>
    </row>
    <row r="564" spans="1:7" x14ac:dyDescent="0.25">
      <c r="A564">
        <v>556</v>
      </c>
      <c r="B564" s="1">
        <v>24868</v>
      </c>
      <c r="C564" s="2">
        <v>94.480039683665979</v>
      </c>
      <c r="D564" s="2">
        <v>1</v>
      </c>
      <c r="E564">
        <f t="shared" si="26"/>
        <v>1</v>
      </c>
      <c r="F564">
        <f t="shared" si="27"/>
        <v>1968</v>
      </c>
      <c r="G564" s="2">
        <f t="shared" si="28"/>
        <v>0</v>
      </c>
    </row>
    <row r="565" spans="1:7" x14ac:dyDescent="0.25">
      <c r="A565">
        <v>557</v>
      </c>
      <c r="B565" s="1">
        <v>24897</v>
      </c>
      <c r="C565" s="2">
        <v>104.89011216210731</v>
      </c>
      <c r="D565" s="2">
        <v>1</v>
      </c>
      <c r="E565">
        <f t="shared" si="26"/>
        <v>2</v>
      </c>
      <c r="F565">
        <f t="shared" si="27"/>
        <v>1968</v>
      </c>
      <c r="G565" s="2">
        <f t="shared" si="28"/>
        <v>5825.302096936869</v>
      </c>
    </row>
    <row r="566" spans="1:7" x14ac:dyDescent="0.25">
      <c r="A566">
        <v>558</v>
      </c>
      <c r="B566" s="1">
        <v>24928</v>
      </c>
      <c r="C566" s="2">
        <v>106.88716825976071</v>
      </c>
      <c r="D566" s="2">
        <v>0.74999999999999989</v>
      </c>
      <c r="E566">
        <f t="shared" si="26"/>
        <v>3</v>
      </c>
      <c r="F566">
        <f t="shared" si="27"/>
        <v>1968</v>
      </c>
      <c r="G566" s="2">
        <f t="shared" si="28"/>
        <v>6572.2358004348735</v>
      </c>
    </row>
    <row r="567" spans="1:7" x14ac:dyDescent="0.25">
      <c r="A567">
        <v>559</v>
      </c>
      <c r="B567" s="1">
        <v>24958</v>
      </c>
      <c r="C567" s="2">
        <v>155.35965745471617</v>
      </c>
      <c r="D567" s="2">
        <v>0.90875023265189947</v>
      </c>
      <c r="E567">
        <f t="shared" si="26"/>
        <v>4</v>
      </c>
      <c r="F567">
        <f t="shared" si="27"/>
        <v>1968</v>
      </c>
      <c r="G567" s="2">
        <f t="shared" si="28"/>
        <v>0</v>
      </c>
    </row>
    <row r="568" spans="1:7" x14ac:dyDescent="0.25">
      <c r="A568">
        <v>560</v>
      </c>
      <c r="B568" s="1">
        <v>24989</v>
      </c>
      <c r="C568" s="2">
        <v>189.91672423298658</v>
      </c>
      <c r="D568" s="2">
        <v>0.92632289614658658</v>
      </c>
      <c r="E568">
        <f t="shared" si="26"/>
        <v>5</v>
      </c>
      <c r="F568">
        <f t="shared" si="27"/>
        <v>1968</v>
      </c>
      <c r="G568" s="2">
        <f t="shared" si="28"/>
        <v>0</v>
      </c>
    </row>
    <row r="569" spans="1:7" x14ac:dyDescent="0.25">
      <c r="A569">
        <v>561</v>
      </c>
      <c r="B569" s="1">
        <v>25019</v>
      </c>
      <c r="C569" s="2">
        <v>249.94227532208063</v>
      </c>
      <c r="D569" s="2">
        <v>0.92632289614658658</v>
      </c>
      <c r="E569">
        <f t="shared" si="26"/>
        <v>6</v>
      </c>
      <c r="F569">
        <f t="shared" si="27"/>
        <v>1968</v>
      </c>
      <c r="G569" s="2">
        <f t="shared" si="28"/>
        <v>0</v>
      </c>
    </row>
    <row r="570" spans="1:7" x14ac:dyDescent="0.25">
      <c r="A570">
        <v>562</v>
      </c>
      <c r="B570" s="1">
        <v>25050</v>
      </c>
      <c r="C570" s="2">
        <v>278.83348316359661</v>
      </c>
      <c r="D570" s="2">
        <v>0.92632289614658669</v>
      </c>
      <c r="E570">
        <f t="shared" si="26"/>
        <v>7</v>
      </c>
      <c r="F570">
        <f t="shared" si="27"/>
        <v>1968</v>
      </c>
      <c r="G570" s="2">
        <f t="shared" si="28"/>
        <v>0</v>
      </c>
    </row>
    <row r="571" spans="1:7" x14ac:dyDescent="0.25">
      <c r="A571">
        <v>563</v>
      </c>
      <c r="B571" s="1">
        <v>25081</v>
      </c>
      <c r="C571" s="2">
        <v>281.64601106700837</v>
      </c>
      <c r="D571" s="2">
        <v>0.92632289614658658</v>
      </c>
      <c r="E571">
        <f t="shared" si="26"/>
        <v>8</v>
      </c>
      <c r="F571">
        <f t="shared" si="27"/>
        <v>1968</v>
      </c>
      <c r="G571" s="2">
        <f t="shared" si="28"/>
        <v>0</v>
      </c>
    </row>
    <row r="572" spans="1:7" x14ac:dyDescent="0.25">
      <c r="A572">
        <v>564</v>
      </c>
      <c r="B572" s="1">
        <v>25111</v>
      </c>
      <c r="C572" s="2">
        <v>247.80503551638381</v>
      </c>
      <c r="D572" s="2">
        <v>0.92632289614658658</v>
      </c>
      <c r="E572">
        <f t="shared" si="26"/>
        <v>9</v>
      </c>
      <c r="F572">
        <f t="shared" si="27"/>
        <v>1968</v>
      </c>
      <c r="G572" s="2">
        <f t="shared" si="28"/>
        <v>0</v>
      </c>
    </row>
    <row r="573" spans="1:7" x14ac:dyDescent="0.25">
      <c r="A573">
        <v>565</v>
      </c>
      <c r="B573" s="1">
        <v>25142</v>
      </c>
      <c r="C573" s="2">
        <v>213.68325149262245</v>
      </c>
      <c r="D573" s="2">
        <v>0.92632289614658658</v>
      </c>
      <c r="E573">
        <f t="shared" si="26"/>
        <v>10</v>
      </c>
      <c r="F573">
        <f t="shared" si="27"/>
        <v>1968</v>
      </c>
      <c r="G573" s="2">
        <f t="shared" si="28"/>
        <v>0</v>
      </c>
    </row>
    <row r="574" spans="1:7" x14ac:dyDescent="0.25">
      <c r="A574">
        <v>566</v>
      </c>
      <c r="B574" s="1">
        <v>25172</v>
      </c>
      <c r="C574" s="2">
        <v>158.8926457049497</v>
      </c>
      <c r="D574" s="2">
        <v>0.92632289614658658</v>
      </c>
      <c r="E574">
        <f t="shared" si="26"/>
        <v>11</v>
      </c>
      <c r="F574">
        <f t="shared" si="27"/>
        <v>1968</v>
      </c>
      <c r="G574" s="2">
        <f t="shared" si="28"/>
        <v>0</v>
      </c>
    </row>
    <row r="575" spans="1:7" x14ac:dyDescent="0.25">
      <c r="A575">
        <v>567</v>
      </c>
      <c r="B575" s="1">
        <v>25203</v>
      </c>
      <c r="C575" s="2">
        <v>140.7197017834973</v>
      </c>
      <c r="D575" s="2">
        <v>0.92632289614658658</v>
      </c>
      <c r="E575">
        <f t="shared" si="26"/>
        <v>12</v>
      </c>
      <c r="F575">
        <f t="shared" si="27"/>
        <v>1968</v>
      </c>
      <c r="G575" s="2">
        <f t="shared" si="28"/>
        <v>0</v>
      </c>
    </row>
    <row r="576" spans="1:7" x14ac:dyDescent="0.25">
      <c r="A576">
        <v>568</v>
      </c>
      <c r="B576" s="1">
        <v>25234</v>
      </c>
      <c r="C576" s="2">
        <v>120.71654124454039</v>
      </c>
      <c r="D576" s="2">
        <v>0.92632289614658658</v>
      </c>
      <c r="E576">
        <f t="shared" si="26"/>
        <v>1</v>
      </c>
      <c r="F576">
        <f t="shared" si="27"/>
        <v>1969</v>
      </c>
      <c r="G576" s="2">
        <f t="shared" si="28"/>
        <v>0</v>
      </c>
    </row>
    <row r="577" spans="1:7" x14ac:dyDescent="0.25">
      <c r="A577">
        <v>569</v>
      </c>
      <c r="B577" s="1">
        <v>25262</v>
      </c>
      <c r="C577" s="2">
        <v>114.45563578137684</v>
      </c>
      <c r="D577" s="2">
        <v>0.92632289614658658</v>
      </c>
      <c r="E577">
        <f t="shared" si="26"/>
        <v>2</v>
      </c>
      <c r="F577">
        <f t="shared" si="27"/>
        <v>1969</v>
      </c>
      <c r="G577" s="2">
        <f t="shared" si="28"/>
        <v>6356.5444004202673</v>
      </c>
    </row>
    <row r="578" spans="1:7" x14ac:dyDescent="0.25">
      <c r="A578">
        <v>570</v>
      </c>
      <c r="B578" s="1">
        <v>25293</v>
      </c>
      <c r="C578" s="2">
        <v>95.988743796674683</v>
      </c>
      <c r="D578" s="2">
        <v>1</v>
      </c>
      <c r="E578">
        <f t="shared" si="26"/>
        <v>3</v>
      </c>
      <c r="F578">
        <f t="shared" si="27"/>
        <v>1969</v>
      </c>
      <c r="G578" s="2">
        <f t="shared" si="28"/>
        <v>5902.1178003905752</v>
      </c>
    </row>
    <row r="579" spans="1:7" x14ac:dyDescent="0.25">
      <c r="A579">
        <v>571</v>
      </c>
      <c r="B579" s="1">
        <v>25323</v>
      </c>
      <c r="C579" s="2">
        <v>127.84175342511905</v>
      </c>
      <c r="D579" s="2">
        <v>1</v>
      </c>
      <c r="E579">
        <f t="shared" si="26"/>
        <v>4</v>
      </c>
      <c r="F579">
        <f t="shared" si="27"/>
        <v>1969</v>
      </c>
      <c r="G579" s="2">
        <f t="shared" si="28"/>
        <v>0</v>
      </c>
    </row>
    <row r="580" spans="1:7" x14ac:dyDescent="0.25">
      <c r="A580">
        <v>572</v>
      </c>
      <c r="B580" s="1">
        <v>25354</v>
      </c>
      <c r="C580" s="2">
        <v>173.69722718890347</v>
      </c>
      <c r="D580" s="2">
        <v>1</v>
      </c>
      <c r="E580">
        <f t="shared" si="26"/>
        <v>5</v>
      </c>
      <c r="F580">
        <f t="shared" si="27"/>
        <v>1969</v>
      </c>
      <c r="G580" s="2">
        <f t="shared" si="28"/>
        <v>0</v>
      </c>
    </row>
    <row r="581" spans="1:7" x14ac:dyDescent="0.25">
      <c r="A581">
        <v>573</v>
      </c>
      <c r="B581" s="1">
        <v>25384</v>
      </c>
      <c r="C581" s="2">
        <v>230.63820084858216</v>
      </c>
      <c r="D581" s="2">
        <v>1</v>
      </c>
      <c r="E581">
        <f t="shared" si="26"/>
        <v>6</v>
      </c>
      <c r="F581">
        <f t="shared" si="27"/>
        <v>1969</v>
      </c>
      <c r="G581" s="2">
        <f t="shared" si="28"/>
        <v>0</v>
      </c>
    </row>
    <row r="582" spans="1:7" x14ac:dyDescent="0.25">
      <c r="A582">
        <v>574</v>
      </c>
      <c r="B582" s="1">
        <v>25415</v>
      </c>
      <c r="C582" s="2">
        <v>271.71188667119026</v>
      </c>
      <c r="D582" s="2">
        <v>1</v>
      </c>
      <c r="E582">
        <f t="shared" si="26"/>
        <v>7</v>
      </c>
      <c r="F582">
        <f t="shared" si="27"/>
        <v>1969</v>
      </c>
      <c r="G582" s="2">
        <f t="shared" si="28"/>
        <v>0</v>
      </c>
    </row>
    <row r="583" spans="1:7" x14ac:dyDescent="0.25">
      <c r="A583">
        <v>575</v>
      </c>
      <c r="B583" s="1">
        <v>25446</v>
      </c>
      <c r="C583" s="2">
        <v>282.21761897027193</v>
      </c>
      <c r="D583" s="2">
        <v>1</v>
      </c>
      <c r="E583">
        <f t="shared" si="26"/>
        <v>8</v>
      </c>
      <c r="F583">
        <f t="shared" si="27"/>
        <v>1969</v>
      </c>
      <c r="G583" s="2">
        <f t="shared" si="28"/>
        <v>0</v>
      </c>
    </row>
    <row r="584" spans="1:7" x14ac:dyDescent="0.25">
      <c r="A584">
        <v>576</v>
      </c>
      <c r="B584" s="1">
        <v>25476</v>
      </c>
      <c r="C584" s="2">
        <v>245.18670139121073</v>
      </c>
      <c r="D584" s="2">
        <v>1</v>
      </c>
      <c r="E584">
        <f t="shared" si="26"/>
        <v>9</v>
      </c>
      <c r="F584">
        <f t="shared" si="27"/>
        <v>1969</v>
      </c>
      <c r="G584" s="2">
        <f t="shared" si="28"/>
        <v>0</v>
      </c>
    </row>
    <row r="585" spans="1:7" x14ac:dyDescent="0.25">
      <c r="A585">
        <v>577</v>
      </c>
      <c r="B585" s="1">
        <v>25507</v>
      </c>
      <c r="C585" s="2">
        <v>208.40764336055321</v>
      </c>
      <c r="D585" s="2">
        <v>1</v>
      </c>
      <c r="E585">
        <f t="shared" si="26"/>
        <v>10</v>
      </c>
      <c r="F585">
        <f t="shared" si="27"/>
        <v>1969</v>
      </c>
      <c r="G585" s="2">
        <f t="shared" si="28"/>
        <v>0</v>
      </c>
    </row>
    <row r="586" spans="1:7" x14ac:dyDescent="0.25">
      <c r="A586">
        <v>578</v>
      </c>
      <c r="B586" s="1">
        <v>25537</v>
      </c>
      <c r="C586" s="2">
        <v>139.9081154259168</v>
      </c>
      <c r="D586" s="2">
        <v>1</v>
      </c>
      <c r="E586">
        <f t="shared" ref="E586:E649" si="29">MONTH(B586)</f>
        <v>11</v>
      </c>
      <c r="F586">
        <f t="shared" ref="F586:F649" si="30">YEAR(B586)</f>
        <v>1969</v>
      </c>
      <c r="G586" s="2">
        <f t="shared" ref="G586:G649" si="31">IF(E586=2,C586*$G$5*28,IF(E586=3,C586*$G$5*31,0))</f>
        <v>0</v>
      </c>
    </row>
    <row r="587" spans="1:7" x14ac:dyDescent="0.25">
      <c r="A587">
        <v>579</v>
      </c>
      <c r="B587" s="1">
        <v>25568</v>
      </c>
      <c r="C587" s="2">
        <v>100.09781597436</v>
      </c>
      <c r="D587" s="2">
        <v>1</v>
      </c>
      <c r="E587">
        <f t="shared" si="29"/>
        <v>12</v>
      </c>
      <c r="F587">
        <f t="shared" si="30"/>
        <v>1969</v>
      </c>
      <c r="G587" s="2">
        <f t="shared" si="31"/>
        <v>0</v>
      </c>
    </row>
    <row r="588" spans="1:7" x14ac:dyDescent="0.25">
      <c r="A588">
        <v>580</v>
      </c>
      <c r="B588" s="1">
        <v>25599</v>
      </c>
      <c r="C588" s="2">
        <v>94.480039683665979</v>
      </c>
      <c r="D588" s="2">
        <v>1</v>
      </c>
      <c r="E588">
        <f t="shared" si="29"/>
        <v>1</v>
      </c>
      <c r="F588">
        <f t="shared" si="30"/>
        <v>1970</v>
      </c>
      <c r="G588" s="2">
        <f t="shared" si="31"/>
        <v>0</v>
      </c>
    </row>
    <row r="589" spans="1:7" x14ac:dyDescent="0.25">
      <c r="A589">
        <v>581</v>
      </c>
      <c r="B589" s="1">
        <v>25627</v>
      </c>
      <c r="C589" s="2">
        <v>108.63618759646828</v>
      </c>
      <c r="D589" s="2">
        <v>1</v>
      </c>
      <c r="E589">
        <f t="shared" si="29"/>
        <v>2</v>
      </c>
      <c r="F589">
        <f t="shared" si="30"/>
        <v>1970</v>
      </c>
      <c r="G589" s="2">
        <f t="shared" si="31"/>
        <v>6033.3486003989001</v>
      </c>
    </row>
    <row r="590" spans="1:7" x14ac:dyDescent="0.25">
      <c r="A590">
        <v>582</v>
      </c>
      <c r="B590" s="1">
        <v>25658</v>
      </c>
      <c r="C590" s="2">
        <v>95.988743796675507</v>
      </c>
      <c r="D590" s="2">
        <v>1</v>
      </c>
      <c r="E590">
        <f t="shared" si="29"/>
        <v>3</v>
      </c>
      <c r="F590">
        <f t="shared" si="30"/>
        <v>1970</v>
      </c>
      <c r="G590" s="2">
        <f t="shared" si="31"/>
        <v>5902.1178003906261</v>
      </c>
    </row>
    <row r="591" spans="1:7" x14ac:dyDescent="0.25">
      <c r="A591">
        <v>583</v>
      </c>
      <c r="B591" s="1">
        <v>25688</v>
      </c>
      <c r="C591" s="2">
        <v>127.84175342511904</v>
      </c>
      <c r="D591" s="2">
        <v>1</v>
      </c>
      <c r="E591">
        <f t="shared" si="29"/>
        <v>4</v>
      </c>
      <c r="F591">
        <f t="shared" si="30"/>
        <v>1970</v>
      </c>
      <c r="G591" s="2">
        <f t="shared" si="31"/>
        <v>0</v>
      </c>
    </row>
    <row r="592" spans="1:7" x14ac:dyDescent="0.25">
      <c r="A592">
        <v>584</v>
      </c>
      <c r="B592" s="1">
        <v>25719</v>
      </c>
      <c r="C592" s="2">
        <v>173.69722718890347</v>
      </c>
      <c r="D592" s="2">
        <v>1</v>
      </c>
      <c r="E592">
        <f t="shared" si="29"/>
        <v>5</v>
      </c>
      <c r="F592">
        <f t="shared" si="30"/>
        <v>1970</v>
      </c>
      <c r="G592" s="2">
        <f t="shared" si="31"/>
        <v>0</v>
      </c>
    </row>
    <row r="593" spans="1:7" x14ac:dyDescent="0.25">
      <c r="A593">
        <v>585</v>
      </c>
      <c r="B593" s="1">
        <v>25749</v>
      </c>
      <c r="C593" s="2">
        <v>230.63820084858213</v>
      </c>
      <c r="D593" s="2">
        <v>0.99999999999999989</v>
      </c>
      <c r="E593">
        <f t="shared" si="29"/>
        <v>6</v>
      </c>
      <c r="F593">
        <f t="shared" si="30"/>
        <v>1970</v>
      </c>
      <c r="G593" s="2">
        <f t="shared" si="31"/>
        <v>0</v>
      </c>
    </row>
    <row r="594" spans="1:7" x14ac:dyDescent="0.25">
      <c r="A594">
        <v>586</v>
      </c>
      <c r="B594" s="1">
        <v>25780</v>
      </c>
      <c r="C594" s="2">
        <v>271.71188667119026</v>
      </c>
      <c r="D594" s="2">
        <v>1</v>
      </c>
      <c r="E594">
        <f t="shared" si="29"/>
        <v>7</v>
      </c>
      <c r="F594">
        <f t="shared" si="30"/>
        <v>1970</v>
      </c>
      <c r="G594" s="2">
        <f t="shared" si="31"/>
        <v>0</v>
      </c>
    </row>
    <row r="595" spans="1:7" x14ac:dyDescent="0.25">
      <c r="A595">
        <v>587</v>
      </c>
      <c r="B595" s="1">
        <v>25811</v>
      </c>
      <c r="C595" s="2">
        <v>282.21761897027187</v>
      </c>
      <c r="D595" s="2">
        <v>1</v>
      </c>
      <c r="E595">
        <f t="shared" si="29"/>
        <v>8</v>
      </c>
      <c r="F595">
        <f t="shared" si="30"/>
        <v>1970</v>
      </c>
      <c r="G595" s="2">
        <f t="shared" si="31"/>
        <v>0</v>
      </c>
    </row>
    <row r="596" spans="1:7" x14ac:dyDescent="0.25">
      <c r="A596">
        <v>588</v>
      </c>
      <c r="B596" s="1">
        <v>25841</v>
      </c>
      <c r="C596" s="2">
        <v>245.1867013912107</v>
      </c>
      <c r="D596" s="2">
        <v>1</v>
      </c>
      <c r="E596">
        <f t="shared" si="29"/>
        <v>9</v>
      </c>
      <c r="F596">
        <f t="shared" si="30"/>
        <v>1970</v>
      </c>
      <c r="G596" s="2">
        <f t="shared" si="31"/>
        <v>0</v>
      </c>
    </row>
    <row r="597" spans="1:7" x14ac:dyDescent="0.25">
      <c r="A597">
        <v>589</v>
      </c>
      <c r="B597" s="1">
        <v>25872</v>
      </c>
      <c r="C597" s="2">
        <v>208.40764336055321</v>
      </c>
      <c r="D597" s="2">
        <v>1</v>
      </c>
      <c r="E597">
        <f t="shared" si="29"/>
        <v>10</v>
      </c>
      <c r="F597">
        <f t="shared" si="30"/>
        <v>1970</v>
      </c>
      <c r="G597" s="2">
        <f t="shared" si="31"/>
        <v>0</v>
      </c>
    </row>
    <row r="598" spans="1:7" x14ac:dyDescent="0.25">
      <c r="A598">
        <v>590</v>
      </c>
      <c r="B598" s="1">
        <v>25902</v>
      </c>
      <c r="C598" s="2">
        <v>139.9081154259168</v>
      </c>
      <c r="D598" s="2">
        <v>1</v>
      </c>
      <c r="E598">
        <f t="shared" si="29"/>
        <v>11</v>
      </c>
      <c r="F598">
        <f t="shared" si="30"/>
        <v>1970</v>
      </c>
      <c r="G598" s="2">
        <f t="shared" si="31"/>
        <v>0</v>
      </c>
    </row>
    <row r="599" spans="1:7" x14ac:dyDescent="0.25">
      <c r="A599">
        <v>591</v>
      </c>
      <c r="B599" s="1">
        <v>25933</v>
      </c>
      <c r="C599" s="2">
        <v>100.09781597435997</v>
      </c>
      <c r="D599" s="2">
        <v>0.99999999999999989</v>
      </c>
      <c r="E599">
        <f t="shared" si="29"/>
        <v>12</v>
      </c>
      <c r="F599">
        <f t="shared" si="30"/>
        <v>1970</v>
      </c>
      <c r="G599" s="2">
        <f t="shared" si="31"/>
        <v>0</v>
      </c>
    </row>
    <row r="600" spans="1:7" x14ac:dyDescent="0.25">
      <c r="A600">
        <v>592</v>
      </c>
      <c r="B600" s="1">
        <v>25964</v>
      </c>
      <c r="C600" s="2">
        <v>94.480039683665979</v>
      </c>
      <c r="D600" s="2">
        <v>1</v>
      </c>
      <c r="E600">
        <f t="shared" si="29"/>
        <v>1</v>
      </c>
      <c r="F600">
        <f t="shared" si="30"/>
        <v>1971</v>
      </c>
      <c r="G600" s="2">
        <f t="shared" si="31"/>
        <v>0</v>
      </c>
    </row>
    <row r="601" spans="1:7" x14ac:dyDescent="0.25">
      <c r="A601">
        <v>593</v>
      </c>
      <c r="B601" s="1">
        <v>25992</v>
      </c>
      <c r="C601" s="2">
        <v>108.63618759646826</v>
      </c>
      <c r="D601" s="2">
        <v>1</v>
      </c>
      <c r="E601">
        <f t="shared" si="29"/>
        <v>2</v>
      </c>
      <c r="F601">
        <f t="shared" si="30"/>
        <v>1971</v>
      </c>
      <c r="G601" s="2">
        <f t="shared" si="31"/>
        <v>6033.3486003988992</v>
      </c>
    </row>
    <row r="602" spans="1:7" x14ac:dyDescent="0.25">
      <c r="A602">
        <v>594</v>
      </c>
      <c r="B602" s="1">
        <v>26023</v>
      </c>
      <c r="C602" s="2">
        <v>95.988743796674797</v>
      </c>
      <c r="D602" s="2">
        <v>1</v>
      </c>
      <c r="E602">
        <f t="shared" si="29"/>
        <v>3</v>
      </c>
      <c r="F602">
        <f t="shared" si="30"/>
        <v>1971</v>
      </c>
      <c r="G602" s="2">
        <f t="shared" si="31"/>
        <v>5902.1178003905825</v>
      </c>
    </row>
    <row r="603" spans="1:7" x14ac:dyDescent="0.25">
      <c r="A603">
        <v>595</v>
      </c>
      <c r="B603" s="1">
        <v>26053</v>
      </c>
      <c r="C603" s="2">
        <v>127.84175342511904</v>
      </c>
      <c r="D603" s="2">
        <v>1</v>
      </c>
      <c r="E603">
        <f t="shared" si="29"/>
        <v>4</v>
      </c>
      <c r="F603">
        <f t="shared" si="30"/>
        <v>1971</v>
      </c>
      <c r="G603" s="2">
        <f t="shared" si="31"/>
        <v>0</v>
      </c>
    </row>
    <row r="604" spans="1:7" x14ac:dyDescent="0.25">
      <c r="A604">
        <v>596</v>
      </c>
      <c r="B604" s="1">
        <v>26084</v>
      </c>
      <c r="C604" s="2">
        <v>173.69722718890341</v>
      </c>
      <c r="D604" s="2">
        <v>1</v>
      </c>
      <c r="E604">
        <f t="shared" si="29"/>
        <v>5</v>
      </c>
      <c r="F604">
        <f t="shared" si="30"/>
        <v>1971</v>
      </c>
      <c r="G604" s="2">
        <f t="shared" si="31"/>
        <v>0</v>
      </c>
    </row>
    <row r="605" spans="1:7" x14ac:dyDescent="0.25">
      <c r="A605">
        <v>597</v>
      </c>
      <c r="B605" s="1">
        <v>26114</v>
      </c>
      <c r="C605" s="2">
        <v>230.63820084858216</v>
      </c>
      <c r="D605" s="2">
        <v>1</v>
      </c>
      <c r="E605">
        <f t="shared" si="29"/>
        <v>6</v>
      </c>
      <c r="F605">
        <f t="shared" si="30"/>
        <v>1971</v>
      </c>
      <c r="G605" s="2">
        <f t="shared" si="31"/>
        <v>0</v>
      </c>
    </row>
    <row r="606" spans="1:7" x14ac:dyDescent="0.25">
      <c r="A606">
        <v>598</v>
      </c>
      <c r="B606" s="1">
        <v>26145</v>
      </c>
      <c r="C606" s="2">
        <v>271.71188667119026</v>
      </c>
      <c r="D606" s="2">
        <v>1</v>
      </c>
      <c r="E606">
        <f t="shared" si="29"/>
        <v>7</v>
      </c>
      <c r="F606">
        <f t="shared" si="30"/>
        <v>1971</v>
      </c>
      <c r="G606" s="2">
        <f t="shared" si="31"/>
        <v>0</v>
      </c>
    </row>
    <row r="607" spans="1:7" x14ac:dyDescent="0.25">
      <c r="A607">
        <v>599</v>
      </c>
      <c r="B607" s="1">
        <v>26176</v>
      </c>
      <c r="C607" s="2">
        <v>282.21761897027193</v>
      </c>
      <c r="D607" s="2">
        <v>1</v>
      </c>
      <c r="E607">
        <f t="shared" si="29"/>
        <v>8</v>
      </c>
      <c r="F607">
        <f t="shared" si="30"/>
        <v>1971</v>
      </c>
      <c r="G607" s="2">
        <f t="shared" si="31"/>
        <v>0</v>
      </c>
    </row>
    <row r="608" spans="1:7" x14ac:dyDescent="0.25">
      <c r="A608">
        <v>600</v>
      </c>
      <c r="B608" s="1">
        <v>26206</v>
      </c>
      <c r="C608" s="2">
        <v>245.18670139121073</v>
      </c>
      <c r="D608" s="2">
        <v>1</v>
      </c>
      <c r="E608">
        <f t="shared" si="29"/>
        <v>9</v>
      </c>
      <c r="F608">
        <f t="shared" si="30"/>
        <v>1971</v>
      </c>
      <c r="G608" s="2">
        <f t="shared" si="31"/>
        <v>0</v>
      </c>
    </row>
    <row r="609" spans="1:7" x14ac:dyDescent="0.25">
      <c r="A609">
        <v>601</v>
      </c>
      <c r="B609" s="1">
        <v>26237</v>
      </c>
      <c r="C609" s="2">
        <v>208.40764336055321</v>
      </c>
      <c r="D609" s="2">
        <v>1</v>
      </c>
      <c r="E609">
        <f t="shared" si="29"/>
        <v>10</v>
      </c>
      <c r="F609">
        <f t="shared" si="30"/>
        <v>1971</v>
      </c>
      <c r="G609" s="2">
        <f t="shared" si="31"/>
        <v>0</v>
      </c>
    </row>
    <row r="610" spans="1:7" x14ac:dyDescent="0.25">
      <c r="A610">
        <v>602</v>
      </c>
      <c r="B610" s="1">
        <v>26267</v>
      </c>
      <c r="C610" s="2">
        <v>139.9081154259168</v>
      </c>
      <c r="D610" s="2">
        <v>1</v>
      </c>
      <c r="E610">
        <f t="shared" si="29"/>
        <v>11</v>
      </c>
      <c r="F610">
        <f t="shared" si="30"/>
        <v>1971</v>
      </c>
      <c r="G610" s="2">
        <f t="shared" si="31"/>
        <v>0</v>
      </c>
    </row>
    <row r="611" spans="1:7" x14ac:dyDescent="0.25">
      <c r="A611">
        <v>603</v>
      </c>
      <c r="B611" s="1">
        <v>26298</v>
      </c>
      <c r="C611" s="2">
        <v>100.09781597435997</v>
      </c>
      <c r="D611" s="2">
        <v>1</v>
      </c>
      <c r="E611">
        <f t="shared" si="29"/>
        <v>12</v>
      </c>
      <c r="F611">
        <f t="shared" si="30"/>
        <v>1971</v>
      </c>
      <c r="G611" s="2">
        <f t="shared" si="31"/>
        <v>0</v>
      </c>
    </row>
    <row r="612" spans="1:7" x14ac:dyDescent="0.25">
      <c r="A612">
        <v>604</v>
      </c>
      <c r="B612" s="1">
        <v>26329</v>
      </c>
      <c r="C612" s="2">
        <v>94.480039683665979</v>
      </c>
      <c r="D612" s="2">
        <v>1</v>
      </c>
      <c r="E612">
        <f t="shared" si="29"/>
        <v>1</v>
      </c>
      <c r="F612">
        <f t="shared" si="30"/>
        <v>1972</v>
      </c>
      <c r="G612" s="2">
        <f t="shared" si="31"/>
        <v>0</v>
      </c>
    </row>
    <row r="613" spans="1:7" x14ac:dyDescent="0.25">
      <c r="A613">
        <v>605</v>
      </c>
      <c r="B613" s="1">
        <v>26358</v>
      </c>
      <c r="C613" s="2">
        <v>104.89011216210731</v>
      </c>
      <c r="D613" s="2">
        <v>1</v>
      </c>
      <c r="E613">
        <f t="shared" si="29"/>
        <v>2</v>
      </c>
      <c r="F613">
        <f t="shared" si="30"/>
        <v>1972</v>
      </c>
      <c r="G613" s="2">
        <f t="shared" si="31"/>
        <v>5825.302096936869</v>
      </c>
    </row>
    <row r="614" spans="1:7" x14ac:dyDescent="0.25">
      <c r="A614">
        <v>606</v>
      </c>
      <c r="B614" s="1">
        <v>26389</v>
      </c>
      <c r="C614" s="2">
        <v>106.88716825976059</v>
      </c>
      <c r="D614" s="2">
        <v>0.98018702265048774</v>
      </c>
      <c r="E614">
        <f t="shared" si="29"/>
        <v>3</v>
      </c>
      <c r="F614">
        <f t="shared" si="30"/>
        <v>1972</v>
      </c>
      <c r="G614" s="2">
        <f t="shared" si="31"/>
        <v>6572.2358004348662</v>
      </c>
    </row>
    <row r="615" spans="1:7" x14ac:dyDescent="0.25">
      <c r="A615">
        <v>607</v>
      </c>
      <c r="B615" s="1">
        <v>26419</v>
      </c>
      <c r="C615" s="2">
        <v>155.35965745471614</v>
      </c>
      <c r="D615" s="2">
        <v>0.91525587408665054</v>
      </c>
      <c r="E615">
        <f t="shared" si="29"/>
        <v>4</v>
      </c>
      <c r="F615">
        <f t="shared" si="30"/>
        <v>1972</v>
      </c>
      <c r="G615" s="2">
        <f t="shared" si="31"/>
        <v>0</v>
      </c>
    </row>
    <row r="616" spans="1:7" x14ac:dyDescent="0.25">
      <c r="A616">
        <v>608</v>
      </c>
      <c r="B616" s="1">
        <v>26450</v>
      </c>
      <c r="C616" s="2">
        <v>189.91672423298658</v>
      </c>
      <c r="D616" s="2">
        <v>1</v>
      </c>
      <c r="E616">
        <f t="shared" si="29"/>
        <v>5</v>
      </c>
      <c r="F616">
        <f t="shared" si="30"/>
        <v>1972</v>
      </c>
      <c r="G616" s="2">
        <f t="shared" si="31"/>
        <v>0</v>
      </c>
    </row>
    <row r="617" spans="1:7" x14ac:dyDescent="0.25">
      <c r="A617">
        <v>609</v>
      </c>
      <c r="B617" s="1">
        <v>26480</v>
      </c>
      <c r="C617" s="2">
        <v>249.9422753220806</v>
      </c>
      <c r="D617" s="2">
        <v>0.99999999999999989</v>
      </c>
      <c r="E617">
        <f t="shared" si="29"/>
        <v>6</v>
      </c>
      <c r="F617">
        <f t="shared" si="30"/>
        <v>1972</v>
      </c>
      <c r="G617" s="2">
        <f t="shared" si="31"/>
        <v>0</v>
      </c>
    </row>
    <row r="618" spans="1:7" x14ac:dyDescent="0.25">
      <c r="A618">
        <v>610</v>
      </c>
      <c r="B618" s="1">
        <v>26511</v>
      </c>
      <c r="C618" s="2">
        <v>278.83348316359661</v>
      </c>
      <c r="D618" s="2">
        <v>1</v>
      </c>
      <c r="E618">
        <f t="shared" si="29"/>
        <v>7</v>
      </c>
      <c r="F618">
        <f t="shared" si="30"/>
        <v>1972</v>
      </c>
      <c r="G618" s="2">
        <f t="shared" si="31"/>
        <v>0</v>
      </c>
    </row>
    <row r="619" spans="1:7" x14ac:dyDescent="0.25">
      <c r="A619">
        <v>611</v>
      </c>
      <c r="B619" s="1">
        <v>26542</v>
      </c>
      <c r="C619" s="2">
        <v>281.64601106700832</v>
      </c>
      <c r="D619" s="2">
        <v>1</v>
      </c>
      <c r="E619">
        <f t="shared" si="29"/>
        <v>8</v>
      </c>
      <c r="F619">
        <f t="shared" si="30"/>
        <v>1972</v>
      </c>
      <c r="G619" s="2">
        <f t="shared" si="31"/>
        <v>0</v>
      </c>
    </row>
    <row r="620" spans="1:7" x14ac:dyDescent="0.25">
      <c r="A620">
        <v>612</v>
      </c>
      <c r="B620" s="1">
        <v>26572</v>
      </c>
      <c r="C620" s="2">
        <v>247.80503551638381</v>
      </c>
      <c r="D620" s="2">
        <v>1</v>
      </c>
      <c r="E620">
        <f t="shared" si="29"/>
        <v>9</v>
      </c>
      <c r="F620">
        <f t="shared" si="30"/>
        <v>1972</v>
      </c>
      <c r="G620" s="2">
        <f t="shared" si="31"/>
        <v>0</v>
      </c>
    </row>
    <row r="621" spans="1:7" x14ac:dyDescent="0.25">
      <c r="A621">
        <v>613</v>
      </c>
      <c r="B621" s="1">
        <v>26603</v>
      </c>
      <c r="C621" s="2">
        <v>213.68325149262247</v>
      </c>
      <c r="D621" s="2">
        <v>1</v>
      </c>
      <c r="E621">
        <f t="shared" si="29"/>
        <v>10</v>
      </c>
      <c r="F621">
        <f t="shared" si="30"/>
        <v>1972</v>
      </c>
      <c r="G621" s="2">
        <f t="shared" si="31"/>
        <v>0</v>
      </c>
    </row>
    <row r="622" spans="1:7" x14ac:dyDescent="0.25">
      <c r="A622">
        <v>614</v>
      </c>
      <c r="B622" s="1">
        <v>26633</v>
      </c>
      <c r="C622" s="2">
        <v>158.89264570494973</v>
      </c>
      <c r="D622" s="2">
        <v>1</v>
      </c>
      <c r="E622">
        <f t="shared" si="29"/>
        <v>11</v>
      </c>
      <c r="F622">
        <f t="shared" si="30"/>
        <v>1972</v>
      </c>
      <c r="G622" s="2">
        <f t="shared" si="31"/>
        <v>0</v>
      </c>
    </row>
    <row r="623" spans="1:7" x14ac:dyDescent="0.25">
      <c r="A623">
        <v>615</v>
      </c>
      <c r="B623" s="1">
        <v>26664</v>
      </c>
      <c r="C623" s="2">
        <v>140.71970178349727</v>
      </c>
      <c r="D623" s="2">
        <v>0.99999999999999989</v>
      </c>
      <c r="E623">
        <f t="shared" si="29"/>
        <v>12</v>
      </c>
      <c r="F623">
        <f t="shared" si="30"/>
        <v>1972</v>
      </c>
      <c r="G623" s="2">
        <f t="shared" si="31"/>
        <v>0</v>
      </c>
    </row>
    <row r="624" spans="1:7" x14ac:dyDescent="0.25">
      <c r="A624">
        <v>616</v>
      </c>
      <c r="B624" s="1">
        <v>26695</v>
      </c>
      <c r="C624" s="2">
        <v>120.71654124454039</v>
      </c>
      <c r="D624" s="2">
        <v>1</v>
      </c>
      <c r="E624">
        <f t="shared" si="29"/>
        <v>1</v>
      </c>
      <c r="F624">
        <f t="shared" si="30"/>
        <v>1973</v>
      </c>
      <c r="G624" s="2">
        <f t="shared" si="31"/>
        <v>0</v>
      </c>
    </row>
    <row r="625" spans="1:7" x14ac:dyDescent="0.25">
      <c r="A625">
        <v>617</v>
      </c>
      <c r="B625" s="1">
        <v>26723</v>
      </c>
      <c r="C625" s="2">
        <v>114.45563578137683</v>
      </c>
      <c r="D625" s="2">
        <v>1</v>
      </c>
      <c r="E625">
        <f t="shared" si="29"/>
        <v>2</v>
      </c>
      <c r="F625">
        <f t="shared" si="30"/>
        <v>1973</v>
      </c>
      <c r="G625" s="2">
        <f t="shared" si="31"/>
        <v>6356.5444004202664</v>
      </c>
    </row>
    <row r="626" spans="1:7" x14ac:dyDescent="0.25">
      <c r="A626">
        <v>618</v>
      </c>
      <c r="B626" s="1">
        <v>26754</v>
      </c>
      <c r="C626" s="2">
        <v>96.914806888134805</v>
      </c>
      <c r="D626" s="2">
        <v>1</v>
      </c>
      <c r="E626">
        <f t="shared" si="29"/>
        <v>3</v>
      </c>
      <c r="F626">
        <f t="shared" si="30"/>
        <v>1973</v>
      </c>
      <c r="G626" s="2">
        <f t="shared" si="31"/>
        <v>5959.0592003944048</v>
      </c>
    </row>
    <row r="627" spans="1:7" x14ac:dyDescent="0.25">
      <c r="A627">
        <v>619</v>
      </c>
      <c r="B627" s="1">
        <v>26784</v>
      </c>
      <c r="C627" s="2">
        <v>127.84175342511905</v>
      </c>
      <c r="D627" s="2">
        <v>1</v>
      </c>
      <c r="E627">
        <f t="shared" si="29"/>
        <v>4</v>
      </c>
      <c r="F627">
        <f t="shared" si="30"/>
        <v>1973</v>
      </c>
      <c r="G627" s="2">
        <f t="shared" si="31"/>
        <v>0</v>
      </c>
    </row>
    <row r="628" spans="1:7" x14ac:dyDescent="0.25">
      <c r="A628">
        <v>620</v>
      </c>
      <c r="B628" s="1">
        <v>26815</v>
      </c>
      <c r="C628" s="2">
        <v>172.19561393611602</v>
      </c>
      <c r="D628" s="2">
        <v>1</v>
      </c>
      <c r="E628">
        <f t="shared" si="29"/>
        <v>5</v>
      </c>
      <c r="F628">
        <f t="shared" si="30"/>
        <v>1973</v>
      </c>
      <c r="G628" s="2">
        <f t="shared" si="31"/>
        <v>0</v>
      </c>
    </row>
    <row r="629" spans="1:7" x14ac:dyDescent="0.25">
      <c r="A629">
        <v>621</v>
      </c>
      <c r="B629" s="1">
        <v>26845</v>
      </c>
      <c r="C629" s="2">
        <v>249.30857479426103</v>
      </c>
      <c r="D629" s="2">
        <v>1</v>
      </c>
      <c r="E629">
        <f t="shared" si="29"/>
        <v>6</v>
      </c>
      <c r="F629">
        <f t="shared" si="30"/>
        <v>1973</v>
      </c>
      <c r="G629" s="2">
        <f t="shared" si="31"/>
        <v>0</v>
      </c>
    </row>
    <row r="630" spans="1:7" x14ac:dyDescent="0.25">
      <c r="A630">
        <v>622</v>
      </c>
      <c r="B630" s="1">
        <v>26876</v>
      </c>
      <c r="C630" s="2">
        <v>274.69602802891444</v>
      </c>
      <c r="D630" s="2">
        <v>1</v>
      </c>
      <c r="E630">
        <f t="shared" si="29"/>
        <v>7</v>
      </c>
      <c r="F630">
        <f t="shared" si="30"/>
        <v>1973</v>
      </c>
      <c r="G630" s="2">
        <f t="shared" si="31"/>
        <v>0</v>
      </c>
    </row>
    <row r="631" spans="1:7" x14ac:dyDescent="0.25">
      <c r="A631">
        <v>623</v>
      </c>
      <c r="B631" s="1">
        <v>26907</v>
      </c>
      <c r="C631" s="2">
        <v>284.25012948115898</v>
      </c>
      <c r="D631" s="2">
        <v>1</v>
      </c>
      <c r="E631">
        <f t="shared" si="29"/>
        <v>8</v>
      </c>
      <c r="F631">
        <f t="shared" si="30"/>
        <v>1973</v>
      </c>
      <c r="G631" s="2">
        <f t="shared" si="31"/>
        <v>0</v>
      </c>
    </row>
    <row r="632" spans="1:7" x14ac:dyDescent="0.25">
      <c r="A632">
        <v>624</v>
      </c>
      <c r="B632" s="1">
        <v>26937</v>
      </c>
      <c r="C632" s="2">
        <v>251.09751946104598</v>
      </c>
      <c r="D632" s="2">
        <v>1</v>
      </c>
      <c r="E632">
        <f t="shared" si="29"/>
        <v>9</v>
      </c>
      <c r="F632">
        <f t="shared" si="30"/>
        <v>1973</v>
      </c>
      <c r="G632" s="2">
        <f t="shared" si="31"/>
        <v>0</v>
      </c>
    </row>
    <row r="633" spans="1:7" x14ac:dyDescent="0.25">
      <c r="A633">
        <v>625</v>
      </c>
      <c r="B633" s="1">
        <v>26968</v>
      </c>
      <c r="C633" s="2">
        <v>215.12985528304065</v>
      </c>
      <c r="D633" s="2">
        <v>0.99999999999999989</v>
      </c>
      <c r="E633">
        <f t="shared" si="29"/>
        <v>10</v>
      </c>
      <c r="F633">
        <f t="shared" si="30"/>
        <v>1973</v>
      </c>
      <c r="G633" s="2">
        <f t="shared" si="31"/>
        <v>0</v>
      </c>
    </row>
    <row r="634" spans="1:7" x14ac:dyDescent="0.25">
      <c r="A634">
        <v>626</v>
      </c>
      <c r="B634" s="1">
        <v>26998</v>
      </c>
      <c r="C634" s="2">
        <v>152.24052617673215</v>
      </c>
      <c r="D634" s="2">
        <v>1</v>
      </c>
      <c r="E634">
        <f t="shared" si="29"/>
        <v>11</v>
      </c>
      <c r="F634">
        <f t="shared" si="30"/>
        <v>1973</v>
      </c>
      <c r="G634" s="2">
        <f t="shared" si="31"/>
        <v>0</v>
      </c>
    </row>
    <row r="635" spans="1:7" x14ac:dyDescent="0.25">
      <c r="A635">
        <v>627</v>
      </c>
      <c r="B635" s="1">
        <v>27029</v>
      </c>
      <c r="C635" s="2">
        <v>138.92959785864781</v>
      </c>
      <c r="D635" s="2">
        <v>1</v>
      </c>
      <c r="E635">
        <f t="shared" si="29"/>
        <v>12</v>
      </c>
      <c r="F635">
        <f t="shared" si="30"/>
        <v>1973</v>
      </c>
      <c r="G635" s="2">
        <f t="shared" si="31"/>
        <v>0</v>
      </c>
    </row>
    <row r="636" spans="1:7" x14ac:dyDescent="0.25">
      <c r="A636">
        <v>628</v>
      </c>
      <c r="B636" s="1">
        <v>27060</v>
      </c>
      <c r="C636" s="2">
        <v>110.24576070621374</v>
      </c>
      <c r="D636" s="2">
        <v>1</v>
      </c>
      <c r="E636">
        <f t="shared" si="29"/>
        <v>1</v>
      </c>
      <c r="F636">
        <f t="shared" si="30"/>
        <v>1974</v>
      </c>
      <c r="G636" s="2">
        <f t="shared" si="31"/>
        <v>0</v>
      </c>
    </row>
    <row r="637" spans="1:7" x14ac:dyDescent="0.25">
      <c r="A637">
        <v>629</v>
      </c>
      <c r="B637" s="1">
        <v>27088</v>
      </c>
      <c r="C637" s="2">
        <v>102.91438209013761</v>
      </c>
      <c r="D637" s="2">
        <v>1</v>
      </c>
      <c r="E637">
        <f t="shared" si="29"/>
        <v>2</v>
      </c>
      <c r="F637">
        <f t="shared" si="30"/>
        <v>1974</v>
      </c>
      <c r="G637" s="2">
        <f t="shared" si="31"/>
        <v>5715.5756003778906</v>
      </c>
    </row>
    <row r="638" spans="1:7" x14ac:dyDescent="0.25">
      <c r="A638">
        <v>630</v>
      </c>
      <c r="B638" s="1">
        <v>27119</v>
      </c>
      <c r="C638" s="2">
        <v>95.988743796676502</v>
      </c>
      <c r="D638" s="2">
        <v>1</v>
      </c>
      <c r="E638">
        <f t="shared" si="29"/>
        <v>3</v>
      </c>
      <c r="F638">
        <f t="shared" si="30"/>
        <v>1974</v>
      </c>
      <c r="G638" s="2">
        <f t="shared" si="31"/>
        <v>5902.1178003906871</v>
      </c>
    </row>
    <row r="639" spans="1:7" x14ac:dyDescent="0.25">
      <c r="A639">
        <v>631</v>
      </c>
      <c r="B639" s="1">
        <v>27149</v>
      </c>
      <c r="C639" s="2">
        <v>127.84175342511904</v>
      </c>
      <c r="D639" s="2">
        <v>1</v>
      </c>
      <c r="E639">
        <f t="shared" si="29"/>
        <v>4</v>
      </c>
      <c r="F639">
        <f t="shared" si="30"/>
        <v>1974</v>
      </c>
      <c r="G639" s="2">
        <f t="shared" si="31"/>
        <v>0</v>
      </c>
    </row>
    <row r="640" spans="1:7" x14ac:dyDescent="0.25">
      <c r="A640">
        <v>632</v>
      </c>
      <c r="B640" s="1">
        <v>27180</v>
      </c>
      <c r="C640" s="2">
        <v>173.69722718890347</v>
      </c>
      <c r="D640" s="2">
        <v>1</v>
      </c>
      <c r="E640">
        <f t="shared" si="29"/>
        <v>5</v>
      </c>
      <c r="F640">
        <f t="shared" si="30"/>
        <v>1974</v>
      </c>
      <c r="G640" s="2">
        <f t="shared" si="31"/>
        <v>0</v>
      </c>
    </row>
    <row r="641" spans="1:7" x14ac:dyDescent="0.25">
      <c r="A641">
        <v>633</v>
      </c>
      <c r="B641" s="1">
        <v>27210</v>
      </c>
      <c r="C641" s="2">
        <v>230.63820084858216</v>
      </c>
      <c r="D641" s="2">
        <v>1</v>
      </c>
      <c r="E641">
        <f t="shared" si="29"/>
        <v>6</v>
      </c>
      <c r="F641">
        <f t="shared" si="30"/>
        <v>1974</v>
      </c>
      <c r="G641" s="2">
        <f t="shared" si="31"/>
        <v>0</v>
      </c>
    </row>
    <row r="642" spans="1:7" x14ac:dyDescent="0.25">
      <c r="A642">
        <v>634</v>
      </c>
      <c r="B642" s="1">
        <v>27241</v>
      </c>
      <c r="C642" s="2">
        <v>271.71188667119026</v>
      </c>
      <c r="D642" s="2">
        <v>1</v>
      </c>
      <c r="E642">
        <f t="shared" si="29"/>
        <v>7</v>
      </c>
      <c r="F642">
        <f t="shared" si="30"/>
        <v>1974</v>
      </c>
      <c r="G642" s="2">
        <f t="shared" si="31"/>
        <v>0</v>
      </c>
    </row>
    <row r="643" spans="1:7" x14ac:dyDescent="0.25">
      <c r="A643">
        <v>635</v>
      </c>
      <c r="B643" s="1">
        <v>27272</v>
      </c>
      <c r="C643" s="2">
        <v>282.21761897027193</v>
      </c>
      <c r="D643" s="2">
        <v>1</v>
      </c>
      <c r="E643">
        <f t="shared" si="29"/>
        <v>8</v>
      </c>
      <c r="F643">
        <f t="shared" si="30"/>
        <v>1974</v>
      </c>
      <c r="G643" s="2">
        <f t="shared" si="31"/>
        <v>0</v>
      </c>
    </row>
    <row r="644" spans="1:7" x14ac:dyDescent="0.25">
      <c r="A644">
        <v>636</v>
      </c>
      <c r="B644" s="1">
        <v>27302</v>
      </c>
      <c r="C644" s="2">
        <v>245.18670139121076</v>
      </c>
      <c r="D644" s="2">
        <v>1</v>
      </c>
      <c r="E644">
        <f t="shared" si="29"/>
        <v>9</v>
      </c>
      <c r="F644">
        <f t="shared" si="30"/>
        <v>1974</v>
      </c>
      <c r="G644" s="2">
        <f t="shared" si="31"/>
        <v>0</v>
      </c>
    </row>
    <row r="645" spans="1:7" x14ac:dyDescent="0.25">
      <c r="A645">
        <v>637</v>
      </c>
      <c r="B645" s="1">
        <v>27333</v>
      </c>
      <c r="C645" s="2">
        <v>208.40764336055321</v>
      </c>
      <c r="D645" s="2">
        <v>1</v>
      </c>
      <c r="E645">
        <f t="shared" si="29"/>
        <v>10</v>
      </c>
      <c r="F645">
        <f t="shared" si="30"/>
        <v>1974</v>
      </c>
      <c r="G645" s="2">
        <f t="shared" si="31"/>
        <v>0</v>
      </c>
    </row>
    <row r="646" spans="1:7" x14ac:dyDescent="0.25">
      <c r="A646">
        <v>638</v>
      </c>
      <c r="B646" s="1">
        <v>27363</v>
      </c>
      <c r="C646" s="2">
        <v>139.90811542591678</v>
      </c>
      <c r="D646" s="2">
        <v>1</v>
      </c>
      <c r="E646">
        <f t="shared" si="29"/>
        <v>11</v>
      </c>
      <c r="F646">
        <f t="shared" si="30"/>
        <v>1974</v>
      </c>
      <c r="G646" s="2">
        <f t="shared" si="31"/>
        <v>0</v>
      </c>
    </row>
    <row r="647" spans="1:7" x14ac:dyDescent="0.25">
      <c r="A647">
        <v>639</v>
      </c>
      <c r="B647" s="1">
        <v>27394</v>
      </c>
      <c r="C647" s="2">
        <v>100.09781597435999</v>
      </c>
      <c r="D647" s="2">
        <v>1</v>
      </c>
      <c r="E647">
        <f t="shared" si="29"/>
        <v>12</v>
      </c>
      <c r="F647">
        <f t="shared" si="30"/>
        <v>1974</v>
      </c>
      <c r="G647" s="2">
        <f t="shared" si="31"/>
        <v>0</v>
      </c>
    </row>
    <row r="648" spans="1:7" x14ac:dyDescent="0.25">
      <c r="A648">
        <v>640</v>
      </c>
      <c r="B648" s="1">
        <v>27425</v>
      </c>
      <c r="C648" s="2">
        <v>94.480039683665979</v>
      </c>
      <c r="D648" s="2">
        <v>1</v>
      </c>
      <c r="E648">
        <f t="shared" si="29"/>
        <v>1</v>
      </c>
      <c r="F648">
        <f t="shared" si="30"/>
        <v>1975</v>
      </c>
      <c r="G648" s="2">
        <f t="shared" si="31"/>
        <v>0</v>
      </c>
    </row>
    <row r="649" spans="1:7" x14ac:dyDescent="0.25">
      <c r="A649">
        <v>641</v>
      </c>
      <c r="B649" s="1">
        <v>27453</v>
      </c>
      <c r="C649" s="2">
        <v>108.63618759646828</v>
      </c>
      <c r="D649" s="2">
        <v>0.81403963900489162</v>
      </c>
      <c r="E649">
        <f t="shared" si="29"/>
        <v>2</v>
      </c>
      <c r="F649">
        <f t="shared" si="30"/>
        <v>1975</v>
      </c>
      <c r="G649" s="2">
        <f t="shared" si="31"/>
        <v>6033.3486003989001</v>
      </c>
    </row>
    <row r="650" spans="1:7" x14ac:dyDescent="0.25">
      <c r="A650">
        <v>642</v>
      </c>
      <c r="B650" s="1">
        <v>27484</v>
      </c>
      <c r="C650" s="2">
        <v>106.88716825976286</v>
      </c>
      <c r="D650" s="2">
        <v>0.92066328228898664</v>
      </c>
      <c r="E650">
        <f t="shared" ref="E650:E713" si="32">MONTH(B650)</f>
        <v>3</v>
      </c>
      <c r="F650">
        <f t="shared" ref="F650:F713" si="33">YEAR(B650)</f>
        <v>1975</v>
      </c>
      <c r="G650" s="2">
        <f t="shared" ref="G650:G713" si="34">IF(E650=2,C650*$G$5*28,IF(E650=3,C650*$G$5*31,0))</f>
        <v>6572.2358004350062</v>
      </c>
    </row>
    <row r="651" spans="1:7" x14ac:dyDescent="0.25">
      <c r="A651">
        <v>643</v>
      </c>
      <c r="B651" s="1">
        <v>27514</v>
      </c>
      <c r="C651" s="2">
        <v>140.91721845376131</v>
      </c>
      <c r="D651" s="2">
        <v>1</v>
      </c>
      <c r="E651">
        <f t="shared" si="32"/>
        <v>4</v>
      </c>
      <c r="F651">
        <f t="shared" si="33"/>
        <v>1975</v>
      </c>
      <c r="G651" s="2">
        <f t="shared" si="34"/>
        <v>0</v>
      </c>
    </row>
    <row r="652" spans="1:7" x14ac:dyDescent="0.25">
      <c r="A652">
        <v>644</v>
      </c>
      <c r="B652" s="1">
        <v>27545</v>
      </c>
      <c r="C652" s="2">
        <v>173.69722718890347</v>
      </c>
      <c r="D652" s="2">
        <v>1</v>
      </c>
      <c r="E652">
        <f t="shared" si="32"/>
        <v>5</v>
      </c>
      <c r="F652">
        <f t="shared" si="33"/>
        <v>1975</v>
      </c>
      <c r="G652" s="2">
        <f t="shared" si="34"/>
        <v>0</v>
      </c>
    </row>
    <row r="653" spans="1:7" x14ac:dyDescent="0.25">
      <c r="A653">
        <v>645</v>
      </c>
      <c r="B653" s="1">
        <v>27575</v>
      </c>
      <c r="C653" s="2">
        <v>230.63820084858213</v>
      </c>
      <c r="D653" s="2">
        <v>1</v>
      </c>
      <c r="E653">
        <f t="shared" si="32"/>
        <v>6</v>
      </c>
      <c r="F653">
        <f t="shared" si="33"/>
        <v>1975</v>
      </c>
      <c r="G653" s="2">
        <f t="shared" si="34"/>
        <v>0</v>
      </c>
    </row>
    <row r="654" spans="1:7" x14ac:dyDescent="0.25">
      <c r="A654">
        <v>646</v>
      </c>
      <c r="B654" s="1">
        <v>27606</v>
      </c>
      <c r="C654" s="2">
        <v>271.71188667119026</v>
      </c>
      <c r="D654" s="2">
        <v>1</v>
      </c>
      <c r="E654">
        <f t="shared" si="32"/>
        <v>7</v>
      </c>
      <c r="F654">
        <f t="shared" si="33"/>
        <v>1975</v>
      </c>
      <c r="G654" s="2">
        <f t="shared" si="34"/>
        <v>0</v>
      </c>
    </row>
    <row r="655" spans="1:7" x14ac:dyDescent="0.25">
      <c r="A655">
        <v>647</v>
      </c>
      <c r="B655" s="1">
        <v>27637</v>
      </c>
      <c r="C655" s="2">
        <v>282.21761897027193</v>
      </c>
      <c r="D655" s="2">
        <v>1</v>
      </c>
      <c r="E655">
        <f t="shared" si="32"/>
        <v>8</v>
      </c>
      <c r="F655">
        <f t="shared" si="33"/>
        <v>1975</v>
      </c>
      <c r="G655" s="2">
        <f t="shared" si="34"/>
        <v>0</v>
      </c>
    </row>
    <row r="656" spans="1:7" x14ac:dyDescent="0.25">
      <c r="A656">
        <v>648</v>
      </c>
      <c r="B656" s="1">
        <v>27667</v>
      </c>
      <c r="C656" s="2">
        <v>245.18670139121073</v>
      </c>
      <c r="D656" s="2">
        <v>1</v>
      </c>
      <c r="E656">
        <f t="shared" si="32"/>
        <v>9</v>
      </c>
      <c r="F656">
        <f t="shared" si="33"/>
        <v>1975</v>
      </c>
      <c r="G656" s="2">
        <f t="shared" si="34"/>
        <v>0</v>
      </c>
    </row>
    <row r="657" spans="1:7" x14ac:dyDescent="0.25">
      <c r="A657">
        <v>649</v>
      </c>
      <c r="B657" s="1">
        <v>27698</v>
      </c>
      <c r="C657" s="2">
        <v>208.40764336055324</v>
      </c>
      <c r="D657" s="2">
        <v>1</v>
      </c>
      <c r="E657">
        <f t="shared" si="32"/>
        <v>10</v>
      </c>
      <c r="F657">
        <f t="shared" si="33"/>
        <v>1975</v>
      </c>
      <c r="G657" s="2">
        <f t="shared" si="34"/>
        <v>0</v>
      </c>
    </row>
    <row r="658" spans="1:7" x14ac:dyDescent="0.25">
      <c r="A658">
        <v>650</v>
      </c>
      <c r="B658" s="1">
        <v>27728</v>
      </c>
      <c r="C658" s="2">
        <v>139.9081154259168</v>
      </c>
      <c r="D658" s="2">
        <v>1</v>
      </c>
      <c r="E658">
        <f t="shared" si="32"/>
        <v>11</v>
      </c>
      <c r="F658">
        <f t="shared" si="33"/>
        <v>1975</v>
      </c>
      <c r="G658" s="2">
        <f t="shared" si="34"/>
        <v>0</v>
      </c>
    </row>
    <row r="659" spans="1:7" x14ac:dyDescent="0.25">
      <c r="A659">
        <v>651</v>
      </c>
      <c r="B659" s="1">
        <v>27759</v>
      </c>
      <c r="C659" s="2">
        <v>100.09781597436</v>
      </c>
      <c r="D659" s="2">
        <v>1</v>
      </c>
      <c r="E659">
        <f t="shared" si="32"/>
        <v>12</v>
      </c>
      <c r="F659">
        <f t="shared" si="33"/>
        <v>1975</v>
      </c>
      <c r="G659" s="2">
        <f t="shared" si="34"/>
        <v>0</v>
      </c>
    </row>
    <row r="660" spans="1:7" x14ac:dyDescent="0.25">
      <c r="A660">
        <v>652</v>
      </c>
      <c r="B660" s="1">
        <v>27790</v>
      </c>
      <c r="C660" s="2">
        <v>94.480039683665964</v>
      </c>
      <c r="D660" s="2">
        <v>1</v>
      </c>
      <c r="E660">
        <f t="shared" si="32"/>
        <v>1</v>
      </c>
      <c r="F660">
        <f t="shared" si="33"/>
        <v>1976</v>
      </c>
      <c r="G660" s="2">
        <f t="shared" si="34"/>
        <v>0</v>
      </c>
    </row>
    <row r="661" spans="1:7" x14ac:dyDescent="0.25">
      <c r="A661">
        <v>653</v>
      </c>
      <c r="B661" s="1">
        <v>27819</v>
      </c>
      <c r="C661" s="2">
        <v>104.89011216210731</v>
      </c>
      <c r="D661" s="2">
        <v>0.93774171186622501</v>
      </c>
      <c r="E661">
        <f t="shared" si="32"/>
        <v>2</v>
      </c>
      <c r="F661">
        <f t="shared" si="33"/>
        <v>1976</v>
      </c>
      <c r="G661" s="2">
        <f t="shared" si="34"/>
        <v>5825.302096936869</v>
      </c>
    </row>
    <row r="662" spans="1:7" x14ac:dyDescent="0.25">
      <c r="A662">
        <v>654</v>
      </c>
      <c r="B662" s="1">
        <v>27850</v>
      </c>
      <c r="C662" s="2">
        <v>123.59371307269335</v>
      </c>
      <c r="D662" s="2">
        <v>0.5</v>
      </c>
      <c r="E662">
        <f t="shared" si="32"/>
        <v>3</v>
      </c>
      <c r="F662">
        <f t="shared" si="33"/>
        <v>1976</v>
      </c>
      <c r="G662" s="2">
        <f t="shared" si="34"/>
        <v>7599.4812005027979</v>
      </c>
    </row>
    <row r="663" spans="1:7" x14ac:dyDescent="0.25">
      <c r="A663">
        <v>655</v>
      </c>
      <c r="B663" s="1">
        <v>27880</v>
      </c>
      <c r="C663" s="2">
        <v>196.32088667964658</v>
      </c>
      <c r="D663" s="2">
        <v>0.62677827358959626</v>
      </c>
      <c r="E663">
        <f t="shared" si="32"/>
        <v>4</v>
      </c>
      <c r="F663">
        <f t="shared" si="33"/>
        <v>1976</v>
      </c>
      <c r="G663" s="2">
        <f t="shared" si="34"/>
        <v>0</v>
      </c>
    </row>
    <row r="664" spans="1:7" x14ac:dyDescent="0.25">
      <c r="A664">
        <v>656</v>
      </c>
      <c r="B664" s="1">
        <v>27911</v>
      </c>
      <c r="C664" s="2">
        <v>239.89165958575308</v>
      </c>
      <c r="D664" s="2">
        <v>0.70609282339699719</v>
      </c>
      <c r="E664">
        <f t="shared" si="32"/>
        <v>5</v>
      </c>
      <c r="F664">
        <f t="shared" si="33"/>
        <v>1976</v>
      </c>
      <c r="G664" s="2">
        <f t="shared" si="34"/>
        <v>0</v>
      </c>
    </row>
    <row r="665" spans="1:7" x14ac:dyDescent="0.25">
      <c r="A665">
        <v>657</v>
      </c>
      <c r="B665" s="1">
        <v>27941</v>
      </c>
      <c r="C665" s="2">
        <v>275.36306112931697</v>
      </c>
      <c r="D665" s="2">
        <v>0.70609282339699708</v>
      </c>
      <c r="E665">
        <f t="shared" si="32"/>
        <v>6</v>
      </c>
      <c r="F665">
        <f t="shared" si="33"/>
        <v>1976</v>
      </c>
      <c r="G665" s="2">
        <f t="shared" si="34"/>
        <v>0</v>
      </c>
    </row>
    <row r="666" spans="1:7" x14ac:dyDescent="0.25">
      <c r="A666">
        <v>658</v>
      </c>
      <c r="B666" s="1">
        <v>27972</v>
      </c>
      <c r="C666" s="2">
        <v>287.21574840608633</v>
      </c>
      <c r="D666" s="2">
        <v>0.70609282339699719</v>
      </c>
      <c r="E666">
        <f t="shared" si="32"/>
        <v>7</v>
      </c>
      <c r="F666">
        <f t="shared" si="33"/>
        <v>1976</v>
      </c>
      <c r="G666" s="2">
        <f t="shared" si="34"/>
        <v>0</v>
      </c>
    </row>
    <row r="667" spans="1:7" x14ac:dyDescent="0.25">
      <c r="A667">
        <v>659</v>
      </c>
      <c r="B667" s="1">
        <v>28003</v>
      </c>
      <c r="C667" s="2">
        <v>278.99732431952134</v>
      </c>
      <c r="D667" s="2">
        <v>0.70609282339699719</v>
      </c>
      <c r="E667">
        <f t="shared" si="32"/>
        <v>8</v>
      </c>
      <c r="F667">
        <f t="shared" si="33"/>
        <v>1976</v>
      </c>
      <c r="G667" s="2">
        <f t="shared" si="34"/>
        <v>0</v>
      </c>
    </row>
    <row r="668" spans="1:7" x14ac:dyDescent="0.25">
      <c r="A668">
        <v>660</v>
      </c>
      <c r="B668" s="1">
        <v>28033</v>
      </c>
      <c r="C668" s="2">
        <v>254.31992423903674</v>
      </c>
      <c r="D668" s="2">
        <v>0.70609282339699719</v>
      </c>
      <c r="E668">
        <f t="shared" si="32"/>
        <v>9</v>
      </c>
      <c r="F668">
        <f t="shared" si="33"/>
        <v>1976</v>
      </c>
      <c r="G668" s="2">
        <f t="shared" si="34"/>
        <v>0</v>
      </c>
    </row>
    <row r="669" spans="1:7" x14ac:dyDescent="0.25">
      <c r="A669">
        <v>661</v>
      </c>
      <c r="B669" s="1">
        <v>28064</v>
      </c>
      <c r="C669" s="2">
        <v>214.84262990667756</v>
      </c>
      <c r="D669" s="2">
        <v>0.70609282339699708</v>
      </c>
      <c r="E669">
        <f t="shared" si="32"/>
        <v>10</v>
      </c>
      <c r="F669">
        <f t="shared" si="33"/>
        <v>1976</v>
      </c>
      <c r="G669" s="2">
        <f t="shared" si="34"/>
        <v>0</v>
      </c>
    </row>
    <row r="670" spans="1:7" x14ac:dyDescent="0.25">
      <c r="A670">
        <v>662</v>
      </c>
      <c r="B670" s="1">
        <v>28094</v>
      </c>
      <c r="C670" s="2">
        <v>177.10611356726511</v>
      </c>
      <c r="D670" s="2">
        <v>0.70609282339699719</v>
      </c>
      <c r="E670">
        <f t="shared" si="32"/>
        <v>11</v>
      </c>
      <c r="F670">
        <f t="shared" si="33"/>
        <v>1976</v>
      </c>
      <c r="G670" s="2">
        <f t="shared" si="34"/>
        <v>0</v>
      </c>
    </row>
    <row r="671" spans="1:7" x14ac:dyDescent="0.25">
      <c r="A671">
        <v>663</v>
      </c>
      <c r="B671" s="1">
        <v>28125</v>
      </c>
      <c r="C671" s="2">
        <v>161.98826861286051</v>
      </c>
      <c r="D671" s="2">
        <v>0.70609282339699708</v>
      </c>
      <c r="E671">
        <f t="shared" si="32"/>
        <v>12</v>
      </c>
      <c r="F671">
        <f t="shared" si="33"/>
        <v>1976</v>
      </c>
      <c r="G671" s="2">
        <f t="shared" si="34"/>
        <v>0</v>
      </c>
    </row>
    <row r="672" spans="1:7" x14ac:dyDescent="0.25">
      <c r="A672">
        <v>664</v>
      </c>
      <c r="B672" s="1">
        <v>28156</v>
      </c>
      <c r="C672" s="2">
        <v>157.69227420397434</v>
      </c>
      <c r="D672" s="2">
        <v>0.70609282339699719</v>
      </c>
      <c r="E672">
        <f t="shared" si="32"/>
        <v>1</v>
      </c>
      <c r="F672">
        <f t="shared" si="33"/>
        <v>1977</v>
      </c>
      <c r="G672" s="2">
        <f t="shared" si="34"/>
        <v>0</v>
      </c>
    </row>
    <row r="673" spans="1:7" x14ac:dyDescent="0.25">
      <c r="A673">
        <v>665</v>
      </c>
      <c r="B673" s="1">
        <v>28184</v>
      </c>
      <c r="C673" s="2">
        <v>173.74392882101691</v>
      </c>
      <c r="D673" s="2">
        <v>0.24999999999999997</v>
      </c>
      <c r="E673">
        <f t="shared" si="32"/>
        <v>2</v>
      </c>
      <c r="F673">
        <f t="shared" si="33"/>
        <v>1977</v>
      </c>
      <c r="G673" s="2">
        <f t="shared" si="34"/>
        <v>9649.2496006382953</v>
      </c>
    </row>
    <row r="674" spans="1:7" x14ac:dyDescent="0.25">
      <c r="A674">
        <v>666</v>
      </c>
      <c r="B674" s="1">
        <v>28215</v>
      </c>
      <c r="C674" s="2">
        <v>152.55323506385554</v>
      </c>
      <c r="D674" s="2">
        <v>0.25</v>
      </c>
      <c r="E674">
        <f t="shared" si="32"/>
        <v>3</v>
      </c>
      <c r="F674">
        <f t="shared" si="33"/>
        <v>1977</v>
      </c>
      <c r="G674" s="2">
        <f t="shared" si="34"/>
        <v>9380.1328006205404</v>
      </c>
    </row>
    <row r="675" spans="1:7" x14ac:dyDescent="0.25">
      <c r="A675">
        <v>667</v>
      </c>
      <c r="B675" s="1">
        <v>28245</v>
      </c>
      <c r="C675" s="2">
        <v>196.32088667964658</v>
      </c>
      <c r="D675" s="2">
        <v>0.25</v>
      </c>
      <c r="E675">
        <f t="shared" si="32"/>
        <v>4</v>
      </c>
      <c r="F675">
        <f t="shared" si="33"/>
        <v>1977</v>
      </c>
      <c r="G675" s="2">
        <f t="shared" si="34"/>
        <v>0</v>
      </c>
    </row>
    <row r="676" spans="1:7" x14ac:dyDescent="0.25">
      <c r="A676">
        <v>668</v>
      </c>
      <c r="B676" s="1">
        <v>28276</v>
      </c>
      <c r="C676" s="2">
        <v>239.89165958575308</v>
      </c>
      <c r="D676" s="2">
        <v>0.25</v>
      </c>
      <c r="E676">
        <f t="shared" si="32"/>
        <v>5</v>
      </c>
      <c r="F676">
        <f t="shared" si="33"/>
        <v>1977</v>
      </c>
      <c r="G676" s="2">
        <f t="shared" si="34"/>
        <v>0</v>
      </c>
    </row>
    <row r="677" spans="1:7" x14ac:dyDescent="0.25">
      <c r="A677">
        <v>669</v>
      </c>
      <c r="B677" s="1">
        <v>28306</v>
      </c>
      <c r="C677" s="2">
        <v>275.36306112931697</v>
      </c>
      <c r="D677" s="2">
        <v>0.25</v>
      </c>
      <c r="E677">
        <f t="shared" si="32"/>
        <v>6</v>
      </c>
      <c r="F677">
        <f t="shared" si="33"/>
        <v>1977</v>
      </c>
      <c r="G677" s="2">
        <f t="shared" si="34"/>
        <v>0</v>
      </c>
    </row>
    <row r="678" spans="1:7" x14ac:dyDescent="0.25">
      <c r="A678">
        <v>670</v>
      </c>
      <c r="B678" s="1">
        <v>28337</v>
      </c>
      <c r="C678" s="2">
        <v>287.21574840608633</v>
      </c>
      <c r="D678" s="2">
        <v>0.25</v>
      </c>
      <c r="E678">
        <f t="shared" si="32"/>
        <v>7</v>
      </c>
      <c r="F678">
        <f t="shared" si="33"/>
        <v>1977</v>
      </c>
      <c r="G678" s="2">
        <f t="shared" si="34"/>
        <v>0</v>
      </c>
    </row>
    <row r="679" spans="1:7" x14ac:dyDescent="0.25">
      <c r="A679">
        <v>671</v>
      </c>
      <c r="B679" s="1">
        <v>28368</v>
      </c>
      <c r="C679" s="2">
        <v>278.99732431952134</v>
      </c>
      <c r="D679" s="2">
        <v>0.25</v>
      </c>
      <c r="E679">
        <f t="shared" si="32"/>
        <v>8</v>
      </c>
      <c r="F679">
        <f t="shared" si="33"/>
        <v>1977</v>
      </c>
      <c r="G679" s="2">
        <f t="shared" si="34"/>
        <v>0</v>
      </c>
    </row>
    <row r="680" spans="1:7" x14ac:dyDescent="0.25">
      <c r="A680">
        <v>672</v>
      </c>
      <c r="B680" s="1">
        <v>28398</v>
      </c>
      <c r="C680" s="2">
        <v>254.31992423903674</v>
      </c>
      <c r="D680" s="2">
        <v>0.25</v>
      </c>
      <c r="E680">
        <f t="shared" si="32"/>
        <v>9</v>
      </c>
      <c r="F680">
        <f t="shared" si="33"/>
        <v>1977</v>
      </c>
      <c r="G680" s="2">
        <f t="shared" si="34"/>
        <v>0</v>
      </c>
    </row>
    <row r="681" spans="1:7" x14ac:dyDescent="0.25">
      <c r="A681">
        <v>673</v>
      </c>
      <c r="B681" s="1">
        <v>28429</v>
      </c>
      <c r="C681" s="2">
        <v>214.84262990667759</v>
      </c>
      <c r="D681" s="2">
        <v>0.25</v>
      </c>
      <c r="E681">
        <f t="shared" si="32"/>
        <v>10</v>
      </c>
      <c r="F681">
        <f t="shared" si="33"/>
        <v>1977</v>
      </c>
      <c r="G681" s="2">
        <f t="shared" si="34"/>
        <v>0</v>
      </c>
    </row>
    <row r="682" spans="1:7" x14ac:dyDescent="0.25">
      <c r="A682">
        <v>674</v>
      </c>
      <c r="B682" s="1">
        <v>28459</v>
      </c>
      <c r="C682" s="2">
        <v>177.10611356726508</v>
      </c>
      <c r="D682" s="2">
        <v>0.25</v>
      </c>
      <c r="E682">
        <f t="shared" si="32"/>
        <v>11</v>
      </c>
      <c r="F682">
        <f t="shared" si="33"/>
        <v>1977</v>
      </c>
      <c r="G682" s="2">
        <f t="shared" si="34"/>
        <v>0</v>
      </c>
    </row>
    <row r="683" spans="1:7" x14ac:dyDescent="0.25">
      <c r="A683">
        <v>675</v>
      </c>
      <c r="B683" s="1">
        <v>28490</v>
      </c>
      <c r="C683" s="2">
        <v>161.98826861286051</v>
      </c>
      <c r="D683" s="2">
        <v>0.25</v>
      </c>
      <c r="E683">
        <f t="shared" si="32"/>
        <v>12</v>
      </c>
      <c r="F683">
        <f t="shared" si="33"/>
        <v>1977</v>
      </c>
      <c r="G683" s="2">
        <f t="shared" si="34"/>
        <v>0</v>
      </c>
    </row>
    <row r="684" spans="1:7" x14ac:dyDescent="0.25">
      <c r="A684">
        <v>676</v>
      </c>
      <c r="B684" s="1">
        <v>28521</v>
      </c>
      <c r="C684" s="2">
        <v>157.69227420397434</v>
      </c>
      <c r="D684" s="2">
        <v>0.25</v>
      </c>
      <c r="E684">
        <f t="shared" si="32"/>
        <v>1</v>
      </c>
      <c r="F684">
        <f t="shared" si="33"/>
        <v>1978</v>
      </c>
      <c r="G684" s="2">
        <f t="shared" si="34"/>
        <v>0</v>
      </c>
    </row>
    <row r="685" spans="1:7" x14ac:dyDescent="0.25">
      <c r="A685">
        <v>677</v>
      </c>
      <c r="B685" s="1">
        <v>28549</v>
      </c>
      <c r="C685" s="2">
        <v>173.743928821011</v>
      </c>
      <c r="D685" s="2">
        <v>0.5</v>
      </c>
      <c r="E685">
        <f t="shared" si="32"/>
        <v>2</v>
      </c>
      <c r="F685">
        <f t="shared" si="33"/>
        <v>1978</v>
      </c>
      <c r="G685" s="2">
        <f t="shared" si="34"/>
        <v>9649.2496006379661</v>
      </c>
    </row>
    <row r="686" spans="1:7" x14ac:dyDescent="0.25">
      <c r="A686">
        <v>678</v>
      </c>
      <c r="B686" s="1">
        <v>28580</v>
      </c>
      <c r="C686" s="2">
        <v>96.914806888128012</v>
      </c>
      <c r="D686" s="2">
        <v>0.99999999999999989</v>
      </c>
      <c r="E686">
        <f t="shared" si="32"/>
        <v>3</v>
      </c>
      <c r="F686">
        <f t="shared" si="33"/>
        <v>1978</v>
      </c>
      <c r="G686" s="2">
        <f t="shared" si="34"/>
        <v>5959.0592003939873</v>
      </c>
    </row>
    <row r="687" spans="1:7" x14ac:dyDescent="0.25">
      <c r="A687">
        <v>679</v>
      </c>
      <c r="B687" s="1">
        <v>28610</v>
      </c>
      <c r="C687" s="2">
        <v>140.91721845376131</v>
      </c>
      <c r="D687" s="2">
        <v>1</v>
      </c>
      <c r="E687">
        <f t="shared" si="32"/>
        <v>4</v>
      </c>
      <c r="F687">
        <f t="shared" si="33"/>
        <v>1978</v>
      </c>
      <c r="G687" s="2">
        <f t="shared" si="34"/>
        <v>0</v>
      </c>
    </row>
    <row r="688" spans="1:7" x14ac:dyDescent="0.25">
      <c r="A688">
        <v>680</v>
      </c>
      <c r="B688" s="1">
        <v>28641</v>
      </c>
      <c r="C688" s="2">
        <v>172.19561393611605</v>
      </c>
      <c r="D688" s="2">
        <v>1</v>
      </c>
      <c r="E688">
        <f t="shared" si="32"/>
        <v>5</v>
      </c>
      <c r="F688">
        <f t="shared" si="33"/>
        <v>1978</v>
      </c>
      <c r="G688" s="2">
        <f t="shared" si="34"/>
        <v>0</v>
      </c>
    </row>
    <row r="689" spans="1:7" x14ac:dyDescent="0.25">
      <c r="A689">
        <v>681</v>
      </c>
      <c r="B689" s="1">
        <v>28671</v>
      </c>
      <c r="C689" s="2">
        <v>249.30857479426103</v>
      </c>
      <c r="D689" s="2">
        <v>1</v>
      </c>
      <c r="E689">
        <f t="shared" si="32"/>
        <v>6</v>
      </c>
      <c r="F689">
        <f t="shared" si="33"/>
        <v>1978</v>
      </c>
      <c r="G689" s="2">
        <f t="shared" si="34"/>
        <v>0</v>
      </c>
    </row>
    <row r="690" spans="1:7" x14ac:dyDescent="0.25">
      <c r="A690">
        <v>682</v>
      </c>
      <c r="B690" s="1">
        <v>28702</v>
      </c>
      <c r="C690" s="2">
        <v>274.69602802891444</v>
      </c>
      <c r="D690" s="2">
        <v>1</v>
      </c>
      <c r="E690">
        <f t="shared" si="32"/>
        <v>7</v>
      </c>
      <c r="F690">
        <f t="shared" si="33"/>
        <v>1978</v>
      </c>
      <c r="G690" s="2">
        <f t="shared" si="34"/>
        <v>0</v>
      </c>
    </row>
    <row r="691" spans="1:7" x14ac:dyDescent="0.25">
      <c r="A691">
        <v>683</v>
      </c>
      <c r="B691" s="1">
        <v>28733</v>
      </c>
      <c r="C691" s="2">
        <v>284.25012948115892</v>
      </c>
      <c r="D691" s="2">
        <v>1</v>
      </c>
      <c r="E691">
        <f t="shared" si="32"/>
        <v>8</v>
      </c>
      <c r="F691">
        <f t="shared" si="33"/>
        <v>1978</v>
      </c>
      <c r="G691" s="2">
        <f t="shared" si="34"/>
        <v>0</v>
      </c>
    </row>
    <row r="692" spans="1:7" x14ac:dyDescent="0.25">
      <c r="A692">
        <v>684</v>
      </c>
      <c r="B692" s="1">
        <v>28763</v>
      </c>
      <c r="C692" s="2">
        <v>251.09751946104601</v>
      </c>
      <c r="D692" s="2">
        <v>1</v>
      </c>
      <c r="E692">
        <f t="shared" si="32"/>
        <v>9</v>
      </c>
      <c r="F692">
        <f t="shared" si="33"/>
        <v>1978</v>
      </c>
      <c r="G692" s="2">
        <f t="shared" si="34"/>
        <v>0</v>
      </c>
    </row>
    <row r="693" spans="1:7" x14ac:dyDescent="0.25">
      <c r="A693">
        <v>685</v>
      </c>
      <c r="B693" s="1">
        <v>28794</v>
      </c>
      <c r="C693" s="2">
        <v>215.12985528304065</v>
      </c>
      <c r="D693" s="2">
        <v>0.99999999999999989</v>
      </c>
      <c r="E693">
        <f t="shared" si="32"/>
        <v>10</v>
      </c>
      <c r="F693">
        <f t="shared" si="33"/>
        <v>1978</v>
      </c>
      <c r="G693" s="2">
        <f t="shared" si="34"/>
        <v>0</v>
      </c>
    </row>
    <row r="694" spans="1:7" x14ac:dyDescent="0.25">
      <c r="A694">
        <v>686</v>
      </c>
      <c r="B694" s="1">
        <v>28824</v>
      </c>
      <c r="C694" s="2">
        <v>152.24052617673215</v>
      </c>
      <c r="D694" s="2">
        <v>1</v>
      </c>
      <c r="E694">
        <f t="shared" si="32"/>
        <v>11</v>
      </c>
      <c r="F694">
        <f t="shared" si="33"/>
        <v>1978</v>
      </c>
      <c r="G694" s="2">
        <f t="shared" si="34"/>
        <v>0</v>
      </c>
    </row>
    <row r="695" spans="1:7" x14ac:dyDescent="0.25">
      <c r="A695">
        <v>687</v>
      </c>
      <c r="B695" s="1">
        <v>28855</v>
      </c>
      <c r="C695" s="2">
        <v>138.92959785864781</v>
      </c>
      <c r="D695" s="2">
        <v>1</v>
      </c>
      <c r="E695">
        <f t="shared" si="32"/>
        <v>12</v>
      </c>
      <c r="F695">
        <f t="shared" si="33"/>
        <v>1978</v>
      </c>
      <c r="G695" s="2">
        <f t="shared" si="34"/>
        <v>0</v>
      </c>
    </row>
    <row r="696" spans="1:7" x14ac:dyDescent="0.25">
      <c r="A696">
        <v>688</v>
      </c>
      <c r="B696" s="1">
        <v>28886</v>
      </c>
      <c r="C696" s="2">
        <v>110.24576070621373</v>
      </c>
      <c r="D696" s="2">
        <v>1</v>
      </c>
      <c r="E696">
        <f t="shared" si="32"/>
        <v>1</v>
      </c>
      <c r="F696">
        <f t="shared" si="33"/>
        <v>1979</v>
      </c>
      <c r="G696" s="2">
        <f t="shared" si="34"/>
        <v>0</v>
      </c>
    </row>
    <row r="697" spans="1:7" x14ac:dyDescent="0.25">
      <c r="A697">
        <v>689</v>
      </c>
      <c r="B697" s="1">
        <v>28914</v>
      </c>
      <c r="C697" s="2">
        <v>102.91438209013761</v>
      </c>
      <c r="D697" s="2">
        <v>0.90108843440286268</v>
      </c>
      <c r="E697">
        <f t="shared" si="32"/>
        <v>2</v>
      </c>
      <c r="F697">
        <f t="shared" si="33"/>
        <v>1979</v>
      </c>
      <c r="G697" s="2">
        <f t="shared" si="34"/>
        <v>5715.5756003778906</v>
      </c>
    </row>
    <row r="698" spans="1:7" x14ac:dyDescent="0.25">
      <c r="A698">
        <v>690</v>
      </c>
      <c r="B698" s="1">
        <v>28945</v>
      </c>
      <c r="C698" s="2">
        <v>106.88716825976169</v>
      </c>
      <c r="D698" s="2">
        <v>0.69476810679145518</v>
      </c>
      <c r="E698">
        <f t="shared" si="32"/>
        <v>3</v>
      </c>
      <c r="F698">
        <f t="shared" si="33"/>
        <v>1979</v>
      </c>
      <c r="G698" s="2">
        <f t="shared" si="34"/>
        <v>6572.2358004349335</v>
      </c>
    </row>
    <row r="699" spans="1:7" x14ac:dyDescent="0.25">
      <c r="A699">
        <v>691</v>
      </c>
      <c r="B699" s="1">
        <v>28975</v>
      </c>
      <c r="C699" s="2">
        <v>181.23525201198254</v>
      </c>
      <c r="D699" s="2">
        <v>0.92563338509066329</v>
      </c>
      <c r="E699">
        <f t="shared" si="32"/>
        <v>4</v>
      </c>
      <c r="F699">
        <f t="shared" si="33"/>
        <v>1979</v>
      </c>
      <c r="G699" s="2">
        <f t="shared" si="34"/>
        <v>0</v>
      </c>
    </row>
    <row r="700" spans="1:7" x14ac:dyDescent="0.25">
      <c r="A700">
        <v>692</v>
      </c>
      <c r="B700" s="1">
        <v>29006</v>
      </c>
      <c r="C700" s="2">
        <v>189.91672423298655</v>
      </c>
      <c r="D700" s="2">
        <v>1</v>
      </c>
      <c r="E700">
        <f t="shared" si="32"/>
        <v>5</v>
      </c>
      <c r="F700">
        <f t="shared" si="33"/>
        <v>1979</v>
      </c>
      <c r="G700" s="2">
        <f t="shared" si="34"/>
        <v>0</v>
      </c>
    </row>
    <row r="701" spans="1:7" x14ac:dyDescent="0.25">
      <c r="A701">
        <v>693</v>
      </c>
      <c r="B701" s="1">
        <v>29036</v>
      </c>
      <c r="C701" s="2">
        <v>249.94227532208063</v>
      </c>
      <c r="D701" s="2">
        <v>1</v>
      </c>
      <c r="E701">
        <f t="shared" si="32"/>
        <v>6</v>
      </c>
      <c r="F701">
        <f t="shared" si="33"/>
        <v>1979</v>
      </c>
      <c r="G701" s="2">
        <f t="shared" si="34"/>
        <v>0</v>
      </c>
    </row>
    <row r="702" spans="1:7" x14ac:dyDescent="0.25">
      <c r="A702">
        <v>694</v>
      </c>
      <c r="B702" s="1">
        <v>29067</v>
      </c>
      <c r="C702" s="2">
        <v>278.83348316359661</v>
      </c>
      <c r="D702" s="2">
        <v>1</v>
      </c>
      <c r="E702">
        <f t="shared" si="32"/>
        <v>7</v>
      </c>
      <c r="F702">
        <f t="shared" si="33"/>
        <v>1979</v>
      </c>
      <c r="G702" s="2">
        <f t="shared" si="34"/>
        <v>0</v>
      </c>
    </row>
    <row r="703" spans="1:7" x14ac:dyDescent="0.25">
      <c r="A703">
        <v>695</v>
      </c>
      <c r="B703" s="1">
        <v>29098</v>
      </c>
      <c r="C703" s="2">
        <v>281.64601106700832</v>
      </c>
      <c r="D703" s="2">
        <v>0.99999999999999989</v>
      </c>
      <c r="E703">
        <f t="shared" si="32"/>
        <v>8</v>
      </c>
      <c r="F703">
        <f t="shared" si="33"/>
        <v>1979</v>
      </c>
      <c r="G703" s="2">
        <f t="shared" si="34"/>
        <v>0</v>
      </c>
    </row>
    <row r="704" spans="1:7" x14ac:dyDescent="0.25">
      <c r="A704">
        <v>696</v>
      </c>
      <c r="B704" s="1">
        <v>29128</v>
      </c>
      <c r="C704" s="2">
        <v>247.80503551638381</v>
      </c>
      <c r="D704" s="2">
        <v>1</v>
      </c>
      <c r="E704">
        <f t="shared" si="32"/>
        <v>9</v>
      </c>
      <c r="F704">
        <f t="shared" si="33"/>
        <v>1979</v>
      </c>
      <c r="G704" s="2">
        <f t="shared" si="34"/>
        <v>0</v>
      </c>
    </row>
    <row r="705" spans="1:7" x14ac:dyDescent="0.25">
      <c r="A705">
        <v>697</v>
      </c>
      <c r="B705" s="1">
        <v>29159</v>
      </c>
      <c r="C705" s="2">
        <v>213.68325149262245</v>
      </c>
      <c r="D705" s="2">
        <v>1</v>
      </c>
      <c r="E705">
        <f t="shared" si="32"/>
        <v>10</v>
      </c>
      <c r="F705">
        <f t="shared" si="33"/>
        <v>1979</v>
      </c>
      <c r="G705" s="2">
        <f t="shared" si="34"/>
        <v>0</v>
      </c>
    </row>
    <row r="706" spans="1:7" x14ac:dyDescent="0.25">
      <c r="A706">
        <v>698</v>
      </c>
      <c r="B706" s="1">
        <v>29189</v>
      </c>
      <c r="C706" s="2">
        <v>158.89264570494973</v>
      </c>
      <c r="D706" s="2">
        <v>1</v>
      </c>
      <c r="E706">
        <f t="shared" si="32"/>
        <v>11</v>
      </c>
      <c r="F706">
        <f t="shared" si="33"/>
        <v>1979</v>
      </c>
      <c r="G706" s="2">
        <f t="shared" si="34"/>
        <v>0</v>
      </c>
    </row>
    <row r="707" spans="1:7" x14ac:dyDescent="0.25">
      <c r="A707">
        <v>699</v>
      </c>
      <c r="B707" s="1">
        <v>29220</v>
      </c>
      <c r="C707" s="2">
        <v>140.7197017834973</v>
      </c>
      <c r="D707" s="2">
        <v>1</v>
      </c>
      <c r="E707">
        <f t="shared" si="32"/>
        <v>12</v>
      </c>
      <c r="F707">
        <f t="shared" si="33"/>
        <v>1979</v>
      </c>
      <c r="G707" s="2">
        <f t="shared" si="34"/>
        <v>0</v>
      </c>
    </row>
    <row r="708" spans="1:7" x14ac:dyDescent="0.25">
      <c r="A708">
        <v>700</v>
      </c>
      <c r="B708" s="1">
        <v>29251</v>
      </c>
      <c r="C708" s="2">
        <v>120.71654124454041</v>
      </c>
      <c r="D708" s="2">
        <v>1</v>
      </c>
      <c r="E708">
        <f t="shared" si="32"/>
        <v>1</v>
      </c>
      <c r="F708">
        <f t="shared" si="33"/>
        <v>1980</v>
      </c>
      <c r="G708" s="2">
        <f t="shared" si="34"/>
        <v>0</v>
      </c>
    </row>
    <row r="709" spans="1:7" x14ac:dyDescent="0.25">
      <c r="A709">
        <v>701</v>
      </c>
      <c r="B709" s="1">
        <v>29280</v>
      </c>
      <c r="C709" s="2">
        <v>110.50888971995006</v>
      </c>
      <c r="D709" s="2">
        <v>1</v>
      </c>
      <c r="E709">
        <f t="shared" si="32"/>
        <v>2</v>
      </c>
      <c r="F709">
        <f t="shared" si="33"/>
        <v>1980</v>
      </c>
      <c r="G709" s="2">
        <f t="shared" si="34"/>
        <v>6137.3532141988799</v>
      </c>
    </row>
    <row r="710" spans="1:7" x14ac:dyDescent="0.25">
      <c r="A710">
        <v>702</v>
      </c>
      <c r="B710" s="1">
        <v>29311</v>
      </c>
      <c r="C710" s="2">
        <v>95.988743796675948</v>
      </c>
      <c r="D710" s="2">
        <v>1</v>
      </c>
      <c r="E710">
        <f t="shared" si="32"/>
        <v>3</v>
      </c>
      <c r="F710">
        <f t="shared" si="33"/>
        <v>1980</v>
      </c>
      <c r="G710" s="2">
        <f t="shared" si="34"/>
        <v>5902.1178003906534</v>
      </c>
    </row>
    <row r="711" spans="1:7" x14ac:dyDescent="0.25">
      <c r="A711">
        <v>703</v>
      </c>
      <c r="B711" s="1">
        <v>29341</v>
      </c>
      <c r="C711" s="2">
        <v>127.84175342511902</v>
      </c>
      <c r="D711" s="2">
        <v>1</v>
      </c>
      <c r="E711">
        <f t="shared" si="32"/>
        <v>4</v>
      </c>
      <c r="F711">
        <f t="shared" si="33"/>
        <v>1980</v>
      </c>
      <c r="G711" s="2">
        <f t="shared" si="34"/>
        <v>0</v>
      </c>
    </row>
    <row r="712" spans="1:7" x14ac:dyDescent="0.25">
      <c r="A712">
        <v>704</v>
      </c>
      <c r="B712" s="1">
        <v>29372</v>
      </c>
      <c r="C712" s="2">
        <v>173.69722718890347</v>
      </c>
      <c r="D712" s="2">
        <v>1</v>
      </c>
      <c r="E712">
        <f t="shared" si="32"/>
        <v>5</v>
      </c>
      <c r="F712">
        <f t="shared" si="33"/>
        <v>1980</v>
      </c>
      <c r="G712" s="2">
        <f t="shared" si="34"/>
        <v>0</v>
      </c>
    </row>
    <row r="713" spans="1:7" x14ac:dyDescent="0.25">
      <c r="A713">
        <v>705</v>
      </c>
      <c r="B713" s="1">
        <v>29402</v>
      </c>
      <c r="C713" s="2">
        <v>230.63820084858216</v>
      </c>
      <c r="D713" s="2">
        <v>1</v>
      </c>
      <c r="E713">
        <f t="shared" si="32"/>
        <v>6</v>
      </c>
      <c r="F713">
        <f t="shared" si="33"/>
        <v>1980</v>
      </c>
      <c r="G713" s="2">
        <f t="shared" si="34"/>
        <v>0</v>
      </c>
    </row>
    <row r="714" spans="1:7" x14ac:dyDescent="0.25">
      <c r="A714">
        <v>706</v>
      </c>
      <c r="B714" s="1">
        <v>29433</v>
      </c>
      <c r="C714" s="2">
        <v>271.71188667119026</v>
      </c>
      <c r="D714" s="2">
        <v>1</v>
      </c>
      <c r="E714">
        <f t="shared" ref="E714:E777" si="35">MONTH(B714)</f>
        <v>7</v>
      </c>
      <c r="F714">
        <f t="shared" ref="F714:F777" si="36">YEAR(B714)</f>
        <v>1980</v>
      </c>
      <c r="G714" s="2">
        <f t="shared" ref="G714:G777" si="37">IF(E714=2,C714*$G$5*28,IF(E714=3,C714*$G$5*31,0))</f>
        <v>0</v>
      </c>
    </row>
    <row r="715" spans="1:7" x14ac:dyDescent="0.25">
      <c r="A715">
        <v>707</v>
      </c>
      <c r="B715" s="1">
        <v>29464</v>
      </c>
      <c r="C715" s="2">
        <v>282.21761897027187</v>
      </c>
      <c r="D715" s="2">
        <v>1</v>
      </c>
      <c r="E715">
        <f t="shared" si="35"/>
        <v>8</v>
      </c>
      <c r="F715">
        <f t="shared" si="36"/>
        <v>1980</v>
      </c>
      <c r="G715" s="2">
        <f t="shared" si="37"/>
        <v>0</v>
      </c>
    </row>
    <row r="716" spans="1:7" x14ac:dyDescent="0.25">
      <c r="A716">
        <v>708</v>
      </c>
      <c r="B716" s="1">
        <v>29494</v>
      </c>
      <c r="C716" s="2">
        <v>245.18670139121073</v>
      </c>
      <c r="D716" s="2">
        <v>1</v>
      </c>
      <c r="E716">
        <f t="shared" si="35"/>
        <v>9</v>
      </c>
      <c r="F716">
        <f t="shared" si="36"/>
        <v>1980</v>
      </c>
      <c r="G716" s="2">
        <f t="shared" si="37"/>
        <v>0</v>
      </c>
    </row>
    <row r="717" spans="1:7" x14ac:dyDescent="0.25">
      <c r="A717">
        <v>709</v>
      </c>
      <c r="B717" s="1">
        <v>29525</v>
      </c>
      <c r="C717" s="2">
        <v>208.40764336055324</v>
      </c>
      <c r="D717" s="2">
        <v>1</v>
      </c>
      <c r="E717">
        <f t="shared" si="35"/>
        <v>10</v>
      </c>
      <c r="F717">
        <f t="shared" si="36"/>
        <v>1980</v>
      </c>
      <c r="G717" s="2">
        <f t="shared" si="37"/>
        <v>0</v>
      </c>
    </row>
    <row r="718" spans="1:7" x14ac:dyDescent="0.25">
      <c r="A718">
        <v>710</v>
      </c>
      <c r="B718" s="1">
        <v>29555</v>
      </c>
      <c r="C718" s="2">
        <v>139.9081154259168</v>
      </c>
      <c r="D718" s="2">
        <v>1</v>
      </c>
      <c r="E718">
        <f t="shared" si="35"/>
        <v>11</v>
      </c>
      <c r="F718">
        <f t="shared" si="36"/>
        <v>1980</v>
      </c>
      <c r="G718" s="2">
        <f t="shared" si="37"/>
        <v>0</v>
      </c>
    </row>
    <row r="719" spans="1:7" x14ac:dyDescent="0.25">
      <c r="A719">
        <v>711</v>
      </c>
      <c r="B719" s="1">
        <v>29586</v>
      </c>
      <c r="C719" s="2">
        <v>100.09781597435997</v>
      </c>
      <c r="D719" s="2">
        <v>1</v>
      </c>
      <c r="E719">
        <f t="shared" si="35"/>
        <v>12</v>
      </c>
      <c r="F719">
        <f t="shared" si="36"/>
        <v>1980</v>
      </c>
      <c r="G719" s="2">
        <f t="shared" si="37"/>
        <v>0</v>
      </c>
    </row>
    <row r="720" spans="1:7" x14ac:dyDescent="0.25">
      <c r="A720">
        <v>712</v>
      </c>
      <c r="B720" s="1">
        <v>29617</v>
      </c>
      <c r="C720" s="2">
        <v>94.480039683665979</v>
      </c>
      <c r="D720" s="2">
        <v>1</v>
      </c>
      <c r="E720">
        <f t="shared" si="35"/>
        <v>1</v>
      </c>
      <c r="F720">
        <f t="shared" si="36"/>
        <v>1981</v>
      </c>
      <c r="G720" s="2">
        <f t="shared" si="37"/>
        <v>0</v>
      </c>
    </row>
    <row r="721" spans="1:7" x14ac:dyDescent="0.25">
      <c r="A721">
        <v>713</v>
      </c>
      <c r="B721" s="1">
        <v>29645</v>
      </c>
      <c r="C721" s="2">
        <v>108.63618759646828</v>
      </c>
      <c r="D721" s="2">
        <v>0.88582120778811502</v>
      </c>
      <c r="E721">
        <f t="shared" si="35"/>
        <v>2</v>
      </c>
      <c r="F721">
        <f t="shared" si="36"/>
        <v>1981</v>
      </c>
      <c r="G721" s="2">
        <f t="shared" si="37"/>
        <v>6033.3486003989001</v>
      </c>
    </row>
    <row r="722" spans="1:7" x14ac:dyDescent="0.25">
      <c r="A722">
        <v>714</v>
      </c>
      <c r="B722" s="1">
        <v>29676</v>
      </c>
      <c r="C722" s="2">
        <v>123.59371307269473</v>
      </c>
      <c r="D722" s="2">
        <v>0.83284285882935549</v>
      </c>
      <c r="E722">
        <f t="shared" si="35"/>
        <v>3</v>
      </c>
      <c r="F722">
        <f t="shared" si="36"/>
        <v>1981</v>
      </c>
      <c r="G722" s="2">
        <f t="shared" si="37"/>
        <v>7599.4812005028825</v>
      </c>
    </row>
    <row r="723" spans="1:7" x14ac:dyDescent="0.25">
      <c r="A723">
        <v>715</v>
      </c>
      <c r="B723" s="1">
        <v>29706</v>
      </c>
      <c r="C723" s="2">
        <v>181.23525201198251</v>
      </c>
      <c r="D723" s="2">
        <v>0.94724028069810318</v>
      </c>
      <c r="E723">
        <f t="shared" si="35"/>
        <v>4</v>
      </c>
      <c r="F723">
        <f t="shared" si="36"/>
        <v>1981</v>
      </c>
      <c r="G723" s="2">
        <f t="shared" si="37"/>
        <v>0</v>
      </c>
    </row>
    <row r="724" spans="1:7" x14ac:dyDescent="0.25">
      <c r="A724">
        <v>716</v>
      </c>
      <c r="B724" s="1">
        <v>29737</v>
      </c>
      <c r="C724" s="2">
        <v>220.07156033713079</v>
      </c>
      <c r="D724" s="2">
        <v>1</v>
      </c>
      <c r="E724">
        <f t="shared" si="35"/>
        <v>5</v>
      </c>
      <c r="F724">
        <f t="shared" si="36"/>
        <v>1981</v>
      </c>
      <c r="G724" s="2">
        <f t="shared" si="37"/>
        <v>0</v>
      </c>
    </row>
    <row r="725" spans="1:7" x14ac:dyDescent="0.25">
      <c r="A725">
        <v>717</v>
      </c>
      <c r="B725" s="1">
        <v>29767</v>
      </c>
      <c r="C725" s="2">
        <v>257.70906701703865</v>
      </c>
      <c r="D725" s="2">
        <v>1</v>
      </c>
      <c r="E725">
        <f t="shared" si="35"/>
        <v>6</v>
      </c>
      <c r="F725">
        <f t="shared" si="36"/>
        <v>1981</v>
      </c>
      <c r="G725" s="2">
        <f t="shared" si="37"/>
        <v>0</v>
      </c>
    </row>
    <row r="726" spans="1:7" x14ac:dyDescent="0.25">
      <c r="A726">
        <v>718</v>
      </c>
      <c r="B726" s="1">
        <v>29798</v>
      </c>
      <c r="C726" s="2">
        <v>288.24290179325095</v>
      </c>
      <c r="D726" s="2">
        <v>1</v>
      </c>
      <c r="E726">
        <f t="shared" si="35"/>
        <v>7</v>
      </c>
      <c r="F726">
        <f t="shared" si="36"/>
        <v>1981</v>
      </c>
      <c r="G726" s="2">
        <f t="shared" si="37"/>
        <v>0</v>
      </c>
    </row>
    <row r="727" spans="1:7" x14ac:dyDescent="0.25">
      <c r="A727">
        <v>719</v>
      </c>
      <c r="B727" s="1">
        <v>29829</v>
      </c>
      <c r="C727" s="2">
        <v>279.99483921206041</v>
      </c>
      <c r="D727" s="2">
        <v>1</v>
      </c>
      <c r="E727">
        <f t="shared" si="35"/>
        <v>8</v>
      </c>
      <c r="F727">
        <f t="shared" si="36"/>
        <v>1981</v>
      </c>
      <c r="G727" s="2">
        <f t="shared" si="37"/>
        <v>0</v>
      </c>
    </row>
    <row r="728" spans="1:7" x14ac:dyDescent="0.25">
      <c r="A728">
        <v>720</v>
      </c>
      <c r="B728" s="1">
        <v>29859</v>
      </c>
      <c r="C728" s="2">
        <v>253.56663201676474</v>
      </c>
      <c r="D728" s="2">
        <v>1</v>
      </c>
      <c r="E728">
        <f t="shared" si="35"/>
        <v>9</v>
      </c>
      <c r="F728">
        <f t="shared" si="36"/>
        <v>1981</v>
      </c>
      <c r="G728" s="2">
        <f t="shared" si="37"/>
        <v>0</v>
      </c>
    </row>
    <row r="729" spans="1:7" x14ac:dyDescent="0.25">
      <c r="A729">
        <v>721</v>
      </c>
      <c r="B729" s="1">
        <v>29890</v>
      </c>
      <c r="C729" s="2">
        <v>216.07475469170529</v>
      </c>
      <c r="D729" s="2">
        <v>1</v>
      </c>
      <c r="E729">
        <f t="shared" si="35"/>
        <v>10</v>
      </c>
      <c r="F729">
        <f t="shared" si="36"/>
        <v>1981</v>
      </c>
      <c r="G729" s="2">
        <f t="shared" si="37"/>
        <v>0</v>
      </c>
    </row>
    <row r="730" spans="1:7" x14ac:dyDescent="0.25">
      <c r="A730">
        <v>722</v>
      </c>
      <c r="B730" s="1">
        <v>29920</v>
      </c>
      <c r="C730" s="2">
        <v>174.85540601156069</v>
      </c>
      <c r="D730" s="2">
        <v>1</v>
      </c>
      <c r="E730">
        <f t="shared" si="35"/>
        <v>11</v>
      </c>
      <c r="F730">
        <f t="shared" si="36"/>
        <v>1981</v>
      </c>
      <c r="G730" s="2">
        <f t="shared" si="37"/>
        <v>0</v>
      </c>
    </row>
    <row r="731" spans="1:7" x14ac:dyDescent="0.25">
      <c r="A731">
        <v>723</v>
      </c>
      <c r="B731" s="1">
        <v>29951</v>
      </c>
      <c r="C731" s="2">
        <v>153.1868782359345</v>
      </c>
      <c r="D731" s="2">
        <v>1</v>
      </c>
      <c r="E731">
        <f t="shared" si="35"/>
        <v>12</v>
      </c>
      <c r="F731">
        <f t="shared" si="36"/>
        <v>1981</v>
      </c>
      <c r="G731" s="2">
        <f t="shared" si="37"/>
        <v>0</v>
      </c>
    </row>
    <row r="732" spans="1:7" x14ac:dyDescent="0.25">
      <c r="A732">
        <v>724</v>
      </c>
      <c r="B732" s="1">
        <v>29982</v>
      </c>
      <c r="C732" s="2">
        <v>148.33069936464571</v>
      </c>
      <c r="D732" s="2">
        <v>1</v>
      </c>
      <c r="E732">
        <f t="shared" si="35"/>
        <v>1</v>
      </c>
      <c r="F732">
        <f t="shared" si="36"/>
        <v>1982</v>
      </c>
      <c r="G732" s="2">
        <f t="shared" si="37"/>
        <v>0</v>
      </c>
    </row>
    <row r="733" spans="1:7" x14ac:dyDescent="0.25">
      <c r="A733">
        <v>725</v>
      </c>
      <c r="B733" s="1">
        <v>30010</v>
      </c>
      <c r="C733" s="2">
        <v>145.70191233106175</v>
      </c>
      <c r="D733" s="2">
        <v>1</v>
      </c>
      <c r="E733">
        <f t="shared" si="35"/>
        <v>2</v>
      </c>
      <c r="F733">
        <f t="shared" si="36"/>
        <v>1982</v>
      </c>
      <c r="G733" s="2">
        <f t="shared" si="37"/>
        <v>8091.8748005349989</v>
      </c>
    </row>
    <row r="734" spans="1:7" x14ac:dyDescent="0.25">
      <c r="A734">
        <v>726</v>
      </c>
      <c r="B734" s="1">
        <v>30041</v>
      </c>
      <c r="C734" s="2">
        <v>95.988743796674854</v>
      </c>
      <c r="D734" s="2">
        <v>1</v>
      </c>
      <c r="E734">
        <f t="shared" si="35"/>
        <v>3</v>
      </c>
      <c r="F734">
        <f t="shared" si="36"/>
        <v>1982</v>
      </c>
      <c r="G734" s="2">
        <f t="shared" si="37"/>
        <v>5902.1178003905861</v>
      </c>
    </row>
    <row r="735" spans="1:7" x14ac:dyDescent="0.25">
      <c r="A735">
        <v>727</v>
      </c>
      <c r="B735" s="1">
        <v>30071</v>
      </c>
      <c r="C735" s="2">
        <v>127.84175342511904</v>
      </c>
      <c r="D735" s="2">
        <v>1</v>
      </c>
      <c r="E735">
        <f t="shared" si="35"/>
        <v>4</v>
      </c>
      <c r="F735">
        <f t="shared" si="36"/>
        <v>1982</v>
      </c>
      <c r="G735" s="2">
        <f t="shared" si="37"/>
        <v>0</v>
      </c>
    </row>
    <row r="736" spans="1:7" x14ac:dyDescent="0.25">
      <c r="A736">
        <v>728</v>
      </c>
      <c r="B736" s="1">
        <v>30102</v>
      </c>
      <c r="C736" s="2">
        <v>173.69722718890347</v>
      </c>
      <c r="D736" s="2">
        <v>1</v>
      </c>
      <c r="E736">
        <f t="shared" si="35"/>
        <v>5</v>
      </c>
      <c r="F736">
        <f t="shared" si="36"/>
        <v>1982</v>
      </c>
      <c r="G736" s="2">
        <f t="shared" si="37"/>
        <v>0</v>
      </c>
    </row>
    <row r="737" spans="1:7" x14ac:dyDescent="0.25">
      <c r="A737">
        <v>729</v>
      </c>
      <c r="B737" s="1">
        <v>30132</v>
      </c>
      <c r="C737" s="2">
        <v>230.63820084858216</v>
      </c>
      <c r="D737" s="2">
        <v>1</v>
      </c>
      <c r="E737">
        <f t="shared" si="35"/>
        <v>6</v>
      </c>
      <c r="F737">
        <f t="shared" si="36"/>
        <v>1982</v>
      </c>
      <c r="G737" s="2">
        <f t="shared" si="37"/>
        <v>0</v>
      </c>
    </row>
    <row r="738" spans="1:7" x14ac:dyDescent="0.25">
      <c r="A738">
        <v>730</v>
      </c>
      <c r="B738" s="1">
        <v>30163</v>
      </c>
      <c r="C738" s="2">
        <v>271.7118866711902</v>
      </c>
      <c r="D738" s="2">
        <v>1</v>
      </c>
      <c r="E738">
        <f t="shared" si="35"/>
        <v>7</v>
      </c>
      <c r="F738">
        <f t="shared" si="36"/>
        <v>1982</v>
      </c>
      <c r="G738" s="2">
        <f t="shared" si="37"/>
        <v>0</v>
      </c>
    </row>
    <row r="739" spans="1:7" x14ac:dyDescent="0.25">
      <c r="A739">
        <v>731</v>
      </c>
      <c r="B739" s="1">
        <v>30194</v>
      </c>
      <c r="C739" s="2">
        <v>282.21761897027193</v>
      </c>
      <c r="D739" s="2">
        <v>1</v>
      </c>
      <c r="E739">
        <f t="shared" si="35"/>
        <v>8</v>
      </c>
      <c r="F739">
        <f t="shared" si="36"/>
        <v>1982</v>
      </c>
      <c r="G739" s="2">
        <f t="shared" si="37"/>
        <v>0</v>
      </c>
    </row>
    <row r="740" spans="1:7" x14ac:dyDescent="0.25">
      <c r="A740">
        <v>732</v>
      </c>
      <c r="B740" s="1">
        <v>30224</v>
      </c>
      <c r="C740" s="2">
        <v>245.18670139121073</v>
      </c>
      <c r="D740" s="2">
        <v>0.99999999999999989</v>
      </c>
      <c r="E740">
        <f t="shared" si="35"/>
        <v>9</v>
      </c>
      <c r="F740">
        <f t="shared" si="36"/>
        <v>1982</v>
      </c>
      <c r="G740" s="2">
        <f t="shared" si="37"/>
        <v>0</v>
      </c>
    </row>
    <row r="741" spans="1:7" x14ac:dyDescent="0.25">
      <c r="A741">
        <v>733</v>
      </c>
      <c r="B741" s="1">
        <v>30255</v>
      </c>
      <c r="C741" s="2">
        <v>208.40764336055324</v>
      </c>
      <c r="D741" s="2">
        <v>1</v>
      </c>
      <c r="E741">
        <f t="shared" si="35"/>
        <v>10</v>
      </c>
      <c r="F741">
        <f t="shared" si="36"/>
        <v>1982</v>
      </c>
      <c r="G741" s="2">
        <f t="shared" si="37"/>
        <v>0</v>
      </c>
    </row>
    <row r="742" spans="1:7" x14ac:dyDescent="0.25">
      <c r="A742">
        <v>734</v>
      </c>
      <c r="B742" s="1">
        <v>30285</v>
      </c>
      <c r="C742" s="2">
        <v>139.9081154259168</v>
      </c>
      <c r="D742" s="2">
        <v>1</v>
      </c>
      <c r="E742">
        <f t="shared" si="35"/>
        <v>11</v>
      </c>
      <c r="F742">
        <f t="shared" si="36"/>
        <v>1982</v>
      </c>
      <c r="G742" s="2">
        <f t="shared" si="37"/>
        <v>0</v>
      </c>
    </row>
    <row r="743" spans="1:7" x14ac:dyDescent="0.25">
      <c r="A743">
        <v>735</v>
      </c>
      <c r="B743" s="1">
        <v>30316</v>
      </c>
      <c r="C743" s="2">
        <v>100.09781597435999</v>
      </c>
      <c r="D743" s="2">
        <v>1</v>
      </c>
      <c r="E743">
        <f t="shared" si="35"/>
        <v>12</v>
      </c>
      <c r="F743">
        <f t="shared" si="36"/>
        <v>1982</v>
      </c>
      <c r="G743" s="2">
        <f t="shared" si="37"/>
        <v>0</v>
      </c>
    </row>
    <row r="744" spans="1:7" x14ac:dyDescent="0.25">
      <c r="A744">
        <v>736</v>
      </c>
      <c r="B744" s="1">
        <v>30347</v>
      </c>
      <c r="C744" s="2">
        <v>94.480039683665979</v>
      </c>
      <c r="D744" s="2">
        <v>1</v>
      </c>
      <c r="E744">
        <f t="shared" si="35"/>
        <v>1</v>
      </c>
      <c r="F744">
        <f t="shared" si="36"/>
        <v>1983</v>
      </c>
      <c r="G744" s="2">
        <f t="shared" si="37"/>
        <v>0</v>
      </c>
    </row>
    <row r="745" spans="1:7" x14ac:dyDescent="0.25">
      <c r="A745">
        <v>737</v>
      </c>
      <c r="B745" s="1">
        <v>30375</v>
      </c>
      <c r="C745" s="2">
        <v>108.63618759646828</v>
      </c>
      <c r="D745" s="2">
        <v>1</v>
      </c>
      <c r="E745">
        <f t="shared" si="35"/>
        <v>2</v>
      </c>
      <c r="F745">
        <f t="shared" si="36"/>
        <v>1983</v>
      </c>
      <c r="G745" s="2">
        <f t="shared" si="37"/>
        <v>6033.3486003989001</v>
      </c>
    </row>
    <row r="746" spans="1:7" x14ac:dyDescent="0.25">
      <c r="A746">
        <v>738</v>
      </c>
      <c r="B746" s="1">
        <v>30406</v>
      </c>
      <c r="C746" s="2">
        <v>95.988743796675095</v>
      </c>
      <c r="D746" s="2">
        <v>1</v>
      </c>
      <c r="E746">
        <f t="shared" si="35"/>
        <v>3</v>
      </c>
      <c r="F746">
        <f t="shared" si="36"/>
        <v>1983</v>
      </c>
      <c r="G746" s="2">
        <f t="shared" si="37"/>
        <v>5902.1178003906007</v>
      </c>
    </row>
    <row r="747" spans="1:7" x14ac:dyDescent="0.25">
      <c r="A747">
        <v>739</v>
      </c>
      <c r="B747" s="1">
        <v>30436</v>
      </c>
      <c r="C747" s="2">
        <v>127.84175342511905</v>
      </c>
      <c r="D747" s="2">
        <v>1</v>
      </c>
      <c r="E747">
        <f t="shared" si="35"/>
        <v>4</v>
      </c>
      <c r="F747">
        <f t="shared" si="36"/>
        <v>1983</v>
      </c>
      <c r="G747" s="2">
        <f t="shared" si="37"/>
        <v>0</v>
      </c>
    </row>
    <row r="748" spans="1:7" x14ac:dyDescent="0.25">
      <c r="A748">
        <v>740</v>
      </c>
      <c r="B748" s="1">
        <v>30467</v>
      </c>
      <c r="C748" s="2">
        <v>173.69722718890344</v>
      </c>
      <c r="D748" s="2">
        <v>1</v>
      </c>
      <c r="E748">
        <f t="shared" si="35"/>
        <v>5</v>
      </c>
      <c r="F748">
        <f t="shared" si="36"/>
        <v>1983</v>
      </c>
      <c r="G748" s="2">
        <f t="shared" si="37"/>
        <v>0</v>
      </c>
    </row>
    <row r="749" spans="1:7" x14ac:dyDescent="0.25">
      <c r="A749">
        <v>741</v>
      </c>
      <c r="B749" s="1">
        <v>30497</v>
      </c>
      <c r="C749" s="2">
        <v>230.63820084858219</v>
      </c>
      <c r="D749" s="2">
        <v>1</v>
      </c>
      <c r="E749">
        <f t="shared" si="35"/>
        <v>6</v>
      </c>
      <c r="F749">
        <f t="shared" si="36"/>
        <v>1983</v>
      </c>
      <c r="G749" s="2">
        <f t="shared" si="37"/>
        <v>0</v>
      </c>
    </row>
    <row r="750" spans="1:7" x14ac:dyDescent="0.25">
      <c r="A750">
        <v>742</v>
      </c>
      <c r="B750" s="1">
        <v>30528</v>
      </c>
      <c r="C750" s="2">
        <v>271.71188667119026</v>
      </c>
      <c r="D750" s="2">
        <v>1</v>
      </c>
      <c r="E750">
        <f t="shared" si="35"/>
        <v>7</v>
      </c>
      <c r="F750">
        <f t="shared" si="36"/>
        <v>1983</v>
      </c>
      <c r="G750" s="2">
        <f t="shared" si="37"/>
        <v>0</v>
      </c>
    </row>
    <row r="751" spans="1:7" x14ac:dyDescent="0.25">
      <c r="A751">
        <v>743</v>
      </c>
      <c r="B751" s="1">
        <v>30559</v>
      </c>
      <c r="C751" s="2">
        <v>282.21761897027193</v>
      </c>
      <c r="D751" s="2">
        <v>1</v>
      </c>
      <c r="E751">
        <f t="shared" si="35"/>
        <v>8</v>
      </c>
      <c r="F751">
        <f t="shared" si="36"/>
        <v>1983</v>
      </c>
      <c r="G751" s="2">
        <f t="shared" si="37"/>
        <v>0</v>
      </c>
    </row>
    <row r="752" spans="1:7" x14ac:dyDescent="0.25">
      <c r="A752">
        <v>744</v>
      </c>
      <c r="B752" s="1">
        <v>30589</v>
      </c>
      <c r="C752" s="2">
        <v>245.18670139121073</v>
      </c>
      <c r="D752" s="2">
        <v>1</v>
      </c>
      <c r="E752">
        <f t="shared" si="35"/>
        <v>9</v>
      </c>
      <c r="F752">
        <f t="shared" si="36"/>
        <v>1983</v>
      </c>
      <c r="G752" s="2">
        <f t="shared" si="37"/>
        <v>0</v>
      </c>
    </row>
    <row r="753" spans="1:7" x14ac:dyDescent="0.25">
      <c r="A753">
        <v>745</v>
      </c>
      <c r="B753" s="1">
        <v>30620</v>
      </c>
      <c r="C753" s="2">
        <v>208.40764336055324</v>
      </c>
      <c r="D753" s="2">
        <v>1</v>
      </c>
      <c r="E753">
        <f t="shared" si="35"/>
        <v>10</v>
      </c>
      <c r="F753">
        <f t="shared" si="36"/>
        <v>1983</v>
      </c>
      <c r="G753" s="2">
        <f t="shared" si="37"/>
        <v>0</v>
      </c>
    </row>
    <row r="754" spans="1:7" x14ac:dyDescent="0.25">
      <c r="A754">
        <v>746</v>
      </c>
      <c r="B754" s="1">
        <v>30650</v>
      </c>
      <c r="C754" s="2">
        <v>139.9081154259168</v>
      </c>
      <c r="D754" s="2">
        <v>1</v>
      </c>
      <c r="E754">
        <f t="shared" si="35"/>
        <v>11</v>
      </c>
      <c r="F754">
        <f t="shared" si="36"/>
        <v>1983</v>
      </c>
      <c r="G754" s="2">
        <f t="shared" si="37"/>
        <v>0</v>
      </c>
    </row>
    <row r="755" spans="1:7" x14ac:dyDescent="0.25">
      <c r="A755">
        <v>747</v>
      </c>
      <c r="B755" s="1">
        <v>30681</v>
      </c>
      <c r="C755" s="2">
        <v>100.09781597436</v>
      </c>
      <c r="D755" s="2">
        <v>1</v>
      </c>
      <c r="E755">
        <f t="shared" si="35"/>
        <v>12</v>
      </c>
      <c r="F755">
        <f t="shared" si="36"/>
        <v>1983</v>
      </c>
      <c r="G755" s="2">
        <f t="shared" si="37"/>
        <v>0</v>
      </c>
    </row>
    <row r="756" spans="1:7" x14ac:dyDescent="0.25">
      <c r="A756">
        <v>748</v>
      </c>
      <c r="B756" s="1">
        <v>30712</v>
      </c>
      <c r="C756" s="2">
        <v>94.480039683665979</v>
      </c>
      <c r="D756" s="2">
        <v>1</v>
      </c>
      <c r="E756">
        <f t="shared" si="35"/>
        <v>1</v>
      </c>
      <c r="F756">
        <f t="shared" si="36"/>
        <v>1984</v>
      </c>
      <c r="G756" s="2">
        <f t="shared" si="37"/>
        <v>0</v>
      </c>
    </row>
    <row r="757" spans="1:7" x14ac:dyDescent="0.25">
      <c r="A757">
        <v>749</v>
      </c>
      <c r="B757" s="1">
        <v>30741</v>
      </c>
      <c r="C757" s="2">
        <v>104.89011216210731</v>
      </c>
      <c r="D757" s="2">
        <v>1</v>
      </c>
      <c r="E757">
        <f t="shared" si="35"/>
        <v>2</v>
      </c>
      <c r="F757">
        <f t="shared" si="36"/>
        <v>1984</v>
      </c>
      <c r="G757" s="2">
        <f t="shared" si="37"/>
        <v>5825.302096936869</v>
      </c>
    </row>
    <row r="758" spans="1:7" x14ac:dyDescent="0.25">
      <c r="A758">
        <v>750</v>
      </c>
      <c r="B758" s="1">
        <v>30772</v>
      </c>
      <c r="C758" s="2">
        <v>95.988743796674299</v>
      </c>
      <c r="D758" s="2">
        <v>1</v>
      </c>
      <c r="E758">
        <f t="shared" si="35"/>
        <v>3</v>
      </c>
      <c r="F758">
        <f t="shared" si="36"/>
        <v>1984</v>
      </c>
      <c r="G758" s="2">
        <f t="shared" si="37"/>
        <v>5902.1178003905525</v>
      </c>
    </row>
    <row r="759" spans="1:7" x14ac:dyDescent="0.25">
      <c r="A759">
        <v>751</v>
      </c>
      <c r="B759" s="1">
        <v>30802</v>
      </c>
      <c r="C759" s="2">
        <v>127.84175342511904</v>
      </c>
      <c r="D759" s="2">
        <v>1</v>
      </c>
      <c r="E759">
        <f t="shared" si="35"/>
        <v>4</v>
      </c>
      <c r="F759">
        <f t="shared" si="36"/>
        <v>1984</v>
      </c>
      <c r="G759" s="2">
        <f t="shared" si="37"/>
        <v>0</v>
      </c>
    </row>
    <row r="760" spans="1:7" x14ac:dyDescent="0.25">
      <c r="A760">
        <v>752</v>
      </c>
      <c r="B760" s="1">
        <v>30833</v>
      </c>
      <c r="C760" s="2">
        <v>173.69722718890344</v>
      </c>
      <c r="D760" s="2">
        <v>0.99999999999999989</v>
      </c>
      <c r="E760">
        <f t="shared" si="35"/>
        <v>5</v>
      </c>
      <c r="F760">
        <f t="shared" si="36"/>
        <v>1984</v>
      </c>
      <c r="G760" s="2">
        <f t="shared" si="37"/>
        <v>0</v>
      </c>
    </row>
    <row r="761" spans="1:7" x14ac:dyDescent="0.25">
      <c r="A761">
        <v>753</v>
      </c>
      <c r="B761" s="1">
        <v>30863</v>
      </c>
      <c r="C761" s="2">
        <v>230.63820084858219</v>
      </c>
      <c r="D761" s="2">
        <v>1</v>
      </c>
      <c r="E761">
        <f t="shared" si="35"/>
        <v>6</v>
      </c>
      <c r="F761">
        <f t="shared" si="36"/>
        <v>1984</v>
      </c>
      <c r="G761" s="2">
        <f t="shared" si="37"/>
        <v>0</v>
      </c>
    </row>
    <row r="762" spans="1:7" x14ac:dyDescent="0.25">
      <c r="A762">
        <v>754</v>
      </c>
      <c r="B762" s="1">
        <v>30894</v>
      </c>
      <c r="C762" s="2">
        <v>271.71188667119026</v>
      </c>
      <c r="D762" s="2">
        <v>1</v>
      </c>
      <c r="E762">
        <f t="shared" si="35"/>
        <v>7</v>
      </c>
      <c r="F762">
        <f t="shared" si="36"/>
        <v>1984</v>
      </c>
      <c r="G762" s="2">
        <f t="shared" si="37"/>
        <v>0</v>
      </c>
    </row>
    <row r="763" spans="1:7" x14ac:dyDescent="0.25">
      <c r="A763">
        <v>755</v>
      </c>
      <c r="B763" s="1">
        <v>30925</v>
      </c>
      <c r="C763" s="2">
        <v>282.21761897027193</v>
      </c>
      <c r="D763" s="2">
        <v>1</v>
      </c>
      <c r="E763">
        <f t="shared" si="35"/>
        <v>8</v>
      </c>
      <c r="F763">
        <f t="shared" si="36"/>
        <v>1984</v>
      </c>
      <c r="G763" s="2">
        <f t="shared" si="37"/>
        <v>0</v>
      </c>
    </row>
    <row r="764" spans="1:7" x14ac:dyDescent="0.25">
      <c r="A764">
        <v>756</v>
      </c>
      <c r="B764" s="1">
        <v>30955</v>
      </c>
      <c r="C764" s="2">
        <v>245.18670139121073</v>
      </c>
      <c r="D764" s="2">
        <v>1</v>
      </c>
      <c r="E764">
        <f t="shared" si="35"/>
        <v>9</v>
      </c>
      <c r="F764">
        <f t="shared" si="36"/>
        <v>1984</v>
      </c>
      <c r="G764" s="2">
        <f t="shared" si="37"/>
        <v>0</v>
      </c>
    </row>
    <row r="765" spans="1:7" x14ac:dyDescent="0.25">
      <c r="A765">
        <v>757</v>
      </c>
      <c r="B765" s="1">
        <v>30986</v>
      </c>
      <c r="C765" s="2">
        <v>208.40764336055321</v>
      </c>
      <c r="D765" s="2">
        <v>1</v>
      </c>
      <c r="E765">
        <f t="shared" si="35"/>
        <v>10</v>
      </c>
      <c r="F765">
        <f t="shared" si="36"/>
        <v>1984</v>
      </c>
      <c r="G765" s="2">
        <f t="shared" si="37"/>
        <v>0</v>
      </c>
    </row>
    <row r="766" spans="1:7" x14ac:dyDescent="0.25">
      <c r="A766">
        <v>758</v>
      </c>
      <c r="B766" s="1">
        <v>31016</v>
      </c>
      <c r="C766" s="2">
        <v>139.9081154259168</v>
      </c>
      <c r="D766" s="2">
        <v>1</v>
      </c>
      <c r="E766">
        <f t="shared" si="35"/>
        <v>11</v>
      </c>
      <c r="F766">
        <f t="shared" si="36"/>
        <v>1984</v>
      </c>
      <c r="G766" s="2">
        <f t="shared" si="37"/>
        <v>0</v>
      </c>
    </row>
    <row r="767" spans="1:7" x14ac:dyDescent="0.25">
      <c r="A767">
        <v>759</v>
      </c>
      <c r="B767" s="1">
        <v>31047</v>
      </c>
      <c r="C767" s="2">
        <v>100.09781597435999</v>
      </c>
      <c r="D767" s="2">
        <v>1</v>
      </c>
      <c r="E767">
        <f t="shared" si="35"/>
        <v>12</v>
      </c>
      <c r="F767">
        <f t="shared" si="36"/>
        <v>1984</v>
      </c>
      <c r="G767" s="2">
        <f t="shared" si="37"/>
        <v>0</v>
      </c>
    </row>
    <row r="768" spans="1:7" x14ac:dyDescent="0.25">
      <c r="A768">
        <v>760</v>
      </c>
      <c r="B768" s="1">
        <v>31078</v>
      </c>
      <c r="C768" s="2">
        <v>94.480039683665979</v>
      </c>
      <c r="D768" s="2">
        <v>1</v>
      </c>
      <c r="E768">
        <f t="shared" si="35"/>
        <v>1</v>
      </c>
      <c r="F768">
        <f t="shared" si="36"/>
        <v>1985</v>
      </c>
      <c r="G768" s="2">
        <f t="shared" si="37"/>
        <v>0</v>
      </c>
    </row>
    <row r="769" spans="1:7" x14ac:dyDescent="0.25">
      <c r="A769">
        <v>761</v>
      </c>
      <c r="B769" s="1">
        <v>31106</v>
      </c>
      <c r="C769" s="2">
        <v>108.63618759646828</v>
      </c>
      <c r="D769" s="2">
        <v>0.948138830516011</v>
      </c>
      <c r="E769">
        <f t="shared" si="35"/>
        <v>2</v>
      </c>
      <c r="F769">
        <f t="shared" si="36"/>
        <v>1985</v>
      </c>
      <c r="G769" s="2">
        <f t="shared" si="37"/>
        <v>6033.3486003989001</v>
      </c>
    </row>
    <row r="770" spans="1:7" x14ac:dyDescent="0.25">
      <c r="A770">
        <v>762</v>
      </c>
      <c r="B770" s="1">
        <v>31137</v>
      </c>
      <c r="C770" s="2">
        <v>106.88716825976614</v>
      </c>
      <c r="D770" s="2">
        <v>0.67886270211802258</v>
      </c>
      <c r="E770">
        <f t="shared" si="35"/>
        <v>3</v>
      </c>
      <c r="F770">
        <f t="shared" si="36"/>
        <v>1985</v>
      </c>
      <c r="G770" s="2">
        <f t="shared" si="37"/>
        <v>6572.2358004352081</v>
      </c>
    </row>
    <row r="771" spans="1:7" x14ac:dyDescent="0.25">
      <c r="A771">
        <v>763</v>
      </c>
      <c r="B771" s="1">
        <v>31167</v>
      </c>
      <c r="C771" s="2">
        <v>155.35965745471617</v>
      </c>
      <c r="D771" s="2">
        <v>0.76039202403266026</v>
      </c>
      <c r="E771">
        <f t="shared" si="35"/>
        <v>4</v>
      </c>
      <c r="F771">
        <f t="shared" si="36"/>
        <v>1985</v>
      </c>
      <c r="G771" s="2">
        <f t="shared" si="37"/>
        <v>0</v>
      </c>
    </row>
    <row r="772" spans="1:7" x14ac:dyDescent="0.25">
      <c r="A772">
        <v>764</v>
      </c>
      <c r="B772" s="1">
        <v>31198</v>
      </c>
      <c r="C772" s="2">
        <v>220.07156033713085</v>
      </c>
      <c r="D772" s="2">
        <v>0.75</v>
      </c>
      <c r="E772">
        <f t="shared" si="35"/>
        <v>5</v>
      </c>
      <c r="F772">
        <f t="shared" si="36"/>
        <v>1985</v>
      </c>
      <c r="G772" s="2">
        <f t="shared" si="37"/>
        <v>0</v>
      </c>
    </row>
    <row r="773" spans="1:7" x14ac:dyDescent="0.25">
      <c r="A773">
        <v>765</v>
      </c>
      <c r="B773" s="1">
        <v>31228</v>
      </c>
      <c r="C773" s="2">
        <v>257.70906701703865</v>
      </c>
      <c r="D773" s="2">
        <v>0.75000000000000011</v>
      </c>
      <c r="E773">
        <f t="shared" si="35"/>
        <v>6</v>
      </c>
      <c r="F773">
        <f t="shared" si="36"/>
        <v>1985</v>
      </c>
      <c r="G773" s="2">
        <f t="shared" si="37"/>
        <v>0</v>
      </c>
    </row>
    <row r="774" spans="1:7" x14ac:dyDescent="0.25">
      <c r="A774">
        <v>766</v>
      </c>
      <c r="B774" s="1">
        <v>31259</v>
      </c>
      <c r="C774" s="2">
        <v>288.24290179325095</v>
      </c>
      <c r="D774" s="2">
        <v>0.75</v>
      </c>
      <c r="E774">
        <f t="shared" si="35"/>
        <v>7</v>
      </c>
      <c r="F774">
        <f t="shared" si="36"/>
        <v>1985</v>
      </c>
      <c r="G774" s="2">
        <f t="shared" si="37"/>
        <v>0</v>
      </c>
    </row>
    <row r="775" spans="1:7" x14ac:dyDescent="0.25">
      <c r="A775">
        <v>767</v>
      </c>
      <c r="B775" s="1">
        <v>31290</v>
      </c>
      <c r="C775" s="2">
        <v>279.99483921206041</v>
      </c>
      <c r="D775" s="2">
        <v>0.74999999999999989</v>
      </c>
      <c r="E775">
        <f t="shared" si="35"/>
        <v>8</v>
      </c>
      <c r="F775">
        <f t="shared" si="36"/>
        <v>1985</v>
      </c>
      <c r="G775" s="2">
        <f t="shared" si="37"/>
        <v>0</v>
      </c>
    </row>
    <row r="776" spans="1:7" x14ac:dyDescent="0.25">
      <c r="A776">
        <v>768</v>
      </c>
      <c r="B776" s="1">
        <v>31320</v>
      </c>
      <c r="C776" s="2">
        <v>253.56663201676471</v>
      </c>
      <c r="D776" s="2">
        <v>0.74999999999999989</v>
      </c>
      <c r="E776">
        <f t="shared" si="35"/>
        <v>9</v>
      </c>
      <c r="F776">
        <f t="shared" si="36"/>
        <v>1985</v>
      </c>
      <c r="G776" s="2">
        <f t="shared" si="37"/>
        <v>0</v>
      </c>
    </row>
    <row r="777" spans="1:7" x14ac:dyDescent="0.25">
      <c r="A777">
        <v>769</v>
      </c>
      <c r="B777" s="1">
        <v>31351</v>
      </c>
      <c r="C777" s="2">
        <v>216.07475469170529</v>
      </c>
      <c r="D777" s="2">
        <v>0.75</v>
      </c>
      <c r="E777">
        <f t="shared" si="35"/>
        <v>10</v>
      </c>
      <c r="F777">
        <f t="shared" si="36"/>
        <v>1985</v>
      </c>
      <c r="G777" s="2">
        <f t="shared" si="37"/>
        <v>0</v>
      </c>
    </row>
    <row r="778" spans="1:7" x14ac:dyDescent="0.25">
      <c r="A778">
        <v>770</v>
      </c>
      <c r="B778" s="1">
        <v>31381</v>
      </c>
      <c r="C778" s="2">
        <v>174.85540601156069</v>
      </c>
      <c r="D778" s="2">
        <v>0.75</v>
      </c>
      <c r="E778">
        <f t="shared" ref="E778:E841" si="38">MONTH(B778)</f>
        <v>11</v>
      </c>
      <c r="F778">
        <f t="shared" ref="F778:F841" si="39">YEAR(B778)</f>
        <v>1985</v>
      </c>
      <c r="G778" s="2">
        <f t="shared" ref="G778:G841" si="40">IF(E778=2,C778*$G$5*28,IF(E778=3,C778*$G$5*31,0))</f>
        <v>0</v>
      </c>
    </row>
    <row r="779" spans="1:7" x14ac:dyDescent="0.25">
      <c r="A779">
        <v>771</v>
      </c>
      <c r="B779" s="1">
        <v>31412</v>
      </c>
      <c r="C779" s="2">
        <v>153.18687823593447</v>
      </c>
      <c r="D779" s="2">
        <v>0.75</v>
      </c>
      <c r="E779">
        <f t="shared" si="38"/>
        <v>12</v>
      </c>
      <c r="F779">
        <f t="shared" si="39"/>
        <v>1985</v>
      </c>
      <c r="G779" s="2">
        <f t="shared" si="40"/>
        <v>0</v>
      </c>
    </row>
    <row r="780" spans="1:7" x14ac:dyDescent="0.25">
      <c r="A780">
        <v>772</v>
      </c>
      <c r="B780" s="1">
        <v>31443</v>
      </c>
      <c r="C780" s="2">
        <v>148.33069936464568</v>
      </c>
      <c r="D780" s="2">
        <v>0.75</v>
      </c>
      <c r="E780">
        <f t="shared" si="38"/>
        <v>1</v>
      </c>
      <c r="F780">
        <f t="shared" si="39"/>
        <v>1986</v>
      </c>
      <c r="G780" s="2">
        <f t="shared" si="40"/>
        <v>0</v>
      </c>
    </row>
    <row r="781" spans="1:7" x14ac:dyDescent="0.25">
      <c r="A781">
        <v>773</v>
      </c>
      <c r="B781" s="1">
        <v>31471</v>
      </c>
      <c r="C781" s="2">
        <v>145.70191233106172</v>
      </c>
      <c r="D781" s="2">
        <v>0.75</v>
      </c>
      <c r="E781">
        <f t="shared" si="38"/>
        <v>2</v>
      </c>
      <c r="F781">
        <f t="shared" si="39"/>
        <v>1986</v>
      </c>
      <c r="G781" s="2">
        <f t="shared" si="40"/>
        <v>8091.8748005349971</v>
      </c>
    </row>
    <row r="782" spans="1:7" x14ac:dyDescent="0.25">
      <c r="A782">
        <v>774</v>
      </c>
      <c r="B782" s="1">
        <v>31502</v>
      </c>
      <c r="C782" s="2">
        <v>95.988743796679074</v>
      </c>
      <c r="D782" s="2">
        <v>0.78525572194600901</v>
      </c>
      <c r="E782">
        <f t="shared" si="38"/>
        <v>3</v>
      </c>
      <c r="F782">
        <f t="shared" si="39"/>
        <v>1986</v>
      </c>
      <c r="G782" s="2">
        <f t="shared" si="40"/>
        <v>5902.1178003908462</v>
      </c>
    </row>
    <row r="783" spans="1:7" x14ac:dyDescent="0.25">
      <c r="A783">
        <v>775</v>
      </c>
      <c r="B783" s="1">
        <v>31532</v>
      </c>
      <c r="C783" s="2">
        <v>127.84175342511904</v>
      </c>
      <c r="D783" s="2">
        <v>1</v>
      </c>
      <c r="E783">
        <f t="shared" si="38"/>
        <v>4</v>
      </c>
      <c r="F783">
        <f t="shared" si="39"/>
        <v>1986</v>
      </c>
      <c r="G783" s="2">
        <f t="shared" si="40"/>
        <v>0</v>
      </c>
    </row>
    <row r="784" spans="1:7" x14ac:dyDescent="0.25">
      <c r="A784">
        <v>776</v>
      </c>
      <c r="B784" s="1">
        <v>31563</v>
      </c>
      <c r="C784" s="2">
        <v>173.69722718890347</v>
      </c>
      <c r="D784" s="2">
        <v>1</v>
      </c>
      <c r="E784">
        <f t="shared" si="38"/>
        <v>5</v>
      </c>
      <c r="F784">
        <f t="shared" si="39"/>
        <v>1986</v>
      </c>
      <c r="G784" s="2">
        <f t="shared" si="40"/>
        <v>0</v>
      </c>
    </row>
    <row r="785" spans="1:7" x14ac:dyDescent="0.25">
      <c r="A785">
        <v>777</v>
      </c>
      <c r="B785" s="1">
        <v>31593</v>
      </c>
      <c r="C785" s="2">
        <v>230.63820084858216</v>
      </c>
      <c r="D785" s="2">
        <v>1</v>
      </c>
      <c r="E785">
        <f t="shared" si="38"/>
        <v>6</v>
      </c>
      <c r="F785">
        <f t="shared" si="39"/>
        <v>1986</v>
      </c>
      <c r="G785" s="2">
        <f t="shared" si="40"/>
        <v>0</v>
      </c>
    </row>
    <row r="786" spans="1:7" x14ac:dyDescent="0.25">
      <c r="A786">
        <v>778</v>
      </c>
      <c r="B786" s="1">
        <v>31624</v>
      </c>
      <c r="C786" s="2">
        <v>271.71188667119026</v>
      </c>
      <c r="D786" s="2">
        <v>1</v>
      </c>
      <c r="E786">
        <f t="shared" si="38"/>
        <v>7</v>
      </c>
      <c r="F786">
        <f t="shared" si="39"/>
        <v>1986</v>
      </c>
      <c r="G786" s="2">
        <f t="shared" si="40"/>
        <v>0</v>
      </c>
    </row>
    <row r="787" spans="1:7" x14ac:dyDescent="0.25">
      <c r="A787">
        <v>779</v>
      </c>
      <c r="B787" s="1">
        <v>31655</v>
      </c>
      <c r="C787" s="2">
        <v>282.21761897027193</v>
      </c>
      <c r="D787" s="2">
        <v>0.99999999999999989</v>
      </c>
      <c r="E787">
        <f t="shared" si="38"/>
        <v>8</v>
      </c>
      <c r="F787">
        <f t="shared" si="39"/>
        <v>1986</v>
      </c>
      <c r="G787" s="2">
        <f t="shared" si="40"/>
        <v>0</v>
      </c>
    </row>
    <row r="788" spans="1:7" x14ac:dyDescent="0.25">
      <c r="A788">
        <v>780</v>
      </c>
      <c r="B788" s="1">
        <v>31685</v>
      </c>
      <c r="C788" s="2">
        <v>245.18670139121073</v>
      </c>
      <c r="D788" s="2">
        <v>1</v>
      </c>
      <c r="E788">
        <f t="shared" si="38"/>
        <v>9</v>
      </c>
      <c r="F788">
        <f t="shared" si="39"/>
        <v>1986</v>
      </c>
      <c r="G788" s="2">
        <f t="shared" si="40"/>
        <v>0</v>
      </c>
    </row>
    <row r="789" spans="1:7" x14ac:dyDescent="0.25">
      <c r="A789">
        <v>781</v>
      </c>
      <c r="B789" s="1">
        <v>31716</v>
      </c>
      <c r="C789" s="2">
        <v>208.40764336055321</v>
      </c>
      <c r="D789" s="2">
        <v>1</v>
      </c>
      <c r="E789">
        <f t="shared" si="38"/>
        <v>10</v>
      </c>
      <c r="F789">
        <f t="shared" si="39"/>
        <v>1986</v>
      </c>
      <c r="G789" s="2">
        <f t="shared" si="40"/>
        <v>0</v>
      </c>
    </row>
    <row r="790" spans="1:7" x14ac:dyDescent="0.25">
      <c r="A790">
        <v>782</v>
      </c>
      <c r="B790" s="1">
        <v>31746</v>
      </c>
      <c r="C790" s="2">
        <v>139.9081154259168</v>
      </c>
      <c r="D790" s="2">
        <v>1</v>
      </c>
      <c r="E790">
        <f t="shared" si="38"/>
        <v>11</v>
      </c>
      <c r="F790">
        <f t="shared" si="39"/>
        <v>1986</v>
      </c>
      <c r="G790" s="2">
        <f t="shared" si="40"/>
        <v>0</v>
      </c>
    </row>
    <row r="791" spans="1:7" x14ac:dyDescent="0.25">
      <c r="A791">
        <v>783</v>
      </c>
      <c r="B791" s="1">
        <v>31777</v>
      </c>
      <c r="C791" s="2">
        <v>100.09781597435999</v>
      </c>
      <c r="D791" s="2">
        <v>1</v>
      </c>
      <c r="E791">
        <f t="shared" si="38"/>
        <v>12</v>
      </c>
      <c r="F791">
        <f t="shared" si="39"/>
        <v>1986</v>
      </c>
      <c r="G791" s="2">
        <f t="shared" si="40"/>
        <v>0</v>
      </c>
    </row>
    <row r="792" spans="1:7" x14ac:dyDescent="0.25">
      <c r="A792">
        <v>784</v>
      </c>
      <c r="B792" s="1">
        <v>31808</v>
      </c>
      <c r="C792" s="2">
        <v>94.480039683665979</v>
      </c>
      <c r="D792" s="2">
        <v>1</v>
      </c>
      <c r="E792">
        <f t="shared" si="38"/>
        <v>1</v>
      </c>
      <c r="F792">
        <f t="shared" si="39"/>
        <v>1987</v>
      </c>
      <c r="G792" s="2">
        <f t="shared" si="40"/>
        <v>0</v>
      </c>
    </row>
    <row r="793" spans="1:7" x14ac:dyDescent="0.25">
      <c r="A793">
        <v>785</v>
      </c>
      <c r="B793" s="1">
        <v>31836</v>
      </c>
      <c r="C793" s="2">
        <v>108.63618759646829</v>
      </c>
      <c r="D793" s="2">
        <v>0.97844400390732966</v>
      </c>
      <c r="E793">
        <f t="shared" si="38"/>
        <v>2</v>
      </c>
      <c r="F793">
        <f t="shared" si="39"/>
        <v>1987</v>
      </c>
      <c r="G793" s="2">
        <f t="shared" si="40"/>
        <v>6033.3486003989001</v>
      </c>
    </row>
    <row r="794" spans="1:7" x14ac:dyDescent="0.25">
      <c r="A794">
        <v>786</v>
      </c>
      <c r="B794" s="1">
        <v>31867</v>
      </c>
      <c r="C794" s="2">
        <v>123.59371307269343</v>
      </c>
      <c r="D794" s="2">
        <v>0.50157408775652323</v>
      </c>
      <c r="E794">
        <f t="shared" si="38"/>
        <v>3</v>
      </c>
      <c r="F794">
        <f t="shared" si="39"/>
        <v>1987</v>
      </c>
      <c r="G794" s="2">
        <f t="shared" si="40"/>
        <v>7599.4812005028034</v>
      </c>
    </row>
    <row r="795" spans="1:7" x14ac:dyDescent="0.25">
      <c r="A795">
        <v>787</v>
      </c>
      <c r="B795" s="1">
        <v>31897</v>
      </c>
      <c r="C795" s="2">
        <v>181.23525201198254</v>
      </c>
      <c r="D795" s="2">
        <v>0.79976898382721262</v>
      </c>
      <c r="E795">
        <f t="shared" si="38"/>
        <v>4</v>
      </c>
      <c r="F795">
        <f t="shared" si="39"/>
        <v>1987</v>
      </c>
      <c r="G795" s="2">
        <f t="shared" si="40"/>
        <v>0</v>
      </c>
    </row>
    <row r="796" spans="1:7" x14ac:dyDescent="0.25">
      <c r="A796">
        <v>788</v>
      </c>
      <c r="B796" s="1">
        <v>31928</v>
      </c>
      <c r="C796" s="2">
        <v>220.07156033713082</v>
      </c>
      <c r="D796" s="2">
        <v>0.75000000000000011</v>
      </c>
      <c r="E796">
        <f t="shared" si="38"/>
        <v>5</v>
      </c>
      <c r="F796">
        <f t="shared" si="39"/>
        <v>1987</v>
      </c>
      <c r="G796" s="2">
        <f t="shared" si="40"/>
        <v>0</v>
      </c>
    </row>
    <row r="797" spans="1:7" x14ac:dyDescent="0.25">
      <c r="A797">
        <v>789</v>
      </c>
      <c r="B797" s="1">
        <v>31958</v>
      </c>
      <c r="C797" s="2">
        <v>257.70906701703865</v>
      </c>
      <c r="D797" s="2">
        <v>0.75</v>
      </c>
      <c r="E797">
        <f t="shared" si="38"/>
        <v>6</v>
      </c>
      <c r="F797">
        <f t="shared" si="39"/>
        <v>1987</v>
      </c>
      <c r="G797" s="2">
        <f t="shared" si="40"/>
        <v>0</v>
      </c>
    </row>
    <row r="798" spans="1:7" x14ac:dyDescent="0.25">
      <c r="A798">
        <v>790</v>
      </c>
      <c r="B798" s="1">
        <v>31989</v>
      </c>
      <c r="C798" s="2">
        <v>288.24290179325095</v>
      </c>
      <c r="D798" s="2">
        <v>0.75000000000000011</v>
      </c>
      <c r="E798">
        <f t="shared" si="38"/>
        <v>7</v>
      </c>
      <c r="F798">
        <f t="shared" si="39"/>
        <v>1987</v>
      </c>
      <c r="G798" s="2">
        <f t="shared" si="40"/>
        <v>0</v>
      </c>
    </row>
    <row r="799" spans="1:7" x14ac:dyDescent="0.25">
      <c r="A799">
        <v>791</v>
      </c>
      <c r="B799" s="1">
        <v>32020</v>
      </c>
      <c r="C799" s="2">
        <v>279.99483921206041</v>
      </c>
      <c r="D799" s="2">
        <v>0.75</v>
      </c>
      <c r="E799">
        <f t="shared" si="38"/>
        <v>8</v>
      </c>
      <c r="F799">
        <f t="shared" si="39"/>
        <v>1987</v>
      </c>
      <c r="G799" s="2">
        <f t="shared" si="40"/>
        <v>0</v>
      </c>
    </row>
    <row r="800" spans="1:7" x14ac:dyDescent="0.25">
      <c r="A800">
        <v>792</v>
      </c>
      <c r="B800" s="1">
        <v>32050</v>
      </c>
      <c r="C800" s="2">
        <v>253.56663201676474</v>
      </c>
      <c r="D800" s="2">
        <v>0.75</v>
      </c>
      <c r="E800">
        <f t="shared" si="38"/>
        <v>9</v>
      </c>
      <c r="F800">
        <f t="shared" si="39"/>
        <v>1987</v>
      </c>
      <c r="G800" s="2">
        <f t="shared" si="40"/>
        <v>0</v>
      </c>
    </row>
    <row r="801" spans="1:7" x14ac:dyDescent="0.25">
      <c r="A801">
        <v>793</v>
      </c>
      <c r="B801" s="1">
        <v>32081</v>
      </c>
      <c r="C801" s="2">
        <v>216.07475469170527</v>
      </c>
      <c r="D801" s="2">
        <v>0.74999999999999989</v>
      </c>
      <c r="E801">
        <f t="shared" si="38"/>
        <v>10</v>
      </c>
      <c r="F801">
        <f t="shared" si="39"/>
        <v>1987</v>
      </c>
      <c r="G801" s="2">
        <f t="shared" si="40"/>
        <v>0</v>
      </c>
    </row>
    <row r="802" spans="1:7" x14ac:dyDescent="0.25">
      <c r="A802">
        <v>794</v>
      </c>
      <c r="B802" s="1">
        <v>32111</v>
      </c>
      <c r="C802" s="2">
        <v>174.85540601156069</v>
      </c>
      <c r="D802" s="2">
        <v>0.75000000000000011</v>
      </c>
      <c r="E802">
        <f t="shared" si="38"/>
        <v>11</v>
      </c>
      <c r="F802">
        <f t="shared" si="39"/>
        <v>1987</v>
      </c>
      <c r="G802" s="2">
        <f t="shared" si="40"/>
        <v>0</v>
      </c>
    </row>
    <row r="803" spans="1:7" x14ac:dyDescent="0.25">
      <c r="A803">
        <v>795</v>
      </c>
      <c r="B803" s="1">
        <v>32142</v>
      </c>
      <c r="C803" s="2">
        <v>153.18687823593447</v>
      </c>
      <c r="D803" s="2">
        <v>0.75</v>
      </c>
      <c r="E803">
        <f t="shared" si="38"/>
        <v>12</v>
      </c>
      <c r="F803">
        <f t="shared" si="39"/>
        <v>1987</v>
      </c>
      <c r="G803" s="2">
        <f t="shared" si="40"/>
        <v>0</v>
      </c>
    </row>
    <row r="804" spans="1:7" x14ac:dyDescent="0.25">
      <c r="A804">
        <v>796</v>
      </c>
      <c r="B804" s="1">
        <v>32173</v>
      </c>
      <c r="C804" s="2">
        <v>148.33069936464571</v>
      </c>
      <c r="D804" s="2">
        <v>0.75000000000000011</v>
      </c>
      <c r="E804">
        <f t="shared" si="38"/>
        <v>1</v>
      </c>
      <c r="F804">
        <f t="shared" si="39"/>
        <v>1988</v>
      </c>
      <c r="G804" s="2">
        <f t="shared" si="40"/>
        <v>0</v>
      </c>
    </row>
    <row r="805" spans="1:7" x14ac:dyDescent="0.25">
      <c r="A805">
        <v>797</v>
      </c>
      <c r="B805" s="1">
        <v>32202</v>
      </c>
      <c r="C805" s="2">
        <v>140.67770845757687</v>
      </c>
      <c r="D805" s="2">
        <v>0.73865582475927338</v>
      </c>
      <c r="E805">
        <f t="shared" si="38"/>
        <v>2</v>
      </c>
      <c r="F805">
        <f t="shared" si="39"/>
        <v>1988</v>
      </c>
      <c r="G805" s="2">
        <f t="shared" si="40"/>
        <v>7812.8446349993101</v>
      </c>
    </row>
    <row r="806" spans="1:7" x14ac:dyDescent="0.25">
      <c r="A806">
        <v>798</v>
      </c>
      <c r="B806" s="1">
        <v>32233</v>
      </c>
      <c r="C806" s="2">
        <v>152.55323506385471</v>
      </c>
      <c r="D806" s="2">
        <v>0.5</v>
      </c>
      <c r="E806">
        <f t="shared" si="38"/>
        <v>3</v>
      </c>
      <c r="F806">
        <f t="shared" si="39"/>
        <v>1988</v>
      </c>
      <c r="G806" s="2">
        <f t="shared" si="40"/>
        <v>9380.1328006204876</v>
      </c>
    </row>
    <row r="807" spans="1:7" x14ac:dyDescent="0.25">
      <c r="A807">
        <v>799</v>
      </c>
      <c r="B807" s="1">
        <v>32263</v>
      </c>
      <c r="C807" s="2">
        <v>196.32088667964655</v>
      </c>
      <c r="D807" s="2">
        <v>0.5</v>
      </c>
      <c r="E807">
        <f t="shared" si="38"/>
        <v>4</v>
      </c>
      <c r="F807">
        <f t="shared" si="39"/>
        <v>1988</v>
      </c>
      <c r="G807" s="2">
        <f t="shared" si="40"/>
        <v>0</v>
      </c>
    </row>
    <row r="808" spans="1:7" x14ac:dyDescent="0.25">
      <c r="A808">
        <v>800</v>
      </c>
      <c r="B808" s="1">
        <v>32294</v>
      </c>
      <c r="C808" s="2">
        <v>239.89165958575308</v>
      </c>
      <c r="D808" s="2">
        <v>0.5</v>
      </c>
      <c r="E808">
        <f t="shared" si="38"/>
        <v>5</v>
      </c>
      <c r="F808">
        <f t="shared" si="39"/>
        <v>1988</v>
      </c>
      <c r="G808" s="2">
        <f t="shared" si="40"/>
        <v>0</v>
      </c>
    </row>
    <row r="809" spans="1:7" x14ac:dyDescent="0.25">
      <c r="A809">
        <v>801</v>
      </c>
      <c r="B809" s="1">
        <v>32324</v>
      </c>
      <c r="C809" s="2">
        <v>275.36306112931692</v>
      </c>
      <c r="D809" s="2">
        <v>0.49999999999999994</v>
      </c>
      <c r="E809">
        <f t="shared" si="38"/>
        <v>6</v>
      </c>
      <c r="F809">
        <f t="shared" si="39"/>
        <v>1988</v>
      </c>
      <c r="G809" s="2">
        <f t="shared" si="40"/>
        <v>0</v>
      </c>
    </row>
    <row r="810" spans="1:7" x14ac:dyDescent="0.25">
      <c r="A810">
        <v>802</v>
      </c>
      <c r="B810" s="1">
        <v>32355</v>
      </c>
      <c r="C810" s="2">
        <v>287.21574840608628</v>
      </c>
      <c r="D810" s="2">
        <v>0.5</v>
      </c>
      <c r="E810">
        <f t="shared" si="38"/>
        <v>7</v>
      </c>
      <c r="F810">
        <f t="shared" si="39"/>
        <v>1988</v>
      </c>
      <c r="G810" s="2">
        <f t="shared" si="40"/>
        <v>0</v>
      </c>
    </row>
    <row r="811" spans="1:7" x14ac:dyDescent="0.25">
      <c r="A811">
        <v>803</v>
      </c>
      <c r="B811" s="1">
        <v>32386</v>
      </c>
      <c r="C811" s="2">
        <v>278.99732431952134</v>
      </c>
      <c r="D811" s="2">
        <v>0.5</v>
      </c>
      <c r="E811">
        <f t="shared" si="38"/>
        <v>8</v>
      </c>
      <c r="F811">
        <f t="shared" si="39"/>
        <v>1988</v>
      </c>
      <c r="G811" s="2">
        <f t="shared" si="40"/>
        <v>0</v>
      </c>
    </row>
    <row r="812" spans="1:7" x14ac:dyDescent="0.25">
      <c r="A812">
        <v>804</v>
      </c>
      <c r="B812" s="1">
        <v>32416</v>
      </c>
      <c r="C812" s="2">
        <v>254.31992423904134</v>
      </c>
      <c r="D812" s="2">
        <v>0.49999999999999994</v>
      </c>
      <c r="E812">
        <f t="shared" si="38"/>
        <v>9</v>
      </c>
      <c r="F812">
        <f t="shared" si="39"/>
        <v>1988</v>
      </c>
      <c r="G812" s="2">
        <f t="shared" si="40"/>
        <v>0</v>
      </c>
    </row>
    <row r="813" spans="1:7" x14ac:dyDescent="0.25">
      <c r="A813">
        <v>805</v>
      </c>
      <c r="B813" s="1">
        <v>32447</v>
      </c>
      <c r="C813" s="2">
        <v>214.84262990668239</v>
      </c>
      <c r="D813" s="2">
        <v>0.5</v>
      </c>
      <c r="E813">
        <f t="shared" si="38"/>
        <v>10</v>
      </c>
      <c r="F813">
        <f t="shared" si="39"/>
        <v>1988</v>
      </c>
      <c r="G813" s="2">
        <f t="shared" si="40"/>
        <v>0</v>
      </c>
    </row>
    <row r="814" spans="1:7" x14ac:dyDescent="0.25">
      <c r="A814">
        <v>806</v>
      </c>
      <c r="B814" s="1">
        <v>32477</v>
      </c>
      <c r="C814" s="2">
        <v>177.10611356727165</v>
      </c>
      <c r="D814" s="2">
        <v>0.50000000000000011</v>
      </c>
      <c r="E814">
        <f t="shared" si="38"/>
        <v>11</v>
      </c>
      <c r="F814">
        <f t="shared" si="39"/>
        <v>1988</v>
      </c>
      <c r="G814" s="2">
        <f t="shared" si="40"/>
        <v>0</v>
      </c>
    </row>
    <row r="815" spans="1:7" x14ac:dyDescent="0.25">
      <c r="A815">
        <v>807</v>
      </c>
      <c r="B815" s="1">
        <v>32508</v>
      </c>
      <c r="C815" s="2">
        <v>161.98826861286778</v>
      </c>
      <c r="D815" s="2">
        <v>0.5</v>
      </c>
      <c r="E815">
        <f t="shared" si="38"/>
        <v>12</v>
      </c>
      <c r="F815">
        <f t="shared" si="39"/>
        <v>1988</v>
      </c>
      <c r="G815" s="2">
        <f t="shared" si="40"/>
        <v>0</v>
      </c>
    </row>
    <row r="816" spans="1:7" x14ac:dyDescent="0.25">
      <c r="A816">
        <v>808</v>
      </c>
      <c r="B816" s="1">
        <v>32539</v>
      </c>
      <c r="C816" s="2">
        <v>157.69227420398323</v>
      </c>
      <c r="D816" s="2">
        <v>0.5</v>
      </c>
      <c r="E816">
        <f t="shared" si="38"/>
        <v>1</v>
      </c>
      <c r="F816">
        <f t="shared" si="39"/>
        <v>1989</v>
      </c>
      <c r="G816" s="2">
        <f t="shared" si="40"/>
        <v>0</v>
      </c>
    </row>
    <row r="817" spans="1:7" x14ac:dyDescent="0.25">
      <c r="A817">
        <v>809</v>
      </c>
      <c r="B817" s="1">
        <v>32567</v>
      </c>
      <c r="C817" s="2">
        <v>173.74392882101867</v>
      </c>
      <c r="D817" s="2">
        <v>0.5</v>
      </c>
      <c r="E817">
        <f t="shared" si="38"/>
        <v>2</v>
      </c>
      <c r="F817">
        <f t="shared" si="39"/>
        <v>1989</v>
      </c>
      <c r="G817" s="2">
        <f t="shared" si="40"/>
        <v>9649.2496006383917</v>
      </c>
    </row>
    <row r="818" spans="1:7" x14ac:dyDescent="0.25">
      <c r="A818">
        <v>810</v>
      </c>
      <c r="B818" s="1">
        <v>32598</v>
      </c>
      <c r="C818" s="2">
        <v>152.55323506385679</v>
      </c>
      <c r="D818" s="2">
        <v>0.5</v>
      </c>
      <c r="E818">
        <f t="shared" si="38"/>
        <v>3</v>
      </c>
      <c r="F818">
        <f t="shared" si="39"/>
        <v>1989</v>
      </c>
      <c r="G818" s="2">
        <f t="shared" si="40"/>
        <v>9380.1328006206149</v>
      </c>
    </row>
    <row r="819" spans="1:7" x14ac:dyDescent="0.25">
      <c r="A819">
        <v>811</v>
      </c>
      <c r="B819" s="1">
        <v>32628</v>
      </c>
      <c r="C819" s="2">
        <v>155.35965745471614</v>
      </c>
      <c r="D819" s="2">
        <v>0.95628443765574522</v>
      </c>
      <c r="E819">
        <f t="shared" si="38"/>
        <v>4</v>
      </c>
      <c r="F819">
        <f t="shared" si="39"/>
        <v>1989</v>
      </c>
      <c r="G819" s="2">
        <f t="shared" si="40"/>
        <v>0</v>
      </c>
    </row>
    <row r="820" spans="1:7" x14ac:dyDescent="0.25">
      <c r="A820">
        <v>812</v>
      </c>
      <c r="B820" s="1">
        <v>32659</v>
      </c>
      <c r="C820" s="2">
        <v>220.07156033713082</v>
      </c>
      <c r="D820" s="2">
        <v>0.95628443765574511</v>
      </c>
      <c r="E820">
        <f t="shared" si="38"/>
        <v>5</v>
      </c>
      <c r="F820">
        <f t="shared" si="39"/>
        <v>1989</v>
      </c>
      <c r="G820" s="2">
        <f t="shared" si="40"/>
        <v>0</v>
      </c>
    </row>
    <row r="821" spans="1:7" x14ac:dyDescent="0.25">
      <c r="A821">
        <v>813</v>
      </c>
      <c r="B821" s="1">
        <v>32689</v>
      </c>
      <c r="C821" s="2">
        <v>257.70906701703865</v>
      </c>
      <c r="D821" s="2">
        <v>0.95628443765574511</v>
      </c>
      <c r="E821">
        <f t="shared" si="38"/>
        <v>6</v>
      </c>
      <c r="F821">
        <f t="shared" si="39"/>
        <v>1989</v>
      </c>
      <c r="G821" s="2">
        <f t="shared" si="40"/>
        <v>0</v>
      </c>
    </row>
    <row r="822" spans="1:7" x14ac:dyDescent="0.25">
      <c r="A822">
        <v>814</v>
      </c>
      <c r="B822" s="1">
        <v>32720</v>
      </c>
      <c r="C822" s="2">
        <v>288.24290179325095</v>
      </c>
      <c r="D822" s="2">
        <v>0.95628443765574545</v>
      </c>
      <c r="E822">
        <f t="shared" si="38"/>
        <v>7</v>
      </c>
      <c r="F822">
        <f t="shared" si="39"/>
        <v>1989</v>
      </c>
      <c r="G822" s="2">
        <f t="shared" si="40"/>
        <v>0</v>
      </c>
    </row>
    <row r="823" spans="1:7" x14ac:dyDescent="0.25">
      <c r="A823">
        <v>815</v>
      </c>
      <c r="B823" s="1">
        <v>32751</v>
      </c>
      <c r="C823" s="2">
        <v>279.99483921206041</v>
      </c>
      <c r="D823" s="2">
        <v>0.95628443765574545</v>
      </c>
      <c r="E823">
        <f t="shared" si="38"/>
        <v>8</v>
      </c>
      <c r="F823">
        <f t="shared" si="39"/>
        <v>1989</v>
      </c>
      <c r="G823" s="2">
        <f t="shared" si="40"/>
        <v>0</v>
      </c>
    </row>
    <row r="824" spans="1:7" x14ac:dyDescent="0.25">
      <c r="A824">
        <v>816</v>
      </c>
      <c r="B824" s="1">
        <v>32781</v>
      </c>
      <c r="C824" s="2">
        <v>253.56663201676471</v>
      </c>
      <c r="D824" s="2">
        <v>0.95628443765574533</v>
      </c>
      <c r="E824">
        <f t="shared" si="38"/>
        <v>9</v>
      </c>
      <c r="F824">
        <f t="shared" si="39"/>
        <v>1989</v>
      </c>
      <c r="G824" s="2">
        <f t="shared" si="40"/>
        <v>0</v>
      </c>
    </row>
    <row r="825" spans="1:7" x14ac:dyDescent="0.25">
      <c r="A825">
        <v>817</v>
      </c>
      <c r="B825" s="1">
        <v>32812</v>
      </c>
      <c r="C825" s="2">
        <v>216.07475469170529</v>
      </c>
      <c r="D825" s="2">
        <v>0.95628443765574511</v>
      </c>
      <c r="E825">
        <f t="shared" si="38"/>
        <v>10</v>
      </c>
      <c r="F825">
        <f t="shared" si="39"/>
        <v>1989</v>
      </c>
      <c r="G825" s="2">
        <f t="shared" si="40"/>
        <v>0</v>
      </c>
    </row>
    <row r="826" spans="1:7" x14ac:dyDescent="0.25">
      <c r="A826">
        <v>818</v>
      </c>
      <c r="B826" s="1">
        <v>32842</v>
      </c>
      <c r="C826" s="2">
        <v>174.85540601156069</v>
      </c>
      <c r="D826" s="2">
        <v>0.956284437655745</v>
      </c>
      <c r="E826">
        <f t="shared" si="38"/>
        <v>11</v>
      </c>
      <c r="F826">
        <f t="shared" si="39"/>
        <v>1989</v>
      </c>
      <c r="G826" s="2">
        <f t="shared" si="40"/>
        <v>0</v>
      </c>
    </row>
    <row r="827" spans="1:7" x14ac:dyDescent="0.25">
      <c r="A827">
        <v>819</v>
      </c>
      <c r="B827" s="1">
        <v>32873</v>
      </c>
      <c r="C827" s="2">
        <v>153.1868782359345</v>
      </c>
      <c r="D827" s="2">
        <v>0.95628443765574511</v>
      </c>
      <c r="E827">
        <f t="shared" si="38"/>
        <v>12</v>
      </c>
      <c r="F827">
        <f t="shared" si="39"/>
        <v>1989</v>
      </c>
      <c r="G827" s="2">
        <f t="shared" si="40"/>
        <v>0</v>
      </c>
    </row>
    <row r="828" spans="1:7" x14ac:dyDescent="0.25">
      <c r="A828">
        <v>820</v>
      </c>
      <c r="B828" s="1">
        <v>32904</v>
      </c>
      <c r="C828" s="2">
        <v>148.33069936464571</v>
      </c>
      <c r="D828" s="2">
        <v>0.95628443765574511</v>
      </c>
      <c r="E828">
        <f t="shared" si="38"/>
        <v>1</v>
      </c>
      <c r="F828">
        <f t="shared" si="39"/>
        <v>1990</v>
      </c>
      <c r="G828" s="2">
        <f t="shared" si="40"/>
        <v>0</v>
      </c>
    </row>
    <row r="829" spans="1:7" x14ac:dyDescent="0.25">
      <c r="A829">
        <v>821</v>
      </c>
      <c r="B829" s="1">
        <v>32932</v>
      </c>
      <c r="C829" s="2">
        <v>145.70191233106829</v>
      </c>
      <c r="D829" s="2">
        <v>0.74999999999999989</v>
      </c>
      <c r="E829">
        <f t="shared" si="38"/>
        <v>2</v>
      </c>
      <c r="F829">
        <f t="shared" si="39"/>
        <v>1990</v>
      </c>
      <c r="G829" s="2">
        <f t="shared" si="40"/>
        <v>8091.8748005353636</v>
      </c>
    </row>
    <row r="830" spans="1:7" x14ac:dyDescent="0.25">
      <c r="A830">
        <v>822</v>
      </c>
      <c r="B830" s="1">
        <v>32963</v>
      </c>
      <c r="C830" s="2">
        <v>152.55323506385773</v>
      </c>
      <c r="D830" s="2">
        <v>0.5</v>
      </c>
      <c r="E830">
        <f t="shared" si="38"/>
        <v>3</v>
      </c>
      <c r="F830">
        <f t="shared" si="39"/>
        <v>1990</v>
      </c>
      <c r="G830" s="2">
        <f t="shared" si="40"/>
        <v>9380.1328006206732</v>
      </c>
    </row>
    <row r="831" spans="1:7" x14ac:dyDescent="0.25">
      <c r="A831">
        <v>823</v>
      </c>
      <c r="B831" s="1">
        <v>32993</v>
      </c>
      <c r="C831" s="2">
        <v>196.32088667964658</v>
      </c>
      <c r="D831" s="2">
        <v>0.5</v>
      </c>
      <c r="E831">
        <f t="shared" si="38"/>
        <v>4</v>
      </c>
      <c r="F831">
        <f t="shared" si="39"/>
        <v>1990</v>
      </c>
      <c r="G831" s="2">
        <f t="shared" si="40"/>
        <v>0</v>
      </c>
    </row>
    <row r="832" spans="1:7" x14ac:dyDescent="0.25">
      <c r="A832">
        <v>824</v>
      </c>
      <c r="B832" s="1">
        <v>33024</v>
      </c>
      <c r="C832" s="2">
        <v>239.89165958575305</v>
      </c>
      <c r="D832" s="2">
        <v>0.5</v>
      </c>
      <c r="E832">
        <f t="shared" si="38"/>
        <v>5</v>
      </c>
      <c r="F832">
        <f t="shared" si="39"/>
        <v>1990</v>
      </c>
      <c r="G832" s="2">
        <f t="shared" si="40"/>
        <v>0</v>
      </c>
    </row>
    <row r="833" spans="1:7" x14ac:dyDescent="0.25">
      <c r="A833">
        <v>825</v>
      </c>
      <c r="B833" s="1">
        <v>33054</v>
      </c>
      <c r="C833" s="2">
        <v>275.36306112931697</v>
      </c>
      <c r="D833" s="2">
        <v>0.5</v>
      </c>
      <c r="E833">
        <f t="shared" si="38"/>
        <v>6</v>
      </c>
      <c r="F833">
        <f t="shared" si="39"/>
        <v>1990</v>
      </c>
      <c r="G833" s="2">
        <f t="shared" si="40"/>
        <v>0</v>
      </c>
    </row>
    <row r="834" spans="1:7" x14ac:dyDescent="0.25">
      <c r="A834">
        <v>826</v>
      </c>
      <c r="B834" s="1">
        <v>33085</v>
      </c>
      <c r="C834" s="2">
        <v>287.21574840608628</v>
      </c>
      <c r="D834" s="2">
        <v>0.5</v>
      </c>
      <c r="E834">
        <f t="shared" si="38"/>
        <v>7</v>
      </c>
      <c r="F834">
        <f t="shared" si="39"/>
        <v>1990</v>
      </c>
      <c r="G834" s="2">
        <f t="shared" si="40"/>
        <v>0</v>
      </c>
    </row>
    <row r="835" spans="1:7" x14ac:dyDescent="0.25">
      <c r="A835">
        <v>827</v>
      </c>
      <c r="B835" s="1">
        <v>33116</v>
      </c>
      <c r="C835" s="2">
        <v>278.99732431952134</v>
      </c>
      <c r="D835" s="2">
        <v>0.5</v>
      </c>
      <c r="E835">
        <f t="shared" si="38"/>
        <v>8</v>
      </c>
      <c r="F835">
        <f t="shared" si="39"/>
        <v>1990</v>
      </c>
      <c r="G835" s="2">
        <f t="shared" si="40"/>
        <v>0</v>
      </c>
    </row>
    <row r="836" spans="1:7" x14ac:dyDescent="0.25">
      <c r="A836">
        <v>828</v>
      </c>
      <c r="B836" s="1">
        <v>33146</v>
      </c>
      <c r="C836" s="2">
        <v>254.31992423903674</v>
      </c>
      <c r="D836" s="2">
        <v>0.5</v>
      </c>
      <c r="E836">
        <f t="shared" si="38"/>
        <v>9</v>
      </c>
      <c r="F836">
        <f t="shared" si="39"/>
        <v>1990</v>
      </c>
      <c r="G836" s="2">
        <f t="shared" si="40"/>
        <v>0</v>
      </c>
    </row>
    <row r="837" spans="1:7" x14ac:dyDescent="0.25">
      <c r="A837">
        <v>829</v>
      </c>
      <c r="B837" s="1">
        <v>33177</v>
      </c>
      <c r="C837" s="2">
        <v>214.84262990667759</v>
      </c>
      <c r="D837" s="2">
        <v>0.5</v>
      </c>
      <c r="E837">
        <f t="shared" si="38"/>
        <v>10</v>
      </c>
      <c r="F837">
        <f t="shared" si="39"/>
        <v>1990</v>
      </c>
      <c r="G837" s="2">
        <f t="shared" si="40"/>
        <v>0</v>
      </c>
    </row>
    <row r="838" spans="1:7" x14ac:dyDescent="0.25">
      <c r="A838">
        <v>830</v>
      </c>
      <c r="B838" s="1">
        <v>33207</v>
      </c>
      <c r="C838" s="2">
        <v>177.10611356726508</v>
      </c>
      <c r="D838" s="2">
        <v>0.5</v>
      </c>
      <c r="E838">
        <f t="shared" si="38"/>
        <v>11</v>
      </c>
      <c r="F838">
        <f t="shared" si="39"/>
        <v>1990</v>
      </c>
      <c r="G838" s="2">
        <f t="shared" si="40"/>
        <v>0</v>
      </c>
    </row>
    <row r="839" spans="1:7" x14ac:dyDescent="0.25">
      <c r="A839">
        <v>831</v>
      </c>
      <c r="B839" s="1">
        <v>33238</v>
      </c>
      <c r="C839" s="2">
        <v>161.98826861286051</v>
      </c>
      <c r="D839" s="2">
        <v>0.5</v>
      </c>
      <c r="E839">
        <f t="shared" si="38"/>
        <v>12</v>
      </c>
      <c r="F839">
        <f t="shared" si="39"/>
        <v>1990</v>
      </c>
      <c r="G839" s="2">
        <f t="shared" si="40"/>
        <v>0</v>
      </c>
    </row>
    <row r="840" spans="1:7" x14ac:dyDescent="0.25">
      <c r="A840">
        <v>832</v>
      </c>
      <c r="B840" s="1">
        <v>33269</v>
      </c>
      <c r="C840" s="2">
        <v>157.69227420397434</v>
      </c>
      <c r="D840" s="2">
        <v>0.5</v>
      </c>
      <c r="E840">
        <f t="shared" si="38"/>
        <v>1</v>
      </c>
      <c r="F840">
        <f t="shared" si="39"/>
        <v>1991</v>
      </c>
      <c r="G840" s="2">
        <f t="shared" si="40"/>
        <v>0</v>
      </c>
    </row>
    <row r="841" spans="1:7" x14ac:dyDescent="0.25">
      <c r="A841">
        <v>833</v>
      </c>
      <c r="B841" s="1">
        <v>33297</v>
      </c>
      <c r="C841" s="2">
        <v>173.743928821011</v>
      </c>
      <c r="D841" s="2">
        <v>0.25</v>
      </c>
      <c r="E841">
        <f t="shared" si="38"/>
        <v>2</v>
      </c>
      <c r="F841">
        <f t="shared" si="39"/>
        <v>1991</v>
      </c>
      <c r="G841" s="2">
        <f t="shared" si="40"/>
        <v>9649.2496006379661</v>
      </c>
    </row>
    <row r="842" spans="1:7" x14ac:dyDescent="0.25">
      <c r="A842">
        <v>834</v>
      </c>
      <c r="B842" s="1">
        <v>33328</v>
      </c>
      <c r="C842" s="2">
        <v>152.5532350638496</v>
      </c>
      <c r="D842" s="2">
        <v>0.25</v>
      </c>
      <c r="E842">
        <f t="shared" ref="E842:E905" si="41">MONTH(B842)</f>
        <v>3</v>
      </c>
      <c r="F842">
        <f t="shared" ref="F842:F905" si="42">YEAR(B842)</f>
        <v>1991</v>
      </c>
      <c r="G842" s="2">
        <f t="shared" ref="G842:G905" si="43">IF(E842=2,C842*$G$5*28,IF(E842=3,C842*$G$5*31,0))</f>
        <v>9380.1328006201729</v>
      </c>
    </row>
    <row r="843" spans="1:7" x14ac:dyDescent="0.25">
      <c r="A843">
        <v>835</v>
      </c>
      <c r="B843" s="1">
        <v>33358</v>
      </c>
      <c r="C843" s="2">
        <v>196.32088667964655</v>
      </c>
      <c r="D843" s="2">
        <v>0.25</v>
      </c>
      <c r="E843">
        <f t="shared" si="41"/>
        <v>4</v>
      </c>
      <c r="F843">
        <f t="shared" si="42"/>
        <v>1991</v>
      </c>
      <c r="G843" s="2">
        <f t="shared" si="43"/>
        <v>0</v>
      </c>
    </row>
    <row r="844" spans="1:7" x14ac:dyDescent="0.25">
      <c r="A844">
        <v>836</v>
      </c>
      <c r="B844" s="1">
        <v>33389</v>
      </c>
      <c r="C844" s="2">
        <v>239.89165958575305</v>
      </c>
      <c r="D844" s="2">
        <v>0.24999999999999997</v>
      </c>
      <c r="E844">
        <f t="shared" si="41"/>
        <v>5</v>
      </c>
      <c r="F844">
        <f t="shared" si="42"/>
        <v>1991</v>
      </c>
      <c r="G844" s="2">
        <f t="shared" si="43"/>
        <v>0</v>
      </c>
    </row>
    <row r="845" spans="1:7" x14ac:dyDescent="0.25">
      <c r="A845">
        <v>837</v>
      </c>
      <c r="B845" s="1">
        <v>33419</v>
      </c>
      <c r="C845" s="2">
        <v>275.36306112931697</v>
      </c>
      <c r="D845" s="2">
        <v>0.25</v>
      </c>
      <c r="E845">
        <f t="shared" si="41"/>
        <v>6</v>
      </c>
      <c r="F845">
        <f t="shared" si="42"/>
        <v>1991</v>
      </c>
      <c r="G845" s="2">
        <f t="shared" si="43"/>
        <v>0</v>
      </c>
    </row>
    <row r="846" spans="1:7" x14ac:dyDescent="0.25">
      <c r="A846">
        <v>838</v>
      </c>
      <c r="B846" s="1">
        <v>33450</v>
      </c>
      <c r="C846" s="2">
        <v>287.21574840608628</v>
      </c>
      <c r="D846" s="2">
        <v>0.25</v>
      </c>
      <c r="E846">
        <f t="shared" si="41"/>
        <v>7</v>
      </c>
      <c r="F846">
        <f t="shared" si="42"/>
        <v>1991</v>
      </c>
      <c r="G846" s="2">
        <f t="shared" si="43"/>
        <v>0</v>
      </c>
    </row>
    <row r="847" spans="1:7" x14ac:dyDescent="0.25">
      <c r="A847">
        <v>839</v>
      </c>
      <c r="B847" s="1">
        <v>33481</v>
      </c>
      <c r="C847" s="2">
        <v>278.99732431952134</v>
      </c>
      <c r="D847" s="2">
        <v>0.25</v>
      </c>
      <c r="E847">
        <f t="shared" si="41"/>
        <v>8</v>
      </c>
      <c r="F847">
        <f t="shared" si="42"/>
        <v>1991</v>
      </c>
      <c r="G847" s="2">
        <f t="shared" si="43"/>
        <v>0</v>
      </c>
    </row>
    <row r="848" spans="1:7" x14ac:dyDescent="0.25">
      <c r="A848">
        <v>840</v>
      </c>
      <c r="B848" s="1">
        <v>33511</v>
      </c>
      <c r="C848" s="2">
        <v>254.31992423903677</v>
      </c>
      <c r="D848" s="2">
        <v>0.24999999999999997</v>
      </c>
      <c r="E848">
        <f t="shared" si="41"/>
        <v>9</v>
      </c>
      <c r="F848">
        <f t="shared" si="42"/>
        <v>1991</v>
      </c>
      <c r="G848" s="2">
        <f t="shared" si="43"/>
        <v>0</v>
      </c>
    </row>
    <row r="849" spans="1:7" x14ac:dyDescent="0.25">
      <c r="A849">
        <v>841</v>
      </c>
      <c r="B849" s="1">
        <v>33542</v>
      </c>
      <c r="C849" s="2">
        <v>214.84262990667759</v>
      </c>
      <c r="D849" s="2">
        <v>0.25</v>
      </c>
      <c r="E849">
        <f t="shared" si="41"/>
        <v>10</v>
      </c>
      <c r="F849">
        <f t="shared" si="42"/>
        <v>1991</v>
      </c>
      <c r="G849" s="2">
        <f t="shared" si="43"/>
        <v>0</v>
      </c>
    </row>
    <row r="850" spans="1:7" x14ac:dyDescent="0.25">
      <c r="A850">
        <v>842</v>
      </c>
      <c r="B850" s="1">
        <v>33572</v>
      </c>
      <c r="C850" s="2">
        <v>177.10611356726508</v>
      </c>
      <c r="D850" s="2">
        <v>0.25</v>
      </c>
      <c r="E850">
        <f t="shared" si="41"/>
        <v>11</v>
      </c>
      <c r="F850">
        <f t="shared" si="42"/>
        <v>1991</v>
      </c>
      <c r="G850" s="2">
        <f t="shared" si="43"/>
        <v>0</v>
      </c>
    </row>
    <row r="851" spans="1:7" x14ac:dyDescent="0.25">
      <c r="A851">
        <v>843</v>
      </c>
      <c r="B851" s="1">
        <v>33603</v>
      </c>
      <c r="C851" s="2">
        <v>161.98826861286051</v>
      </c>
      <c r="D851" s="2">
        <v>0.25</v>
      </c>
      <c r="E851">
        <f t="shared" si="41"/>
        <v>12</v>
      </c>
      <c r="F851">
        <f t="shared" si="42"/>
        <v>1991</v>
      </c>
      <c r="G851" s="2">
        <f t="shared" si="43"/>
        <v>0</v>
      </c>
    </row>
    <row r="852" spans="1:7" x14ac:dyDescent="0.25">
      <c r="A852">
        <v>844</v>
      </c>
      <c r="B852" s="1">
        <v>33634</v>
      </c>
      <c r="C852" s="2">
        <v>157.69227420397434</v>
      </c>
      <c r="D852" s="2">
        <v>0.25</v>
      </c>
      <c r="E852">
        <f t="shared" si="41"/>
        <v>1</v>
      </c>
      <c r="F852">
        <f t="shared" si="42"/>
        <v>1992</v>
      </c>
      <c r="G852" s="2">
        <f t="shared" si="43"/>
        <v>0</v>
      </c>
    </row>
    <row r="853" spans="1:7" x14ac:dyDescent="0.25">
      <c r="A853">
        <v>845</v>
      </c>
      <c r="B853" s="1">
        <v>33663</v>
      </c>
      <c r="C853" s="2">
        <v>167.7527588616658</v>
      </c>
      <c r="D853" s="2">
        <v>0.25</v>
      </c>
      <c r="E853">
        <f t="shared" si="41"/>
        <v>2</v>
      </c>
      <c r="F853">
        <f t="shared" si="42"/>
        <v>1992</v>
      </c>
      <c r="G853" s="2">
        <f t="shared" si="43"/>
        <v>9316.5168557883808</v>
      </c>
    </row>
    <row r="854" spans="1:7" x14ac:dyDescent="0.25">
      <c r="A854">
        <v>846</v>
      </c>
      <c r="B854" s="1">
        <v>33694</v>
      </c>
      <c r="C854" s="2">
        <v>152.5532350638496</v>
      </c>
      <c r="D854" s="2">
        <v>0.5</v>
      </c>
      <c r="E854">
        <f t="shared" si="41"/>
        <v>3</v>
      </c>
      <c r="F854">
        <f t="shared" si="42"/>
        <v>1992</v>
      </c>
      <c r="G854" s="2">
        <f t="shared" si="43"/>
        <v>9380.1328006201729</v>
      </c>
    </row>
    <row r="855" spans="1:7" x14ac:dyDescent="0.25">
      <c r="A855">
        <v>847</v>
      </c>
      <c r="B855" s="1">
        <v>33724</v>
      </c>
      <c r="C855" s="2">
        <v>196.32088667964655</v>
      </c>
      <c r="D855" s="2">
        <v>0.5</v>
      </c>
      <c r="E855">
        <f t="shared" si="41"/>
        <v>4</v>
      </c>
      <c r="F855">
        <f t="shared" si="42"/>
        <v>1992</v>
      </c>
      <c r="G855" s="2">
        <f t="shared" si="43"/>
        <v>0</v>
      </c>
    </row>
    <row r="856" spans="1:7" x14ac:dyDescent="0.25">
      <c r="A856">
        <v>848</v>
      </c>
      <c r="B856" s="1">
        <v>33755</v>
      </c>
      <c r="C856" s="2">
        <v>239.89165958575305</v>
      </c>
      <c r="D856" s="2">
        <v>0.5</v>
      </c>
      <c r="E856">
        <f t="shared" si="41"/>
        <v>5</v>
      </c>
      <c r="F856">
        <f t="shared" si="42"/>
        <v>1992</v>
      </c>
      <c r="G856" s="2">
        <f t="shared" si="43"/>
        <v>0</v>
      </c>
    </row>
    <row r="857" spans="1:7" x14ac:dyDescent="0.25">
      <c r="A857">
        <v>849</v>
      </c>
      <c r="B857" s="1">
        <v>33785</v>
      </c>
      <c r="C857" s="2">
        <v>275.36306112931697</v>
      </c>
      <c r="D857" s="2">
        <v>0.5</v>
      </c>
      <c r="E857">
        <f t="shared" si="41"/>
        <v>6</v>
      </c>
      <c r="F857">
        <f t="shared" si="42"/>
        <v>1992</v>
      </c>
      <c r="G857" s="2">
        <f t="shared" si="43"/>
        <v>0</v>
      </c>
    </row>
    <row r="858" spans="1:7" x14ac:dyDescent="0.25">
      <c r="A858">
        <v>850</v>
      </c>
      <c r="B858" s="1">
        <v>33816</v>
      </c>
      <c r="C858" s="2">
        <v>287.21574840608628</v>
      </c>
      <c r="D858" s="2">
        <v>0.5</v>
      </c>
      <c r="E858">
        <f t="shared" si="41"/>
        <v>7</v>
      </c>
      <c r="F858">
        <f t="shared" si="42"/>
        <v>1992</v>
      </c>
      <c r="G858" s="2">
        <f t="shared" si="43"/>
        <v>0</v>
      </c>
    </row>
    <row r="859" spans="1:7" x14ac:dyDescent="0.25">
      <c r="A859">
        <v>851</v>
      </c>
      <c r="B859" s="1">
        <v>33847</v>
      </c>
      <c r="C859" s="2">
        <v>278.99732431952134</v>
      </c>
      <c r="D859" s="2">
        <v>0.5</v>
      </c>
      <c r="E859">
        <f t="shared" si="41"/>
        <v>8</v>
      </c>
      <c r="F859">
        <f t="shared" si="42"/>
        <v>1992</v>
      </c>
      <c r="G859" s="2">
        <f t="shared" si="43"/>
        <v>0</v>
      </c>
    </row>
    <row r="860" spans="1:7" x14ac:dyDescent="0.25">
      <c r="A860">
        <v>852</v>
      </c>
      <c r="B860" s="1">
        <v>33877</v>
      </c>
      <c r="C860" s="2">
        <v>252.18068131598454</v>
      </c>
      <c r="D860" s="2">
        <v>0.5</v>
      </c>
      <c r="E860">
        <f t="shared" si="41"/>
        <v>9</v>
      </c>
      <c r="F860">
        <f t="shared" si="42"/>
        <v>1992</v>
      </c>
      <c r="G860" s="2">
        <f t="shared" si="43"/>
        <v>0</v>
      </c>
    </row>
    <row r="861" spans="1:7" x14ac:dyDescent="0.25">
      <c r="A861">
        <v>853</v>
      </c>
      <c r="B861" s="1">
        <v>33908</v>
      </c>
      <c r="C861" s="2">
        <v>214.84262990667759</v>
      </c>
      <c r="D861" s="2">
        <v>0.5</v>
      </c>
      <c r="E861">
        <f t="shared" si="41"/>
        <v>10</v>
      </c>
      <c r="F861">
        <f t="shared" si="42"/>
        <v>1992</v>
      </c>
      <c r="G861" s="2">
        <f t="shared" si="43"/>
        <v>0</v>
      </c>
    </row>
    <row r="862" spans="1:7" x14ac:dyDescent="0.25">
      <c r="A862">
        <v>854</v>
      </c>
      <c r="B862" s="1">
        <v>33938</v>
      </c>
      <c r="C862" s="2">
        <v>177.10611356726511</v>
      </c>
      <c r="D862" s="2">
        <v>0.5</v>
      </c>
      <c r="E862">
        <f t="shared" si="41"/>
        <v>11</v>
      </c>
      <c r="F862">
        <f t="shared" si="42"/>
        <v>1992</v>
      </c>
      <c r="G862" s="2">
        <f t="shared" si="43"/>
        <v>0</v>
      </c>
    </row>
    <row r="863" spans="1:7" x14ac:dyDescent="0.25">
      <c r="A863">
        <v>855</v>
      </c>
      <c r="B863" s="1">
        <v>33969</v>
      </c>
      <c r="C863" s="2">
        <v>161.98826861286051</v>
      </c>
      <c r="D863" s="2">
        <v>0.5</v>
      </c>
      <c r="E863">
        <f t="shared" si="41"/>
        <v>12</v>
      </c>
      <c r="F863">
        <f t="shared" si="42"/>
        <v>1992</v>
      </c>
      <c r="G863" s="2">
        <f t="shared" si="43"/>
        <v>0</v>
      </c>
    </row>
    <row r="864" spans="1:7" x14ac:dyDescent="0.25">
      <c r="A864">
        <v>856</v>
      </c>
      <c r="B864" s="1">
        <v>34000</v>
      </c>
      <c r="C864" s="2">
        <v>157.69227420397434</v>
      </c>
      <c r="D864" s="2">
        <v>0.5</v>
      </c>
      <c r="E864">
        <f t="shared" si="41"/>
        <v>1</v>
      </c>
      <c r="F864">
        <f t="shared" si="42"/>
        <v>1993</v>
      </c>
      <c r="G864" s="2">
        <f t="shared" si="43"/>
        <v>0</v>
      </c>
    </row>
    <row r="865" spans="1:7" x14ac:dyDescent="0.25">
      <c r="A865">
        <v>857</v>
      </c>
      <c r="B865" s="1">
        <v>34028</v>
      </c>
      <c r="C865" s="2">
        <v>173.743928821011</v>
      </c>
      <c r="D865" s="2">
        <v>0.5</v>
      </c>
      <c r="E865">
        <f t="shared" si="41"/>
        <v>2</v>
      </c>
      <c r="F865">
        <f t="shared" si="42"/>
        <v>1993</v>
      </c>
      <c r="G865" s="2">
        <f t="shared" si="43"/>
        <v>9649.2496006379661</v>
      </c>
    </row>
    <row r="866" spans="1:7" x14ac:dyDescent="0.25">
      <c r="A866">
        <v>858</v>
      </c>
      <c r="B866" s="1">
        <v>34059</v>
      </c>
      <c r="C866" s="2">
        <v>96.914806888128041</v>
      </c>
      <c r="D866" s="2">
        <v>0.93627784316386864</v>
      </c>
      <c r="E866">
        <f t="shared" si="41"/>
        <v>3</v>
      </c>
      <c r="F866">
        <f t="shared" si="42"/>
        <v>1993</v>
      </c>
      <c r="G866" s="2">
        <f t="shared" si="43"/>
        <v>5959.0592003939892</v>
      </c>
    </row>
    <row r="867" spans="1:7" x14ac:dyDescent="0.25">
      <c r="A867">
        <v>859</v>
      </c>
      <c r="B867" s="1">
        <v>34089</v>
      </c>
      <c r="C867" s="2">
        <v>140.91721845376131</v>
      </c>
      <c r="D867" s="2">
        <v>1</v>
      </c>
      <c r="E867">
        <f t="shared" si="41"/>
        <v>4</v>
      </c>
      <c r="F867">
        <f t="shared" si="42"/>
        <v>1993</v>
      </c>
      <c r="G867" s="2">
        <f t="shared" si="43"/>
        <v>0</v>
      </c>
    </row>
    <row r="868" spans="1:7" x14ac:dyDescent="0.25">
      <c r="A868">
        <v>860</v>
      </c>
      <c r="B868" s="1">
        <v>34120</v>
      </c>
      <c r="C868" s="2">
        <v>172.19561393611602</v>
      </c>
      <c r="D868" s="2">
        <v>1</v>
      </c>
      <c r="E868">
        <f t="shared" si="41"/>
        <v>5</v>
      </c>
      <c r="F868">
        <f t="shared" si="42"/>
        <v>1993</v>
      </c>
      <c r="G868" s="2">
        <f t="shared" si="43"/>
        <v>0</v>
      </c>
    </row>
    <row r="869" spans="1:7" x14ac:dyDescent="0.25">
      <c r="A869">
        <v>861</v>
      </c>
      <c r="B869" s="1">
        <v>34150</v>
      </c>
      <c r="C869" s="2">
        <v>249.30857479426101</v>
      </c>
      <c r="D869" s="2">
        <v>1</v>
      </c>
      <c r="E869">
        <f t="shared" si="41"/>
        <v>6</v>
      </c>
      <c r="F869">
        <f t="shared" si="42"/>
        <v>1993</v>
      </c>
      <c r="G869" s="2">
        <f t="shared" si="43"/>
        <v>0</v>
      </c>
    </row>
    <row r="870" spans="1:7" x14ac:dyDescent="0.25">
      <c r="A870">
        <v>862</v>
      </c>
      <c r="B870" s="1">
        <v>34181</v>
      </c>
      <c r="C870" s="2">
        <v>274.69602802891444</v>
      </c>
      <c r="D870" s="2">
        <v>1</v>
      </c>
      <c r="E870">
        <f t="shared" si="41"/>
        <v>7</v>
      </c>
      <c r="F870">
        <f t="shared" si="42"/>
        <v>1993</v>
      </c>
      <c r="G870" s="2">
        <f t="shared" si="43"/>
        <v>0</v>
      </c>
    </row>
    <row r="871" spans="1:7" x14ac:dyDescent="0.25">
      <c r="A871">
        <v>863</v>
      </c>
      <c r="B871" s="1">
        <v>34212</v>
      </c>
      <c r="C871" s="2">
        <v>284.25012948115898</v>
      </c>
      <c r="D871" s="2">
        <v>1</v>
      </c>
      <c r="E871">
        <f t="shared" si="41"/>
        <v>8</v>
      </c>
      <c r="F871">
        <f t="shared" si="42"/>
        <v>1993</v>
      </c>
      <c r="G871" s="2">
        <f t="shared" si="43"/>
        <v>0</v>
      </c>
    </row>
    <row r="872" spans="1:7" x14ac:dyDescent="0.25">
      <c r="A872">
        <v>864</v>
      </c>
      <c r="B872" s="1">
        <v>34242</v>
      </c>
      <c r="C872" s="2">
        <v>251.09751946104601</v>
      </c>
      <c r="D872" s="2">
        <v>1</v>
      </c>
      <c r="E872">
        <f t="shared" si="41"/>
        <v>9</v>
      </c>
      <c r="F872">
        <f t="shared" si="42"/>
        <v>1993</v>
      </c>
      <c r="G872" s="2">
        <f t="shared" si="43"/>
        <v>0</v>
      </c>
    </row>
    <row r="873" spans="1:7" x14ac:dyDescent="0.25">
      <c r="A873">
        <v>865</v>
      </c>
      <c r="B873" s="1">
        <v>34273</v>
      </c>
      <c r="C873" s="2">
        <v>215.12985528304071</v>
      </c>
      <c r="D873" s="2">
        <v>1</v>
      </c>
      <c r="E873">
        <f t="shared" si="41"/>
        <v>10</v>
      </c>
      <c r="F873">
        <f t="shared" si="42"/>
        <v>1993</v>
      </c>
      <c r="G873" s="2">
        <f t="shared" si="43"/>
        <v>0</v>
      </c>
    </row>
    <row r="874" spans="1:7" x14ac:dyDescent="0.25">
      <c r="A874">
        <v>866</v>
      </c>
      <c r="B874" s="1">
        <v>34303</v>
      </c>
      <c r="C874" s="2">
        <v>152.24052617673215</v>
      </c>
      <c r="D874" s="2">
        <v>1</v>
      </c>
      <c r="E874">
        <f t="shared" si="41"/>
        <v>11</v>
      </c>
      <c r="F874">
        <f t="shared" si="42"/>
        <v>1993</v>
      </c>
      <c r="G874" s="2">
        <f t="shared" si="43"/>
        <v>0</v>
      </c>
    </row>
    <row r="875" spans="1:7" x14ac:dyDescent="0.25">
      <c r="A875">
        <v>867</v>
      </c>
      <c r="B875" s="1">
        <v>34334</v>
      </c>
      <c r="C875" s="2">
        <v>138.92959785864781</v>
      </c>
      <c r="D875" s="2">
        <v>1</v>
      </c>
      <c r="E875">
        <f t="shared" si="41"/>
        <v>12</v>
      </c>
      <c r="F875">
        <f t="shared" si="42"/>
        <v>1993</v>
      </c>
      <c r="G875" s="2">
        <f t="shared" si="43"/>
        <v>0</v>
      </c>
    </row>
    <row r="876" spans="1:7" x14ac:dyDescent="0.25">
      <c r="A876">
        <v>868</v>
      </c>
      <c r="B876" s="1">
        <v>34365</v>
      </c>
      <c r="C876" s="2">
        <v>110.24576070621373</v>
      </c>
      <c r="D876" s="2">
        <v>1</v>
      </c>
      <c r="E876">
        <f t="shared" si="41"/>
        <v>1</v>
      </c>
      <c r="F876">
        <f t="shared" si="42"/>
        <v>1994</v>
      </c>
      <c r="G876" s="2">
        <f t="shared" si="43"/>
        <v>0</v>
      </c>
    </row>
    <row r="877" spans="1:7" x14ac:dyDescent="0.25">
      <c r="A877">
        <v>869</v>
      </c>
      <c r="B877" s="1">
        <v>34393</v>
      </c>
      <c r="C877" s="2">
        <v>102.91438209013761</v>
      </c>
      <c r="D877" s="2">
        <v>0.98299512810510514</v>
      </c>
      <c r="E877">
        <f t="shared" si="41"/>
        <v>2</v>
      </c>
      <c r="F877">
        <f t="shared" si="42"/>
        <v>1994</v>
      </c>
      <c r="G877" s="2">
        <f t="shared" si="43"/>
        <v>5715.5756003778906</v>
      </c>
    </row>
    <row r="878" spans="1:7" x14ac:dyDescent="0.25">
      <c r="A878">
        <v>870</v>
      </c>
      <c r="B878" s="1">
        <v>34424</v>
      </c>
      <c r="C878" s="2">
        <v>123.59371307269377</v>
      </c>
      <c r="D878" s="2">
        <v>0.57349799830941228</v>
      </c>
      <c r="E878">
        <f t="shared" si="41"/>
        <v>3</v>
      </c>
      <c r="F878">
        <f t="shared" si="42"/>
        <v>1994</v>
      </c>
      <c r="G878" s="2">
        <f t="shared" si="43"/>
        <v>7599.4812005028234</v>
      </c>
    </row>
    <row r="879" spans="1:7" x14ac:dyDescent="0.25">
      <c r="A879">
        <v>871</v>
      </c>
      <c r="B879" s="1">
        <v>34454</v>
      </c>
      <c r="C879" s="2">
        <v>181.23525201198254</v>
      </c>
      <c r="D879" s="2">
        <v>0.59586987950404413</v>
      </c>
      <c r="E879">
        <f t="shared" si="41"/>
        <v>4</v>
      </c>
      <c r="F879">
        <f t="shared" si="42"/>
        <v>1994</v>
      </c>
      <c r="G879" s="2">
        <f t="shared" si="43"/>
        <v>0</v>
      </c>
    </row>
    <row r="880" spans="1:7" x14ac:dyDescent="0.25">
      <c r="A880">
        <v>872</v>
      </c>
      <c r="B880" s="1">
        <v>34485</v>
      </c>
      <c r="C880" s="2">
        <v>239.89165958575305</v>
      </c>
      <c r="D880" s="2">
        <v>0.63333435271853211</v>
      </c>
      <c r="E880">
        <f t="shared" si="41"/>
        <v>5</v>
      </c>
      <c r="F880">
        <f t="shared" si="42"/>
        <v>1994</v>
      </c>
      <c r="G880" s="2">
        <f t="shared" si="43"/>
        <v>0</v>
      </c>
    </row>
    <row r="881" spans="1:7" x14ac:dyDescent="0.25">
      <c r="A881">
        <v>873</v>
      </c>
      <c r="B881" s="1">
        <v>34515</v>
      </c>
      <c r="C881" s="2">
        <v>275.36306112931697</v>
      </c>
      <c r="D881" s="2">
        <v>0.63333435271853222</v>
      </c>
      <c r="E881">
        <f t="shared" si="41"/>
        <v>6</v>
      </c>
      <c r="F881">
        <f t="shared" si="42"/>
        <v>1994</v>
      </c>
      <c r="G881" s="2">
        <f t="shared" si="43"/>
        <v>0</v>
      </c>
    </row>
    <row r="882" spans="1:7" x14ac:dyDescent="0.25">
      <c r="A882">
        <v>874</v>
      </c>
      <c r="B882" s="1">
        <v>34546</v>
      </c>
      <c r="C882" s="2">
        <v>287.21574840608622</v>
      </c>
      <c r="D882" s="2">
        <v>0.63333435271853233</v>
      </c>
      <c r="E882">
        <f t="shared" si="41"/>
        <v>7</v>
      </c>
      <c r="F882">
        <f t="shared" si="42"/>
        <v>1994</v>
      </c>
      <c r="G882" s="2">
        <f t="shared" si="43"/>
        <v>0</v>
      </c>
    </row>
    <row r="883" spans="1:7" x14ac:dyDescent="0.25">
      <c r="A883">
        <v>875</v>
      </c>
      <c r="B883" s="1">
        <v>34577</v>
      </c>
      <c r="C883" s="2">
        <v>278.99732431952128</v>
      </c>
      <c r="D883" s="2">
        <v>0.63333435271853222</v>
      </c>
      <c r="E883">
        <f t="shared" si="41"/>
        <v>8</v>
      </c>
      <c r="F883">
        <f t="shared" si="42"/>
        <v>1994</v>
      </c>
      <c r="G883" s="2">
        <f t="shared" si="43"/>
        <v>0</v>
      </c>
    </row>
    <row r="884" spans="1:7" x14ac:dyDescent="0.25">
      <c r="A884">
        <v>876</v>
      </c>
      <c r="B884" s="1">
        <v>34607</v>
      </c>
      <c r="C884" s="2">
        <v>254.31992423903677</v>
      </c>
      <c r="D884" s="2">
        <v>0.63333435271853222</v>
      </c>
      <c r="E884">
        <f t="shared" si="41"/>
        <v>9</v>
      </c>
      <c r="F884">
        <f t="shared" si="42"/>
        <v>1994</v>
      </c>
      <c r="G884" s="2">
        <f t="shared" si="43"/>
        <v>0</v>
      </c>
    </row>
    <row r="885" spans="1:7" x14ac:dyDescent="0.25">
      <c r="A885">
        <v>877</v>
      </c>
      <c r="B885" s="1">
        <v>34638</v>
      </c>
      <c r="C885" s="2">
        <v>214.84262990667759</v>
      </c>
      <c r="D885" s="2">
        <v>0.63333435271853222</v>
      </c>
      <c r="E885">
        <f t="shared" si="41"/>
        <v>10</v>
      </c>
      <c r="F885">
        <f t="shared" si="42"/>
        <v>1994</v>
      </c>
      <c r="G885" s="2">
        <f t="shared" si="43"/>
        <v>0</v>
      </c>
    </row>
    <row r="886" spans="1:7" x14ac:dyDescent="0.25">
      <c r="A886">
        <v>878</v>
      </c>
      <c r="B886" s="1">
        <v>34668</v>
      </c>
      <c r="C886" s="2">
        <v>177.10611356726506</v>
      </c>
      <c r="D886" s="2">
        <v>0.63333435271853211</v>
      </c>
      <c r="E886">
        <f t="shared" si="41"/>
        <v>11</v>
      </c>
      <c r="F886">
        <f t="shared" si="42"/>
        <v>1994</v>
      </c>
      <c r="G886" s="2">
        <f t="shared" si="43"/>
        <v>0</v>
      </c>
    </row>
    <row r="887" spans="1:7" x14ac:dyDescent="0.25">
      <c r="A887">
        <v>879</v>
      </c>
      <c r="B887" s="1">
        <v>34699</v>
      </c>
      <c r="C887" s="2">
        <v>161.98826861286054</v>
      </c>
      <c r="D887" s="2">
        <v>0.63333435271853222</v>
      </c>
      <c r="E887">
        <f t="shared" si="41"/>
        <v>12</v>
      </c>
      <c r="F887">
        <f t="shared" si="42"/>
        <v>1994</v>
      </c>
      <c r="G887" s="2">
        <f t="shared" si="43"/>
        <v>0</v>
      </c>
    </row>
    <row r="888" spans="1:7" x14ac:dyDescent="0.25">
      <c r="A888">
        <v>880</v>
      </c>
      <c r="B888" s="1">
        <v>34730</v>
      </c>
      <c r="C888" s="2">
        <v>157.69227420397434</v>
      </c>
      <c r="D888" s="2">
        <v>0.63333435271853222</v>
      </c>
      <c r="E888">
        <f t="shared" si="41"/>
        <v>1</v>
      </c>
      <c r="F888">
        <f t="shared" si="42"/>
        <v>1995</v>
      </c>
      <c r="G888" s="2">
        <f t="shared" si="43"/>
        <v>0</v>
      </c>
    </row>
    <row r="889" spans="1:7" x14ac:dyDescent="0.25">
      <c r="A889">
        <v>881</v>
      </c>
      <c r="B889" s="1">
        <v>34758</v>
      </c>
      <c r="C889" s="2">
        <v>173.743928821011</v>
      </c>
      <c r="D889" s="2">
        <v>0.63333435271853222</v>
      </c>
      <c r="E889">
        <f t="shared" si="41"/>
        <v>2</v>
      </c>
      <c r="F889">
        <f t="shared" si="42"/>
        <v>1995</v>
      </c>
      <c r="G889" s="2">
        <f t="shared" si="43"/>
        <v>9649.2496006379661</v>
      </c>
    </row>
    <row r="890" spans="1:7" x14ac:dyDescent="0.25">
      <c r="A890">
        <v>882</v>
      </c>
      <c r="B890" s="1">
        <v>34789</v>
      </c>
      <c r="C890" s="2">
        <v>96.914806888128041</v>
      </c>
      <c r="D890" s="2">
        <v>0.92000405086690762</v>
      </c>
      <c r="E890">
        <f t="shared" si="41"/>
        <v>3</v>
      </c>
      <c r="F890">
        <f t="shared" si="42"/>
        <v>1995</v>
      </c>
      <c r="G890" s="2">
        <f t="shared" si="43"/>
        <v>5959.0592003939892</v>
      </c>
    </row>
    <row r="891" spans="1:7" x14ac:dyDescent="0.25">
      <c r="A891">
        <v>883</v>
      </c>
      <c r="B891" s="1">
        <v>34819</v>
      </c>
      <c r="C891" s="2">
        <v>127.84175342511902</v>
      </c>
      <c r="D891" s="2">
        <v>1</v>
      </c>
      <c r="E891">
        <f t="shared" si="41"/>
        <v>4</v>
      </c>
      <c r="F891">
        <f t="shared" si="42"/>
        <v>1995</v>
      </c>
      <c r="G891" s="2">
        <f t="shared" si="43"/>
        <v>0</v>
      </c>
    </row>
    <row r="892" spans="1:7" x14ac:dyDescent="0.25">
      <c r="A892">
        <v>884</v>
      </c>
      <c r="B892" s="1">
        <v>34850</v>
      </c>
      <c r="C892" s="2">
        <v>173.69722718890347</v>
      </c>
      <c r="D892" s="2">
        <v>1</v>
      </c>
      <c r="E892">
        <f t="shared" si="41"/>
        <v>5</v>
      </c>
      <c r="F892">
        <f t="shared" si="42"/>
        <v>1995</v>
      </c>
      <c r="G892" s="2">
        <f t="shared" si="43"/>
        <v>0</v>
      </c>
    </row>
    <row r="893" spans="1:7" x14ac:dyDescent="0.25">
      <c r="A893">
        <v>885</v>
      </c>
      <c r="B893" s="1">
        <v>34880</v>
      </c>
      <c r="C893" s="2">
        <v>230.63820084858216</v>
      </c>
      <c r="D893" s="2">
        <v>1</v>
      </c>
      <c r="E893">
        <f t="shared" si="41"/>
        <v>6</v>
      </c>
      <c r="F893">
        <f t="shared" si="42"/>
        <v>1995</v>
      </c>
      <c r="G893" s="2">
        <f t="shared" si="43"/>
        <v>0</v>
      </c>
    </row>
    <row r="894" spans="1:7" x14ac:dyDescent="0.25">
      <c r="A894">
        <v>886</v>
      </c>
      <c r="B894" s="1">
        <v>34911</v>
      </c>
      <c r="C894" s="2">
        <v>271.71188667119026</v>
      </c>
      <c r="D894" s="2">
        <v>0.99999999999999989</v>
      </c>
      <c r="E894">
        <f t="shared" si="41"/>
        <v>7</v>
      </c>
      <c r="F894">
        <f t="shared" si="42"/>
        <v>1995</v>
      </c>
      <c r="G894" s="2">
        <f t="shared" si="43"/>
        <v>0</v>
      </c>
    </row>
    <row r="895" spans="1:7" x14ac:dyDescent="0.25">
      <c r="A895">
        <v>887</v>
      </c>
      <c r="B895" s="1">
        <v>34942</v>
      </c>
      <c r="C895" s="2">
        <v>282.21761897027193</v>
      </c>
      <c r="D895" s="2">
        <v>1</v>
      </c>
      <c r="E895">
        <f t="shared" si="41"/>
        <v>8</v>
      </c>
      <c r="F895">
        <f t="shared" si="42"/>
        <v>1995</v>
      </c>
      <c r="G895" s="2">
        <f t="shared" si="43"/>
        <v>0</v>
      </c>
    </row>
    <row r="896" spans="1:7" x14ac:dyDescent="0.25">
      <c r="A896">
        <v>888</v>
      </c>
      <c r="B896" s="1">
        <v>34972</v>
      </c>
      <c r="C896" s="2">
        <v>245.18670139121073</v>
      </c>
      <c r="D896" s="2">
        <v>1</v>
      </c>
      <c r="E896">
        <f t="shared" si="41"/>
        <v>9</v>
      </c>
      <c r="F896">
        <f t="shared" si="42"/>
        <v>1995</v>
      </c>
      <c r="G896" s="2">
        <f t="shared" si="43"/>
        <v>0</v>
      </c>
    </row>
    <row r="897" spans="1:7" x14ac:dyDescent="0.25">
      <c r="A897">
        <v>889</v>
      </c>
      <c r="B897" s="1">
        <v>35003</v>
      </c>
      <c r="C897" s="2">
        <v>208.40764336055321</v>
      </c>
      <c r="D897" s="2">
        <v>1</v>
      </c>
      <c r="E897">
        <f t="shared" si="41"/>
        <v>10</v>
      </c>
      <c r="F897">
        <f t="shared" si="42"/>
        <v>1995</v>
      </c>
      <c r="G897" s="2">
        <f t="shared" si="43"/>
        <v>0</v>
      </c>
    </row>
    <row r="898" spans="1:7" x14ac:dyDescent="0.25">
      <c r="A898">
        <v>890</v>
      </c>
      <c r="B898" s="1">
        <v>35033</v>
      </c>
      <c r="C898" s="2">
        <v>139.9081154259168</v>
      </c>
      <c r="D898" s="2">
        <v>1</v>
      </c>
      <c r="E898">
        <f t="shared" si="41"/>
        <v>11</v>
      </c>
      <c r="F898">
        <f t="shared" si="42"/>
        <v>1995</v>
      </c>
      <c r="G898" s="2">
        <f t="shared" si="43"/>
        <v>0</v>
      </c>
    </row>
    <row r="899" spans="1:7" x14ac:dyDescent="0.25">
      <c r="A899">
        <v>891</v>
      </c>
      <c r="B899" s="1">
        <v>35064</v>
      </c>
      <c r="C899" s="2">
        <v>100.09781597436</v>
      </c>
      <c r="D899" s="2">
        <v>1</v>
      </c>
      <c r="E899">
        <f t="shared" si="41"/>
        <v>12</v>
      </c>
      <c r="F899">
        <f t="shared" si="42"/>
        <v>1995</v>
      </c>
      <c r="G899" s="2">
        <f t="shared" si="43"/>
        <v>0</v>
      </c>
    </row>
    <row r="900" spans="1:7" x14ac:dyDescent="0.25">
      <c r="A900">
        <v>892</v>
      </c>
      <c r="B900" s="1">
        <v>35095</v>
      </c>
      <c r="C900" s="2">
        <v>94.480039683665979</v>
      </c>
      <c r="D900" s="2">
        <v>1</v>
      </c>
      <c r="E900">
        <f t="shared" si="41"/>
        <v>1</v>
      </c>
      <c r="F900">
        <f t="shared" si="42"/>
        <v>1996</v>
      </c>
      <c r="G900" s="2">
        <f t="shared" si="43"/>
        <v>0</v>
      </c>
    </row>
    <row r="901" spans="1:7" x14ac:dyDescent="0.25">
      <c r="A901">
        <v>893</v>
      </c>
      <c r="B901" s="1">
        <v>35124</v>
      </c>
      <c r="C901" s="2">
        <v>104.89011216210731</v>
      </c>
      <c r="D901" s="2">
        <v>1</v>
      </c>
      <c r="E901">
        <f t="shared" si="41"/>
        <v>2</v>
      </c>
      <c r="F901">
        <f t="shared" si="42"/>
        <v>1996</v>
      </c>
      <c r="G901" s="2">
        <f t="shared" si="43"/>
        <v>5825.302096936869</v>
      </c>
    </row>
    <row r="902" spans="1:7" x14ac:dyDescent="0.25">
      <c r="A902">
        <v>894</v>
      </c>
      <c r="B902" s="1">
        <v>35155</v>
      </c>
      <c r="C902" s="2">
        <v>95.98874379667447</v>
      </c>
      <c r="D902" s="2">
        <v>1</v>
      </c>
      <c r="E902">
        <f t="shared" si="41"/>
        <v>3</v>
      </c>
      <c r="F902">
        <f t="shared" si="42"/>
        <v>1996</v>
      </c>
      <c r="G902" s="2">
        <f t="shared" si="43"/>
        <v>5902.1178003905634</v>
      </c>
    </row>
    <row r="903" spans="1:7" x14ac:dyDescent="0.25">
      <c r="A903">
        <v>895</v>
      </c>
      <c r="B903" s="1">
        <v>35185</v>
      </c>
      <c r="C903" s="2">
        <v>127.84175342511904</v>
      </c>
      <c r="D903" s="2">
        <v>1</v>
      </c>
      <c r="E903">
        <f t="shared" si="41"/>
        <v>4</v>
      </c>
      <c r="F903">
        <f t="shared" si="42"/>
        <v>1996</v>
      </c>
      <c r="G903" s="2">
        <f t="shared" si="43"/>
        <v>0</v>
      </c>
    </row>
    <row r="904" spans="1:7" x14ac:dyDescent="0.25">
      <c r="A904">
        <v>896</v>
      </c>
      <c r="B904" s="1">
        <v>35216</v>
      </c>
      <c r="C904" s="2">
        <v>173.69722718890344</v>
      </c>
      <c r="D904" s="2">
        <v>1</v>
      </c>
      <c r="E904">
        <f t="shared" si="41"/>
        <v>5</v>
      </c>
      <c r="F904">
        <f t="shared" si="42"/>
        <v>1996</v>
      </c>
      <c r="G904" s="2">
        <f t="shared" si="43"/>
        <v>0</v>
      </c>
    </row>
    <row r="905" spans="1:7" x14ac:dyDescent="0.25">
      <c r="A905">
        <v>897</v>
      </c>
      <c r="B905" s="1">
        <v>35246</v>
      </c>
      <c r="C905" s="2">
        <v>230.6382008485821</v>
      </c>
      <c r="D905" s="2">
        <v>1</v>
      </c>
      <c r="E905">
        <f t="shared" si="41"/>
        <v>6</v>
      </c>
      <c r="F905">
        <f t="shared" si="42"/>
        <v>1996</v>
      </c>
      <c r="G905" s="2">
        <f t="shared" si="43"/>
        <v>0</v>
      </c>
    </row>
    <row r="906" spans="1:7" x14ac:dyDescent="0.25">
      <c r="A906">
        <v>898</v>
      </c>
      <c r="B906" s="1">
        <v>35277</v>
      </c>
      <c r="C906" s="2">
        <v>271.71188667119026</v>
      </c>
      <c r="D906" s="2">
        <v>1</v>
      </c>
      <c r="E906">
        <f t="shared" ref="E906:E969" si="44">MONTH(B906)</f>
        <v>7</v>
      </c>
      <c r="F906">
        <f t="shared" ref="F906:F969" si="45">YEAR(B906)</f>
        <v>1996</v>
      </c>
      <c r="G906" s="2">
        <f t="shared" ref="G906:G969" si="46">IF(E906=2,C906*$G$5*28,IF(E906=3,C906*$G$5*31,0))</f>
        <v>0</v>
      </c>
    </row>
    <row r="907" spans="1:7" x14ac:dyDescent="0.25">
      <c r="A907">
        <v>899</v>
      </c>
      <c r="B907" s="1">
        <v>35308</v>
      </c>
      <c r="C907" s="2">
        <v>282.21761897027193</v>
      </c>
      <c r="D907" s="2">
        <v>1</v>
      </c>
      <c r="E907">
        <f t="shared" si="44"/>
        <v>8</v>
      </c>
      <c r="F907">
        <f t="shared" si="45"/>
        <v>1996</v>
      </c>
      <c r="G907" s="2">
        <f t="shared" si="46"/>
        <v>0</v>
      </c>
    </row>
    <row r="908" spans="1:7" x14ac:dyDescent="0.25">
      <c r="A908">
        <v>900</v>
      </c>
      <c r="B908" s="1">
        <v>35338</v>
      </c>
      <c r="C908" s="2">
        <v>245.18670139121073</v>
      </c>
      <c r="D908" s="2">
        <v>1</v>
      </c>
      <c r="E908">
        <f t="shared" si="44"/>
        <v>9</v>
      </c>
      <c r="F908">
        <f t="shared" si="45"/>
        <v>1996</v>
      </c>
      <c r="G908" s="2">
        <f t="shared" si="46"/>
        <v>0</v>
      </c>
    </row>
    <row r="909" spans="1:7" x14ac:dyDescent="0.25">
      <c r="A909">
        <v>901</v>
      </c>
      <c r="B909" s="1">
        <v>35369</v>
      </c>
      <c r="C909" s="2">
        <v>208.40764336055321</v>
      </c>
      <c r="D909" s="2">
        <v>1</v>
      </c>
      <c r="E909">
        <f t="shared" si="44"/>
        <v>10</v>
      </c>
      <c r="F909">
        <f t="shared" si="45"/>
        <v>1996</v>
      </c>
      <c r="G909" s="2">
        <f t="shared" si="46"/>
        <v>0</v>
      </c>
    </row>
    <row r="910" spans="1:7" x14ac:dyDescent="0.25">
      <c r="A910">
        <v>902</v>
      </c>
      <c r="B910" s="1">
        <v>35399</v>
      </c>
      <c r="C910" s="2">
        <v>139.9081154259168</v>
      </c>
      <c r="D910" s="2">
        <v>1</v>
      </c>
      <c r="E910">
        <f t="shared" si="44"/>
        <v>11</v>
      </c>
      <c r="F910">
        <f t="shared" si="45"/>
        <v>1996</v>
      </c>
      <c r="G910" s="2">
        <f t="shared" si="46"/>
        <v>0</v>
      </c>
    </row>
    <row r="911" spans="1:7" x14ac:dyDescent="0.25">
      <c r="A911">
        <v>903</v>
      </c>
      <c r="B911" s="1">
        <v>35430</v>
      </c>
      <c r="C911" s="2">
        <v>100.09781597435999</v>
      </c>
      <c r="D911" s="2">
        <v>1</v>
      </c>
      <c r="E911">
        <f t="shared" si="44"/>
        <v>12</v>
      </c>
      <c r="F911">
        <f t="shared" si="45"/>
        <v>1996</v>
      </c>
      <c r="G911" s="2">
        <f t="shared" si="46"/>
        <v>0</v>
      </c>
    </row>
    <row r="912" spans="1:7" x14ac:dyDescent="0.25">
      <c r="A912">
        <v>904</v>
      </c>
      <c r="B912" s="1">
        <v>35461</v>
      </c>
      <c r="C912" s="2">
        <v>94.480039683665979</v>
      </c>
      <c r="D912" s="2">
        <v>1</v>
      </c>
      <c r="E912">
        <f t="shared" si="44"/>
        <v>1</v>
      </c>
      <c r="F912">
        <f t="shared" si="45"/>
        <v>1997</v>
      </c>
      <c r="G912" s="2">
        <f t="shared" si="46"/>
        <v>0</v>
      </c>
    </row>
    <row r="913" spans="1:7" x14ac:dyDescent="0.25">
      <c r="A913">
        <v>905</v>
      </c>
      <c r="B913" s="1">
        <v>35489</v>
      </c>
      <c r="C913" s="2">
        <v>108.63618759646829</v>
      </c>
      <c r="D913" s="2">
        <v>1</v>
      </c>
      <c r="E913">
        <f t="shared" si="44"/>
        <v>2</v>
      </c>
      <c r="F913">
        <f t="shared" si="45"/>
        <v>1997</v>
      </c>
      <c r="G913" s="2">
        <f t="shared" si="46"/>
        <v>6033.3486003989001</v>
      </c>
    </row>
    <row r="914" spans="1:7" x14ac:dyDescent="0.25">
      <c r="A914">
        <v>906</v>
      </c>
      <c r="B914" s="1">
        <v>35520</v>
      </c>
      <c r="C914" s="2">
        <v>95.988743796674257</v>
      </c>
      <c r="D914" s="2">
        <v>1</v>
      </c>
      <c r="E914">
        <f t="shared" si="44"/>
        <v>3</v>
      </c>
      <c r="F914">
        <f t="shared" si="45"/>
        <v>1997</v>
      </c>
      <c r="G914" s="2">
        <f t="shared" si="46"/>
        <v>5902.1178003905497</v>
      </c>
    </row>
    <row r="915" spans="1:7" x14ac:dyDescent="0.25">
      <c r="A915">
        <v>907</v>
      </c>
      <c r="B915" s="1">
        <v>35550</v>
      </c>
      <c r="C915" s="2">
        <v>127.84175342511905</v>
      </c>
      <c r="D915" s="2">
        <v>1</v>
      </c>
      <c r="E915">
        <f t="shared" si="44"/>
        <v>4</v>
      </c>
      <c r="F915">
        <f t="shared" si="45"/>
        <v>1997</v>
      </c>
      <c r="G915" s="2">
        <f t="shared" si="46"/>
        <v>0</v>
      </c>
    </row>
    <row r="916" spans="1:7" x14ac:dyDescent="0.25">
      <c r="A916">
        <v>908</v>
      </c>
      <c r="B916" s="1">
        <v>35581</v>
      </c>
      <c r="C916" s="2">
        <v>173.69722718890347</v>
      </c>
      <c r="D916" s="2">
        <v>1</v>
      </c>
      <c r="E916">
        <f t="shared" si="44"/>
        <v>5</v>
      </c>
      <c r="F916">
        <f t="shared" si="45"/>
        <v>1997</v>
      </c>
      <c r="G916" s="2">
        <f t="shared" si="46"/>
        <v>0</v>
      </c>
    </row>
    <row r="917" spans="1:7" x14ac:dyDescent="0.25">
      <c r="A917">
        <v>909</v>
      </c>
      <c r="B917" s="1">
        <v>35611</v>
      </c>
      <c r="C917" s="2">
        <v>230.6382008485821</v>
      </c>
      <c r="D917" s="2">
        <v>1</v>
      </c>
      <c r="E917">
        <f t="shared" si="44"/>
        <v>6</v>
      </c>
      <c r="F917">
        <f t="shared" si="45"/>
        <v>1997</v>
      </c>
      <c r="G917" s="2">
        <f t="shared" si="46"/>
        <v>0</v>
      </c>
    </row>
    <row r="918" spans="1:7" x14ac:dyDescent="0.25">
      <c r="A918">
        <v>910</v>
      </c>
      <c r="B918" s="1">
        <v>35642</v>
      </c>
      <c r="C918" s="2">
        <v>271.7118866711902</v>
      </c>
      <c r="D918" s="2">
        <v>1</v>
      </c>
      <c r="E918">
        <f t="shared" si="44"/>
        <v>7</v>
      </c>
      <c r="F918">
        <f t="shared" si="45"/>
        <v>1997</v>
      </c>
      <c r="G918" s="2">
        <f t="shared" si="46"/>
        <v>0</v>
      </c>
    </row>
    <row r="919" spans="1:7" x14ac:dyDescent="0.25">
      <c r="A919">
        <v>911</v>
      </c>
      <c r="B919" s="1">
        <v>35673</v>
      </c>
      <c r="C919" s="2">
        <v>282.21761897027193</v>
      </c>
      <c r="D919" s="2">
        <v>1</v>
      </c>
      <c r="E919">
        <f t="shared" si="44"/>
        <v>8</v>
      </c>
      <c r="F919">
        <f t="shared" si="45"/>
        <v>1997</v>
      </c>
      <c r="G919" s="2">
        <f t="shared" si="46"/>
        <v>0</v>
      </c>
    </row>
    <row r="920" spans="1:7" x14ac:dyDescent="0.25">
      <c r="A920">
        <v>912</v>
      </c>
      <c r="B920" s="1">
        <v>35703</v>
      </c>
      <c r="C920" s="2">
        <v>245.18670139121073</v>
      </c>
      <c r="D920" s="2">
        <v>1</v>
      </c>
      <c r="E920">
        <f t="shared" si="44"/>
        <v>9</v>
      </c>
      <c r="F920">
        <f t="shared" si="45"/>
        <v>1997</v>
      </c>
      <c r="G920" s="2">
        <f t="shared" si="46"/>
        <v>0</v>
      </c>
    </row>
    <row r="921" spans="1:7" x14ac:dyDescent="0.25">
      <c r="A921">
        <v>913</v>
      </c>
      <c r="B921" s="1">
        <v>35734</v>
      </c>
      <c r="C921" s="2">
        <v>208.40764336055321</v>
      </c>
      <c r="D921" s="2">
        <v>1</v>
      </c>
      <c r="E921">
        <f t="shared" si="44"/>
        <v>10</v>
      </c>
      <c r="F921">
        <f t="shared" si="45"/>
        <v>1997</v>
      </c>
      <c r="G921" s="2">
        <f t="shared" si="46"/>
        <v>0</v>
      </c>
    </row>
    <row r="922" spans="1:7" x14ac:dyDescent="0.25">
      <c r="A922">
        <v>914</v>
      </c>
      <c r="B922" s="1">
        <v>35764</v>
      </c>
      <c r="C922" s="2">
        <v>139.9081154259168</v>
      </c>
      <c r="D922" s="2">
        <v>1</v>
      </c>
      <c r="E922">
        <f t="shared" si="44"/>
        <v>11</v>
      </c>
      <c r="F922">
        <f t="shared" si="45"/>
        <v>1997</v>
      </c>
      <c r="G922" s="2">
        <f t="shared" si="46"/>
        <v>0</v>
      </c>
    </row>
    <row r="923" spans="1:7" x14ac:dyDescent="0.25">
      <c r="A923">
        <v>915</v>
      </c>
      <c r="B923" s="1">
        <v>35795</v>
      </c>
      <c r="C923" s="2">
        <v>100.09781597435999</v>
      </c>
      <c r="D923" s="2">
        <v>1</v>
      </c>
      <c r="E923">
        <f t="shared" si="44"/>
        <v>12</v>
      </c>
      <c r="F923">
        <f t="shared" si="45"/>
        <v>1997</v>
      </c>
      <c r="G923" s="2">
        <f t="shared" si="46"/>
        <v>0</v>
      </c>
    </row>
    <row r="924" spans="1:7" x14ac:dyDescent="0.25">
      <c r="A924">
        <v>916</v>
      </c>
      <c r="B924" s="1">
        <v>35826</v>
      </c>
      <c r="C924" s="2">
        <v>94.480039683665979</v>
      </c>
      <c r="D924" s="2">
        <v>1</v>
      </c>
      <c r="E924">
        <f t="shared" si="44"/>
        <v>1</v>
      </c>
      <c r="F924">
        <f t="shared" si="45"/>
        <v>1998</v>
      </c>
      <c r="G924" s="2">
        <f t="shared" si="46"/>
        <v>0</v>
      </c>
    </row>
    <row r="925" spans="1:7" x14ac:dyDescent="0.25">
      <c r="A925">
        <v>917</v>
      </c>
      <c r="B925" s="1">
        <v>35854</v>
      </c>
      <c r="C925" s="2">
        <v>108.63618759646828</v>
      </c>
      <c r="D925" s="2">
        <v>1</v>
      </c>
      <c r="E925">
        <f t="shared" si="44"/>
        <v>2</v>
      </c>
      <c r="F925">
        <f t="shared" si="45"/>
        <v>1998</v>
      </c>
      <c r="G925" s="2">
        <f t="shared" si="46"/>
        <v>6033.3486003989001</v>
      </c>
    </row>
    <row r="926" spans="1:7" x14ac:dyDescent="0.25">
      <c r="A926">
        <v>918</v>
      </c>
      <c r="B926" s="1">
        <v>35885</v>
      </c>
      <c r="C926" s="2">
        <v>95.988743796676246</v>
      </c>
      <c r="D926" s="2">
        <v>1</v>
      </c>
      <c r="E926">
        <f t="shared" si="44"/>
        <v>3</v>
      </c>
      <c r="F926">
        <f t="shared" si="45"/>
        <v>1998</v>
      </c>
      <c r="G926" s="2">
        <f t="shared" si="46"/>
        <v>5902.1178003906725</v>
      </c>
    </row>
    <row r="927" spans="1:7" x14ac:dyDescent="0.25">
      <c r="A927">
        <v>919</v>
      </c>
      <c r="B927" s="1">
        <v>35915</v>
      </c>
      <c r="C927" s="2">
        <v>127.84175342511905</v>
      </c>
      <c r="D927" s="2">
        <v>1</v>
      </c>
      <c r="E927">
        <f t="shared" si="44"/>
        <v>4</v>
      </c>
      <c r="F927">
        <f t="shared" si="45"/>
        <v>1998</v>
      </c>
      <c r="G927" s="2">
        <f t="shared" si="46"/>
        <v>0</v>
      </c>
    </row>
    <row r="928" spans="1:7" x14ac:dyDescent="0.25">
      <c r="A928">
        <v>920</v>
      </c>
      <c r="B928" s="1">
        <v>35946</v>
      </c>
      <c r="C928" s="2">
        <v>173.69722718890347</v>
      </c>
      <c r="D928" s="2">
        <v>1</v>
      </c>
      <c r="E928">
        <f t="shared" si="44"/>
        <v>5</v>
      </c>
      <c r="F928">
        <f t="shared" si="45"/>
        <v>1998</v>
      </c>
      <c r="G928" s="2">
        <f t="shared" si="46"/>
        <v>0</v>
      </c>
    </row>
    <row r="929" spans="1:7" x14ac:dyDescent="0.25">
      <c r="A929">
        <v>921</v>
      </c>
      <c r="B929" s="1">
        <v>35976</v>
      </c>
      <c r="C929" s="2">
        <v>230.63820084858216</v>
      </c>
      <c r="D929" s="2">
        <v>1</v>
      </c>
      <c r="E929">
        <f t="shared" si="44"/>
        <v>6</v>
      </c>
      <c r="F929">
        <f t="shared" si="45"/>
        <v>1998</v>
      </c>
      <c r="G929" s="2">
        <f t="shared" si="46"/>
        <v>0</v>
      </c>
    </row>
    <row r="930" spans="1:7" x14ac:dyDescent="0.25">
      <c r="A930">
        <v>922</v>
      </c>
      <c r="B930" s="1">
        <v>36007</v>
      </c>
      <c r="C930" s="2">
        <v>271.71188667119026</v>
      </c>
      <c r="D930" s="2">
        <v>1</v>
      </c>
      <c r="E930">
        <f t="shared" si="44"/>
        <v>7</v>
      </c>
      <c r="F930">
        <f t="shared" si="45"/>
        <v>1998</v>
      </c>
      <c r="G930" s="2">
        <f t="shared" si="46"/>
        <v>0</v>
      </c>
    </row>
    <row r="931" spans="1:7" x14ac:dyDescent="0.25">
      <c r="A931">
        <v>923</v>
      </c>
      <c r="B931" s="1">
        <v>36038</v>
      </c>
      <c r="C931" s="2">
        <v>282.21761897027193</v>
      </c>
      <c r="D931" s="2">
        <v>1</v>
      </c>
      <c r="E931">
        <f t="shared" si="44"/>
        <v>8</v>
      </c>
      <c r="F931">
        <f t="shared" si="45"/>
        <v>1998</v>
      </c>
      <c r="G931" s="2">
        <f t="shared" si="46"/>
        <v>0</v>
      </c>
    </row>
    <row r="932" spans="1:7" x14ac:dyDescent="0.25">
      <c r="A932">
        <v>924</v>
      </c>
      <c r="B932" s="1">
        <v>36068</v>
      </c>
      <c r="C932" s="2">
        <v>245.18670139121073</v>
      </c>
      <c r="D932" s="2">
        <v>1</v>
      </c>
      <c r="E932">
        <f t="shared" si="44"/>
        <v>9</v>
      </c>
      <c r="F932">
        <f t="shared" si="45"/>
        <v>1998</v>
      </c>
      <c r="G932" s="2">
        <f t="shared" si="46"/>
        <v>0</v>
      </c>
    </row>
    <row r="933" spans="1:7" x14ac:dyDescent="0.25">
      <c r="A933">
        <v>925</v>
      </c>
      <c r="B933" s="1">
        <v>36099</v>
      </c>
      <c r="C933" s="2">
        <v>208.40764336055321</v>
      </c>
      <c r="D933" s="2">
        <v>1</v>
      </c>
      <c r="E933">
        <f t="shared" si="44"/>
        <v>10</v>
      </c>
      <c r="F933">
        <f t="shared" si="45"/>
        <v>1998</v>
      </c>
      <c r="G933" s="2">
        <f t="shared" si="46"/>
        <v>0</v>
      </c>
    </row>
    <row r="934" spans="1:7" x14ac:dyDescent="0.25">
      <c r="A934">
        <v>926</v>
      </c>
      <c r="B934" s="1">
        <v>36129</v>
      </c>
      <c r="C934" s="2">
        <v>139.9081154259168</v>
      </c>
      <c r="D934" s="2">
        <v>1</v>
      </c>
      <c r="E934">
        <f t="shared" si="44"/>
        <v>11</v>
      </c>
      <c r="F934">
        <f t="shared" si="45"/>
        <v>1998</v>
      </c>
      <c r="G934" s="2">
        <f t="shared" si="46"/>
        <v>0</v>
      </c>
    </row>
    <row r="935" spans="1:7" x14ac:dyDescent="0.25">
      <c r="A935">
        <v>927</v>
      </c>
      <c r="B935" s="1">
        <v>36160</v>
      </c>
      <c r="C935" s="2">
        <v>100.09781597435999</v>
      </c>
      <c r="D935" s="2">
        <v>1</v>
      </c>
      <c r="E935">
        <f t="shared" si="44"/>
        <v>12</v>
      </c>
      <c r="F935">
        <f t="shared" si="45"/>
        <v>1998</v>
      </c>
      <c r="G935" s="2">
        <f t="shared" si="46"/>
        <v>0</v>
      </c>
    </row>
    <row r="936" spans="1:7" x14ac:dyDescent="0.25">
      <c r="A936">
        <v>928</v>
      </c>
      <c r="B936" s="1">
        <v>36191</v>
      </c>
      <c r="C936" s="2">
        <v>94.480039683665964</v>
      </c>
      <c r="D936" s="2">
        <v>1</v>
      </c>
      <c r="E936">
        <f t="shared" si="44"/>
        <v>1</v>
      </c>
      <c r="F936">
        <f t="shared" si="45"/>
        <v>1999</v>
      </c>
      <c r="G936" s="2">
        <f t="shared" si="46"/>
        <v>0</v>
      </c>
    </row>
    <row r="937" spans="1:7" x14ac:dyDescent="0.25">
      <c r="A937">
        <v>929</v>
      </c>
      <c r="B937" s="1">
        <v>36219</v>
      </c>
      <c r="C937" s="2">
        <v>108.63618759646826</v>
      </c>
      <c r="D937" s="2">
        <v>1</v>
      </c>
      <c r="E937">
        <f t="shared" si="44"/>
        <v>2</v>
      </c>
      <c r="F937">
        <f t="shared" si="45"/>
        <v>1999</v>
      </c>
      <c r="G937" s="2">
        <f t="shared" si="46"/>
        <v>6033.3486003988992</v>
      </c>
    </row>
    <row r="938" spans="1:7" x14ac:dyDescent="0.25">
      <c r="A938">
        <v>930</v>
      </c>
      <c r="B938" s="1">
        <v>36250</v>
      </c>
      <c r="C938" s="2">
        <v>95.988743796675294</v>
      </c>
      <c r="D938" s="2">
        <v>1</v>
      </c>
      <c r="E938">
        <f t="shared" si="44"/>
        <v>3</v>
      </c>
      <c r="F938">
        <f t="shared" si="45"/>
        <v>1999</v>
      </c>
      <c r="G938" s="2">
        <f t="shared" si="46"/>
        <v>5902.1178003906134</v>
      </c>
    </row>
    <row r="939" spans="1:7" x14ac:dyDescent="0.25">
      <c r="A939">
        <v>931</v>
      </c>
      <c r="B939" s="1">
        <v>36280</v>
      </c>
      <c r="C939" s="2">
        <v>127.84175342511905</v>
      </c>
      <c r="D939" s="2">
        <v>1</v>
      </c>
      <c r="E939">
        <f t="shared" si="44"/>
        <v>4</v>
      </c>
      <c r="F939">
        <f t="shared" si="45"/>
        <v>1999</v>
      </c>
      <c r="G939" s="2">
        <f t="shared" si="46"/>
        <v>0</v>
      </c>
    </row>
    <row r="940" spans="1:7" x14ac:dyDescent="0.25">
      <c r="A940">
        <v>932</v>
      </c>
      <c r="B940" s="1">
        <v>36311</v>
      </c>
      <c r="C940" s="2">
        <v>173.69722718890347</v>
      </c>
      <c r="D940" s="2">
        <v>0.99999999999999989</v>
      </c>
      <c r="E940">
        <f t="shared" si="44"/>
        <v>5</v>
      </c>
      <c r="F940">
        <f t="shared" si="45"/>
        <v>1999</v>
      </c>
      <c r="G940" s="2">
        <f t="shared" si="46"/>
        <v>0</v>
      </c>
    </row>
    <row r="941" spans="1:7" x14ac:dyDescent="0.25">
      <c r="A941">
        <v>933</v>
      </c>
      <c r="B941" s="1">
        <v>36341</v>
      </c>
      <c r="C941" s="2">
        <v>230.63820084858213</v>
      </c>
      <c r="D941" s="2">
        <v>0.99999999999999989</v>
      </c>
      <c r="E941">
        <f t="shared" si="44"/>
        <v>6</v>
      </c>
      <c r="F941">
        <f t="shared" si="45"/>
        <v>1999</v>
      </c>
      <c r="G941" s="2">
        <f t="shared" si="46"/>
        <v>0</v>
      </c>
    </row>
    <row r="942" spans="1:7" x14ac:dyDescent="0.25">
      <c r="A942">
        <v>934</v>
      </c>
      <c r="B942" s="1">
        <v>36372</v>
      </c>
      <c r="C942" s="2">
        <v>271.71188667119026</v>
      </c>
      <c r="D942" s="2">
        <v>1</v>
      </c>
      <c r="E942">
        <f t="shared" si="44"/>
        <v>7</v>
      </c>
      <c r="F942">
        <f t="shared" si="45"/>
        <v>1999</v>
      </c>
      <c r="G942" s="2">
        <f t="shared" si="46"/>
        <v>0</v>
      </c>
    </row>
    <row r="943" spans="1:7" x14ac:dyDescent="0.25">
      <c r="A943">
        <v>935</v>
      </c>
      <c r="B943" s="1">
        <v>36403</v>
      </c>
      <c r="C943" s="2">
        <v>282.21761897027193</v>
      </c>
      <c r="D943" s="2">
        <v>1</v>
      </c>
      <c r="E943">
        <f t="shared" si="44"/>
        <v>8</v>
      </c>
      <c r="F943">
        <f t="shared" si="45"/>
        <v>1999</v>
      </c>
      <c r="G943" s="2">
        <f t="shared" si="46"/>
        <v>0</v>
      </c>
    </row>
    <row r="944" spans="1:7" x14ac:dyDescent="0.25">
      <c r="A944">
        <v>936</v>
      </c>
      <c r="B944" s="1">
        <v>36433</v>
      </c>
      <c r="C944" s="2">
        <v>245.1867013912107</v>
      </c>
      <c r="D944" s="2">
        <v>1</v>
      </c>
      <c r="E944">
        <f t="shared" si="44"/>
        <v>9</v>
      </c>
      <c r="F944">
        <f t="shared" si="45"/>
        <v>1999</v>
      </c>
      <c r="G944" s="2">
        <f t="shared" si="46"/>
        <v>0</v>
      </c>
    </row>
    <row r="945" spans="1:7" x14ac:dyDescent="0.25">
      <c r="A945">
        <v>937</v>
      </c>
      <c r="B945" s="1">
        <v>36464</v>
      </c>
      <c r="C945" s="2">
        <v>208.40764336055315</v>
      </c>
      <c r="D945" s="2">
        <v>1</v>
      </c>
      <c r="E945">
        <f t="shared" si="44"/>
        <v>10</v>
      </c>
      <c r="F945">
        <f t="shared" si="45"/>
        <v>1999</v>
      </c>
      <c r="G945" s="2">
        <f t="shared" si="46"/>
        <v>0</v>
      </c>
    </row>
    <row r="946" spans="1:7" x14ac:dyDescent="0.25">
      <c r="A946">
        <v>938</v>
      </c>
      <c r="B946" s="1">
        <v>36494</v>
      </c>
      <c r="C946" s="2">
        <v>139.9081154259168</v>
      </c>
      <c r="D946" s="2">
        <v>1</v>
      </c>
      <c r="E946">
        <f t="shared" si="44"/>
        <v>11</v>
      </c>
      <c r="F946">
        <f t="shared" si="45"/>
        <v>1999</v>
      </c>
      <c r="G946" s="2">
        <f t="shared" si="46"/>
        <v>0</v>
      </c>
    </row>
    <row r="947" spans="1:7" x14ac:dyDescent="0.25">
      <c r="A947">
        <v>939</v>
      </c>
      <c r="B947" s="1">
        <v>36525</v>
      </c>
      <c r="C947" s="2">
        <v>100.09781597435999</v>
      </c>
      <c r="D947" s="2">
        <v>1</v>
      </c>
      <c r="E947">
        <f t="shared" si="44"/>
        <v>12</v>
      </c>
      <c r="F947">
        <f t="shared" si="45"/>
        <v>1999</v>
      </c>
      <c r="G947" s="2">
        <f t="shared" si="46"/>
        <v>0</v>
      </c>
    </row>
    <row r="948" spans="1:7" x14ac:dyDescent="0.25">
      <c r="A948">
        <v>940</v>
      </c>
      <c r="B948" s="1">
        <v>36556</v>
      </c>
      <c r="C948" s="2">
        <v>94.480039683665979</v>
      </c>
      <c r="D948" s="2">
        <v>1</v>
      </c>
      <c r="E948">
        <f t="shared" si="44"/>
        <v>1</v>
      </c>
      <c r="F948">
        <f t="shared" si="45"/>
        <v>2000</v>
      </c>
      <c r="G948" s="2">
        <f t="shared" si="46"/>
        <v>0</v>
      </c>
    </row>
    <row r="949" spans="1:7" x14ac:dyDescent="0.25">
      <c r="A949">
        <v>941</v>
      </c>
      <c r="B949" s="1">
        <v>36585</v>
      </c>
      <c r="C949" s="2">
        <v>104.8901121621073</v>
      </c>
      <c r="D949" s="2">
        <v>1</v>
      </c>
      <c r="E949">
        <f t="shared" si="44"/>
        <v>2</v>
      </c>
      <c r="F949">
        <f t="shared" si="45"/>
        <v>2000</v>
      </c>
      <c r="G949" s="2">
        <f t="shared" si="46"/>
        <v>5825.3020969368681</v>
      </c>
    </row>
    <row r="950" spans="1:7" x14ac:dyDescent="0.25">
      <c r="A950">
        <v>942</v>
      </c>
      <c r="B950" s="1">
        <v>36616</v>
      </c>
      <c r="C950" s="2">
        <v>96.914806888133896</v>
      </c>
      <c r="D950" s="2">
        <v>0.9360705916765566</v>
      </c>
      <c r="E950">
        <f t="shared" si="44"/>
        <v>3</v>
      </c>
      <c r="F950">
        <f t="shared" si="45"/>
        <v>2000</v>
      </c>
      <c r="G950" s="2">
        <f t="shared" si="46"/>
        <v>5959.0592003943484</v>
      </c>
    </row>
    <row r="951" spans="1:7" x14ac:dyDescent="0.25">
      <c r="A951">
        <v>943</v>
      </c>
      <c r="B951" s="1">
        <v>36646</v>
      </c>
      <c r="C951" s="2">
        <v>140.91721845376131</v>
      </c>
      <c r="D951" s="2">
        <v>1</v>
      </c>
      <c r="E951">
        <f t="shared" si="44"/>
        <v>4</v>
      </c>
      <c r="F951">
        <f t="shared" si="45"/>
        <v>2000</v>
      </c>
      <c r="G951" s="2">
        <f t="shared" si="46"/>
        <v>0</v>
      </c>
    </row>
    <row r="952" spans="1:7" x14ac:dyDescent="0.25">
      <c r="A952">
        <v>944</v>
      </c>
      <c r="B952" s="1">
        <v>36677</v>
      </c>
      <c r="C952" s="2">
        <v>172.19561393611605</v>
      </c>
      <c r="D952" s="2">
        <v>1</v>
      </c>
      <c r="E952">
        <f t="shared" si="44"/>
        <v>5</v>
      </c>
      <c r="F952">
        <f t="shared" si="45"/>
        <v>2000</v>
      </c>
      <c r="G952" s="2">
        <f t="shared" si="46"/>
        <v>0</v>
      </c>
    </row>
    <row r="953" spans="1:7" x14ac:dyDescent="0.25">
      <c r="A953">
        <v>945</v>
      </c>
      <c r="B953" s="1">
        <v>36707</v>
      </c>
      <c r="C953" s="2">
        <v>249.30857479426103</v>
      </c>
      <c r="D953" s="2">
        <v>1</v>
      </c>
      <c r="E953">
        <f t="shared" si="44"/>
        <v>6</v>
      </c>
      <c r="F953">
        <f t="shared" si="45"/>
        <v>2000</v>
      </c>
      <c r="G953" s="2">
        <f t="shared" si="46"/>
        <v>0</v>
      </c>
    </row>
    <row r="954" spans="1:7" x14ac:dyDescent="0.25">
      <c r="A954">
        <v>946</v>
      </c>
      <c r="B954" s="1">
        <v>36738</v>
      </c>
      <c r="C954" s="2">
        <v>274.69602802891444</v>
      </c>
      <c r="D954" s="2">
        <v>1</v>
      </c>
      <c r="E954">
        <f t="shared" si="44"/>
        <v>7</v>
      </c>
      <c r="F954">
        <f t="shared" si="45"/>
        <v>2000</v>
      </c>
      <c r="G954" s="2">
        <f t="shared" si="46"/>
        <v>0</v>
      </c>
    </row>
    <row r="955" spans="1:7" x14ac:dyDescent="0.25">
      <c r="A955">
        <v>947</v>
      </c>
      <c r="B955" s="1">
        <v>36769</v>
      </c>
      <c r="C955" s="2">
        <v>284.25012948115898</v>
      </c>
      <c r="D955" s="2">
        <v>1</v>
      </c>
      <c r="E955">
        <f t="shared" si="44"/>
        <v>8</v>
      </c>
      <c r="F955">
        <f t="shared" si="45"/>
        <v>2000</v>
      </c>
      <c r="G955" s="2">
        <f t="shared" si="46"/>
        <v>0</v>
      </c>
    </row>
    <row r="956" spans="1:7" x14ac:dyDescent="0.25">
      <c r="A956">
        <v>948</v>
      </c>
      <c r="B956" s="1">
        <v>36799</v>
      </c>
      <c r="C956" s="2">
        <v>251.09751946104601</v>
      </c>
      <c r="D956" s="2">
        <v>1</v>
      </c>
      <c r="E956">
        <f t="shared" si="44"/>
        <v>9</v>
      </c>
      <c r="F956">
        <f t="shared" si="45"/>
        <v>2000</v>
      </c>
      <c r="G956" s="2">
        <f t="shared" si="46"/>
        <v>0</v>
      </c>
    </row>
    <row r="957" spans="1:7" x14ac:dyDescent="0.25">
      <c r="A957">
        <v>949</v>
      </c>
      <c r="B957" s="1">
        <v>36830</v>
      </c>
      <c r="C957" s="2">
        <v>215.12985528304068</v>
      </c>
      <c r="D957" s="2">
        <v>1</v>
      </c>
      <c r="E957">
        <f t="shared" si="44"/>
        <v>10</v>
      </c>
      <c r="F957">
        <f t="shared" si="45"/>
        <v>2000</v>
      </c>
      <c r="G957" s="2">
        <f t="shared" si="46"/>
        <v>0</v>
      </c>
    </row>
    <row r="958" spans="1:7" x14ac:dyDescent="0.25">
      <c r="A958">
        <v>950</v>
      </c>
      <c r="B958" s="1">
        <v>36860</v>
      </c>
      <c r="C958" s="2">
        <v>152.24052617673215</v>
      </c>
      <c r="D958" s="2">
        <v>1</v>
      </c>
      <c r="E958">
        <f t="shared" si="44"/>
        <v>11</v>
      </c>
      <c r="F958">
        <f t="shared" si="45"/>
        <v>2000</v>
      </c>
      <c r="G958" s="2">
        <f t="shared" si="46"/>
        <v>0</v>
      </c>
    </row>
    <row r="959" spans="1:7" x14ac:dyDescent="0.25">
      <c r="A959">
        <v>951</v>
      </c>
      <c r="B959" s="1">
        <v>36891</v>
      </c>
      <c r="C959" s="2">
        <v>138.92959785864781</v>
      </c>
      <c r="D959" s="2">
        <v>1</v>
      </c>
      <c r="E959">
        <f t="shared" si="44"/>
        <v>12</v>
      </c>
      <c r="F959">
        <f t="shared" si="45"/>
        <v>2000</v>
      </c>
      <c r="G959" s="2">
        <f t="shared" si="46"/>
        <v>0</v>
      </c>
    </row>
    <row r="960" spans="1:7" x14ac:dyDescent="0.25">
      <c r="A960">
        <v>952</v>
      </c>
      <c r="B960" s="1">
        <v>36922</v>
      </c>
      <c r="C960" s="2">
        <v>110.24576070621373</v>
      </c>
      <c r="D960" s="2">
        <v>1</v>
      </c>
      <c r="E960">
        <f t="shared" si="44"/>
        <v>1</v>
      </c>
      <c r="F960">
        <f t="shared" si="45"/>
        <v>2001</v>
      </c>
      <c r="G960" s="2">
        <f t="shared" si="46"/>
        <v>0</v>
      </c>
    </row>
    <row r="961" spans="1:7" x14ac:dyDescent="0.25">
      <c r="A961">
        <v>953</v>
      </c>
      <c r="B961" s="1">
        <v>36950</v>
      </c>
      <c r="C961" s="2">
        <v>102.91438209013761</v>
      </c>
      <c r="D961" s="2">
        <v>0.94326080937205237</v>
      </c>
      <c r="E961">
        <f t="shared" si="44"/>
        <v>2</v>
      </c>
      <c r="F961">
        <f t="shared" si="45"/>
        <v>2001</v>
      </c>
      <c r="G961" s="2">
        <f t="shared" si="46"/>
        <v>5715.5756003778906</v>
      </c>
    </row>
    <row r="962" spans="1:7" x14ac:dyDescent="0.25">
      <c r="A962">
        <v>954</v>
      </c>
      <c r="B962" s="1">
        <v>36981</v>
      </c>
      <c r="C962" s="2">
        <v>123.59371307269384</v>
      </c>
      <c r="D962" s="2">
        <v>0.52716538688879466</v>
      </c>
      <c r="E962">
        <f t="shared" si="44"/>
        <v>3</v>
      </c>
      <c r="F962">
        <f t="shared" si="45"/>
        <v>2001</v>
      </c>
      <c r="G962" s="2">
        <f t="shared" si="46"/>
        <v>7599.481200502828</v>
      </c>
    </row>
    <row r="963" spans="1:7" x14ac:dyDescent="0.25">
      <c r="A963">
        <v>955</v>
      </c>
      <c r="B963" s="1">
        <v>37011</v>
      </c>
      <c r="C963" s="2">
        <v>181.23525201198254</v>
      </c>
      <c r="D963" s="2">
        <v>0.85986032601646301</v>
      </c>
      <c r="E963">
        <f t="shared" si="44"/>
        <v>4</v>
      </c>
      <c r="F963">
        <f t="shared" si="45"/>
        <v>2001</v>
      </c>
      <c r="G963" s="2">
        <f t="shared" si="46"/>
        <v>0</v>
      </c>
    </row>
    <row r="964" spans="1:7" x14ac:dyDescent="0.25">
      <c r="A964">
        <v>956</v>
      </c>
      <c r="B964" s="1">
        <v>37042</v>
      </c>
      <c r="C964" s="2">
        <v>220.07156033713082</v>
      </c>
      <c r="D964" s="2">
        <v>1</v>
      </c>
      <c r="E964">
        <f t="shared" si="44"/>
        <v>5</v>
      </c>
      <c r="F964">
        <f t="shared" si="45"/>
        <v>2001</v>
      </c>
      <c r="G964" s="2">
        <f t="shared" si="46"/>
        <v>0</v>
      </c>
    </row>
    <row r="965" spans="1:7" x14ac:dyDescent="0.25">
      <c r="A965">
        <v>957</v>
      </c>
      <c r="B965" s="1">
        <v>37072</v>
      </c>
      <c r="C965" s="2">
        <v>257.70906701703859</v>
      </c>
      <c r="D965" s="2">
        <v>1</v>
      </c>
      <c r="E965">
        <f t="shared" si="44"/>
        <v>6</v>
      </c>
      <c r="F965">
        <f t="shared" si="45"/>
        <v>2001</v>
      </c>
      <c r="G965" s="2">
        <f t="shared" si="46"/>
        <v>0</v>
      </c>
    </row>
    <row r="966" spans="1:7" x14ac:dyDescent="0.25">
      <c r="A966">
        <v>958</v>
      </c>
      <c r="B966" s="1">
        <v>37103</v>
      </c>
      <c r="C966" s="2">
        <v>288.24290179325095</v>
      </c>
      <c r="D966" s="2">
        <v>1</v>
      </c>
      <c r="E966">
        <f t="shared" si="44"/>
        <v>7</v>
      </c>
      <c r="F966">
        <f t="shared" si="45"/>
        <v>2001</v>
      </c>
      <c r="G966" s="2">
        <f t="shared" si="46"/>
        <v>0</v>
      </c>
    </row>
    <row r="967" spans="1:7" x14ac:dyDescent="0.25">
      <c r="A967">
        <v>959</v>
      </c>
      <c r="B967" s="1">
        <v>37134</v>
      </c>
      <c r="C967" s="2">
        <v>279.99483921206041</v>
      </c>
      <c r="D967" s="2">
        <v>1</v>
      </c>
      <c r="E967">
        <f t="shared" si="44"/>
        <v>8</v>
      </c>
      <c r="F967">
        <f t="shared" si="45"/>
        <v>2001</v>
      </c>
      <c r="G967" s="2">
        <f t="shared" si="46"/>
        <v>0</v>
      </c>
    </row>
    <row r="968" spans="1:7" x14ac:dyDescent="0.25">
      <c r="A968">
        <v>960</v>
      </c>
      <c r="B968" s="1">
        <v>37164</v>
      </c>
      <c r="C968" s="2">
        <v>253.56663201676474</v>
      </c>
      <c r="D968" s="2">
        <v>1</v>
      </c>
      <c r="E968">
        <f t="shared" si="44"/>
        <v>9</v>
      </c>
      <c r="F968">
        <f t="shared" si="45"/>
        <v>2001</v>
      </c>
      <c r="G968" s="2">
        <f t="shared" si="46"/>
        <v>0</v>
      </c>
    </row>
    <row r="969" spans="1:7" x14ac:dyDescent="0.25">
      <c r="A969">
        <v>961</v>
      </c>
      <c r="B969" s="1">
        <v>37195</v>
      </c>
      <c r="C969" s="2">
        <v>216.07475469170529</v>
      </c>
      <c r="D969" s="2">
        <v>1</v>
      </c>
      <c r="E969">
        <f t="shared" si="44"/>
        <v>10</v>
      </c>
      <c r="F969">
        <f t="shared" si="45"/>
        <v>2001</v>
      </c>
      <c r="G969" s="2">
        <f t="shared" si="46"/>
        <v>0</v>
      </c>
    </row>
    <row r="970" spans="1:7" x14ac:dyDescent="0.25">
      <c r="A970">
        <v>962</v>
      </c>
      <c r="B970" s="1">
        <v>37225</v>
      </c>
      <c r="C970" s="2">
        <v>174.85540601156069</v>
      </c>
      <c r="D970" s="2">
        <v>1</v>
      </c>
      <c r="E970">
        <f t="shared" ref="E970:E1033" si="47">MONTH(B970)</f>
        <v>11</v>
      </c>
      <c r="F970">
        <f t="shared" ref="F970:F1033" si="48">YEAR(B970)</f>
        <v>2001</v>
      </c>
      <c r="G970" s="2">
        <f t="shared" ref="G970:G1033" si="49">IF(E970=2,C970*$G$5*28,IF(E970=3,C970*$G$5*31,0))</f>
        <v>0</v>
      </c>
    </row>
    <row r="971" spans="1:7" x14ac:dyDescent="0.25">
      <c r="A971">
        <v>963</v>
      </c>
      <c r="B971" s="1">
        <v>37256</v>
      </c>
      <c r="C971" s="2">
        <v>153.1868782359345</v>
      </c>
      <c r="D971" s="2">
        <v>1</v>
      </c>
      <c r="E971">
        <f t="shared" si="47"/>
        <v>12</v>
      </c>
      <c r="F971">
        <f t="shared" si="48"/>
        <v>2001</v>
      </c>
      <c r="G971" s="2">
        <f t="shared" si="49"/>
        <v>0</v>
      </c>
    </row>
    <row r="972" spans="1:7" x14ac:dyDescent="0.25">
      <c r="A972">
        <v>964</v>
      </c>
      <c r="B972" s="1">
        <v>37287</v>
      </c>
      <c r="C972" s="2">
        <v>148.33069936464571</v>
      </c>
      <c r="D972" s="2">
        <v>1</v>
      </c>
      <c r="E972">
        <f t="shared" si="47"/>
        <v>1</v>
      </c>
      <c r="F972">
        <f t="shared" si="48"/>
        <v>2002</v>
      </c>
      <c r="G972" s="2">
        <f t="shared" si="49"/>
        <v>0</v>
      </c>
    </row>
    <row r="973" spans="1:7" x14ac:dyDescent="0.25">
      <c r="A973">
        <v>965</v>
      </c>
      <c r="B973" s="1">
        <v>37315</v>
      </c>
      <c r="C973" s="2">
        <v>145.70191233106175</v>
      </c>
      <c r="D973" s="2">
        <v>1</v>
      </c>
      <c r="E973">
        <f t="shared" si="47"/>
        <v>2</v>
      </c>
      <c r="F973">
        <f t="shared" si="48"/>
        <v>2002</v>
      </c>
      <c r="G973" s="2">
        <f t="shared" si="49"/>
        <v>8091.8748005349989</v>
      </c>
    </row>
    <row r="974" spans="1:7" x14ac:dyDescent="0.25">
      <c r="A974">
        <v>966</v>
      </c>
      <c r="B974" s="1">
        <v>37346</v>
      </c>
      <c r="C974" s="2">
        <v>106.88716825976061</v>
      </c>
      <c r="D974" s="2">
        <v>0.93543150937053554</v>
      </c>
      <c r="E974">
        <f t="shared" si="47"/>
        <v>3</v>
      </c>
      <c r="F974">
        <f t="shared" si="48"/>
        <v>2002</v>
      </c>
      <c r="G974" s="2">
        <f t="shared" si="49"/>
        <v>6572.235800434868</v>
      </c>
    </row>
    <row r="975" spans="1:7" x14ac:dyDescent="0.25">
      <c r="A975">
        <v>967</v>
      </c>
      <c r="B975" s="1">
        <v>37376</v>
      </c>
      <c r="C975" s="2">
        <v>155.35965745471617</v>
      </c>
      <c r="D975" s="2">
        <v>1</v>
      </c>
      <c r="E975">
        <f t="shared" si="47"/>
        <v>4</v>
      </c>
      <c r="F975">
        <f t="shared" si="48"/>
        <v>2002</v>
      </c>
      <c r="G975" s="2">
        <f t="shared" si="49"/>
        <v>0</v>
      </c>
    </row>
    <row r="976" spans="1:7" x14ac:dyDescent="0.25">
      <c r="A976">
        <v>968</v>
      </c>
      <c r="B976" s="1">
        <v>37407</v>
      </c>
      <c r="C976" s="2">
        <v>220.07156033713085</v>
      </c>
      <c r="D976" s="2">
        <v>1</v>
      </c>
      <c r="E976">
        <f t="shared" si="47"/>
        <v>5</v>
      </c>
      <c r="F976">
        <f t="shared" si="48"/>
        <v>2002</v>
      </c>
      <c r="G976" s="2">
        <f t="shared" si="49"/>
        <v>0</v>
      </c>
    </row>
    <row r="977" spans="1:7" x14ac:dyDescent="0.25">
      <c r="A977">
        <v>969</v>
      </c>
      <c r="B977" s="1">
        <v>37437</v>
      </c>
      <c r="C977" s="2">
        <v>257.70906701703865</v>
      </c>
      <c r="D977" s="2">
        <v>1</v>
      </c>
      <c r="E977">
        <f t="shared" si="47"/>
        <v>6</v>
      </c>
      <c r="F977">
        <f t="shared" si="48"/>
        <v>2002</v>
      </c>
      <c r="G977" s="2">
        <f t="shared" si="49"/>
        <v>0</v>
      </c>
    </row>
    <row r="978" spans="1:7" x14ac:dyDescent="0.25">
      <c r="A978">
        <v>970</v>
      </c>
      <c r="B978" s="1">
        <v>37468</v>
      </c>
      <c r="C978" s="2">
        <v>288.24290179325095</v>
      </c>
      <c r="D978" s="2">
        <v>1</v>
      </c>
      <c r="E978">
        <f t="shared" si="47"/>
        <v>7</v>
      </c>
      <c r="F978">
        <f t="shared" si="48"/>
        <v>2002</v>
      </c>
      <c r="G978" s="2">
        <f t="shared" si="49"/>
        <v>0</v>
      </c>
    </row>
    <row r="979" spans="1:7" x14ac:dyDescent="0.25">
      <c r="A979">
        <v>971</v>
      </c>
      <c r="B979" s="1">
        <v>37499</v>
      </c>
      <c r="C979" s="2">
        <v>279.99483921206041</v>
      </c>
      <c r="D979" s="2">
        <v>1</v>
      </c>
      <c r="E979">
        <f t="shared" si="47"/>
        <v>8</v>
      </c>
      <c r="F979">
        <f t="shared" si="48"/>
        <v>2002</v>
      </c>
      <c r="G979" s="2">
        <f t="shared" si="49"/>
        <v>0</v>
      </c>
    </row>
    <row r="980" spans="1:7" x14ac:dyDescent="0.25">
      <c r="A980">
        <v>972</v>
      </c>
      <c r="B980" s="1">
        <v>37529</v>
      </c>
      <c r="C980" s="2">
        <v>253.56663201676474</v>
      </c>
      <c r="D980" s="2">
        <v>1</v>
      </c>
      <c r="E980">
        <f t="shared" si="47"/>
        <v>9</v>
      </c>
      <c r="F980">
        <f t="shared" si="48"/>
        <v>2002</v>
      </c>
      <c r="G980" s="2">
        <f t="shared" si="49"/>
        <v>0</v>
      </c>
    </row>
    <row r="981" spans="1:7" x14ac:dyDescent="0.25">
      <c r="A981">
        <v>973</v>
      </c>
      <c r="B981" s="1">
        <v>37560</v>
      </c>
      <c r="C981" s="2">
        <v>216.07475469170529</v>
      </c>
      <c r="D981" s="2">
        <v>1</v>
      </c>
      <c r="E981">
        <f t="shared" si="47"/>
        <v>10</v>
      </c>
      <c r="F981">
        <f t="shared" si="48"/>
        <v>2002</v>
      </c>
      <c r="G981" s="2">
        <f t="shared" si="49"/>
        <v>0</v>
      </c>
    </row>
    <row r="982" spans="1:7" x14ac:dyDescent="0.25">
      <c r="A982">
        <v>974</v>
      </c>
      <c r="B982" s="1">
        <v>37590</v>
      </c>
      <c r="C982" s="2">
        <v>174.85540601156069</v>
      </c>
      <c r="D982" s="2">
        <v>1</v>
      </c>
      <c r="E982">
        <f t="shared" si="47"/>
        <v>11</v>
      </c>
      <c r="F982">
        <f t="shared" si="48"/>
        <v>2002</v>
      </c>
      <c r="G982" s="2">
        <f t="shared" si="49"/>
        <v>0</v>
      </c>
    </row>
    <row r="983" spans="1:7" x14ac:dyDescent="0.25">
      <c r="A983">
        <v>975</v>
      </c>
      <c r="B983" s="1">
        <v>37621</v>
      </c>
      <c r="C983" s="2">
        <v>153.18687823593453</v>
      </c>
      <c r="D983" s="2">
        <v>1</v>
      </c>
      <c r="E983">
        <f t="shared" si="47"/>
        <v>12</v>
      </c>
      <c r="F983">
        <f t="shared" si="48"/>
        <v>2002</v>
      </c>
      <c r="G983" s="2">
        <f t="shared" si="49"/>
        <v>0</v>
      </c>
    </row>
    <row r="984" spans="1:7" x14ac:dyDescent="0.25">
      <c r="A984">
        <v>976</v>
      </c>
      <c r="B984" s="1">
        <v>37652</v>
      </c>
      <c r="C984" s="2">
        <v>148.33069936464574</v>
      </c>
      <c r="D984" s="2">
        <v>1</v>
      </c>
      <c r="E984">
        <f t="shared" si="47"/>
        <v>1</v>
      </c>
      <c r="F984">
        <f t="shared" si="48"/>
        <v>2003</v>
      </c>
      <c r="G984" s="2">
        <f t="shared" si="49"/>
        <v>0</v>
      </c>
    </row>
    <row r="985" spans="1:7" x14ac:dyDescent="0.25">
      <c r="A985">
        <v>977</v>
      </c>
      <c r="B985" s="1">
        <v>37680</v>
      </c>
      <c r="C985" s="2">
        <v>145.70191233106175</v>
      </c>
      <c r="D985" s="2">
        <v>0.88831089686089582</v>
      </c>
      <c r="E985">
        <f t="shared" si="47"/>
        <v>2</v>
      </c>
      <c r="F985">
        <f t="shared" si="48"/>
        <v>2003</v>
      </c>
      <c r="G985" s="2">
        <f t="shared" si="49"/>
        <v>8091.8748005349989</v>
      </c>
    </row>
    <row r="986" spans="1:7" x14ac:dyDescent="0.25">
      <c r="A986">
        <v>978</v>
      </c>
      <c r="B986" s="1">
        <v>37711</v>
      </c>
      <c r="C986" s="2">
        <v>106.88716825976429</v>
      </c>
      <c r="D986" s="2">
        <v>0.79366679109625071</v>
      </c>
      <c r="E986">
        <f t="shared" si="47"/>
        <v>3</v>
      </c>
      <c r="F986">
        <f t="shared" si="48"/>
        <v>2003</v>
      </c>
      <c r="G986" s="2">
        <f t="shared" si="49"/>
        <v>6572.2358004350945</v>
      </c>
    </row>
    <row r="987" spans="1:7" x14ac:dyDescent="0.25">
      <c r="A987">
        <v>979</v>
      </c>
      <c r="B987" s="1">
        <v>37741</v>
      </c>
      <c r="C987" s="2">
        <v>155.35965745471617</v>
      </c>
      <c r="D987" s="2">
        <v>1</v>
      </c>
      <c r="E987">
        <f t="shared" si="47"/>
        <v>4</v>
      </c>
      <c r="F987">
        <f t="shared" si="48"/>
        <v>2003</v>
      </c>
      <c r="G987" s="2">
        <f t="shared" si="49"/>
        <v>0</v>
      </c>
    </row>
    <row r="988" spans="1:7" x14ac:dyDescent="0.25">
      <c r="A988">
        <v>980</v>
      </c>
      <c r="B988" s="1">
        <v>37772</v>
      </c>
      <c r="C988" s="2">
        <v>172.19561393611602</v>
      </c>
      <c r="D988" s="2">
        <v>1</v>
      </c>
      <c r="E988">
        <f t="shared" si="47"/>
        <v>5</v>
      </c>
      <c r="F988">
        <f t="shared" si="48"/>
        <v>2003</v>
      </c>
      <c r="G988" s="2">
        <f t="shared" si="49"/>
        <v>0</v>
      </c>
    </row>
    <row r="989" spans="1:7" x14ac:dyDescent="0.25">
      <c r="A989">
        <v>981</v>
      </c>
      <c r="B989" s="1">
        <v>37802</v>
      </c>
      <c r="C989" s="2">
        <v>249.30857479426103</v>
      </c>
      <c r="D989" s="2">
        <v>1</v>
      </c>
      <c r="E989">
        <f t="shared" si="47"/>
        <v>6</v>
      </c>
      <c r="F989">
        <f t="shared" si="48"/>
        <v>2003</v>
      </c>
      <c r="G989" s="2">
        <f t="shared" si="49"/>
        <v>0</v>
      </c>
    </row>
    <row r="990" spans="1:7" x14ac:dyDescent="0.25">
      <c r="A990">
        <v>982</v>
      </c>
      <c r="B990" s="1">
        <v>37833</v>
      </c>
      <c r="C990" s="2">
        <v>274.69602802891444</v>
      </c>
      <c r="D990" s="2">
        <v>1</v>
      </c>
      <c r="E990">
        <f t="shared" si="47"/>
        <v>7</v>
      </c>
      <c r="F990">
        <f t="shared" si="48"/>
        <v>2003</v>
      </c>
      <c r="G990" s="2">
        <f t="shared" si="49"/>
        <v>0</v>
      </c>
    </row>
    <row r="991" spans="1:7" x14ac:dyDescent="0.25">
      <c r="A991">
        <v>983</v>
      </c>
      <c r="B991" s="1">
        <v>37864</v>
      </c>
      <c r="C991" s="2">
        <v>284.25012948115898</v>
      </c>
      <c r="D991" s="2">
        <v>1</v>
      </c>
      <c r="E991">
        <f t="shared" si="47"/>
        <v>8</v>
      </c>
      <c r="F991">
        <f t="shared" si="48"/>
        <v>2003</v>
      </c>
      <c r="G991" s="2">
        <f t="shared" si="49"/>
        <v>0</v>
      </c>
    </row>
    <row r="992" spans="1:7" x14ac:dyDescent="0.25">
      <c r="A992">
        <v>984</v>
      </c>
      <c r="B992" s="1">
        <v>37894</v>
      </c>
      <c r="C992" s="2">
        <v>251.09751946104603</v>
      </c>
      <c r="D992" s="2">
        <v>1</v>
      </c>
      <c r="E992">
        <f t="shared" si="47"/>
        <v>9</v>
      </c>
      <c r="F992">
        <f t="shared" si="48"/>
        <v>2003</v>
      </c>
      <c r="G992" s="2">
        <f t="shared" si="49"/>
        <v>0</v>
      </c>
    </row>
    <row r="993" spans="1:7" x14ac:dyDescent="0.25">
      <c r="A993">
        <v>985</v>
      </c>
      <c r="B993" s="1">
        <v>37925</v>
      </c>
      <c r="C993" s="2">
        <v>215.12985528304065</v>
      </c>
      <c r="D993" s="2">
        <v>1</v>
      </c>
      <c r="E993">
        <f t="shared" si="47"/>
        <v>10</v>
      </c>
      <c r="F993">
        <f t="shared" si="48"/>
        <v>2003</v>
      </c>
      <c r="G993" s="2">
        <f t="shared" si="49"/>
        <v>0</v>
      </c>
    </row>
    <row r="994" spans="1:7" x14ac:dyDescent="0.25">
      <c r="A994">
        <v>986</v>
      </c>
      <c r="B994" s="1">
        <v>37955</v>
      </c>
      <c r="C994" s="2">
        <v>152.24052617673215</v>
      </c>
      <c r="D994" s="2">
        <v>1</v>
      </c>
      <c r="E994">
        <f t="shared" si="47"/>
        <v>11</v>
      </c>
      <c r="F994">
        <f t="shared" si="48"/>
        <v>2003</v>
      </c>
      <c r="G994" s="2">
        <f t="shared" si="49"/>
        <v>0</v>
      </c>
    </row>
    <row r="995" spans="1:7" x14ac:dyDescent="0.25">
      <c r="A995">
        <v>987</v>
      </c>
      <c r="B995" s="1">
        <v>37986</v>
      </c>
      <c r="C995" s="2">
        <v>138.92959785864778</v>
      </c>
      <c r="D995" s="2">
        <v>1</v>
      </c>
      <c r="E995">
        <f t="shared" si="47"/>
        <v>12</v>
      </c>
      <c r="F995">
        <f t="shared" si="48"/>
        <v>2003</v>
      </c>
      <c r="G995" s="2">
        <f t="shared" si="49"/>
        <v>0</v>
      </c>
    </row>
    <row r="996" spans="1:7" x14ac:dyDescent="0.25">
      <c r="A996">
        <v>988</v>
      </c>
      <c r="B996" s="1">
        <v>38017</v>
      </c>
      <c r="C996" s="2">
        <v>110.24576070621373</v>
      </c>
      <c r="D996" s="2">
        <v>1</v>
      </c>
      <c r="E996">
        <f t="shared" si="47"/>
        <v>1</v>
      </c>
      <c r="F996">
        <f t="shared" si="48"/>
        <v>2004</v>
      </c>
      <c r="G996" s="2">
        <f t="shared" si="49"/>
        <v>0</v>
      </c>
    </row>
    <row r="997" spans="1:7" x14ac:dyDescent="0.25">
      <c r="A997">
        <v>989</v>
      </c>
      <c r="B997" s="1">
        <v>38046</v>
      </c>
      <c r="C997" s="2">
        <v>99.365610293925968</v>
      </c>
      <c r="D997" s="2">
        <v>0.99999999999999989</v>
      </c>
      <c r="E997">
        <f t="shared" si="47"/>
        <v>2</v>
      </c>
      <c r="F997">
        <f t="shared" si="48"/>
        <v>2004</v>
      </c>
      <c r="G997" s="2">
        <f t="shared" si="49"/>
        <v>5518.486786571757</v>
      </c>
    </row>
    <row r="998" spans="1:7" x14ac:dyDescent="0.25">
      <c r="A998">
        <v>990</v>
      </c>
      <c r="B998" s="1">
        <v>38077</v>
      </c>
      <c r="C998" s="2">
        <v>96.914806888134393</v>
      </c>
      <c r="D998" s="2">
        <v>1</v>
      </c>
      <c r="E998">
        <f t="shared" si="47"/>
        <v>3</v>
      </c>
      <c r="F998">
        <f t="shared" si="48"/>
        <v>2004</v>
      </c>
      <c r="G998" s="2">
        <f t="shared" si="49"/>
        <v>5959.0592003943793</v>
      </c>
    </row>
    <row r="999" spans="1:7" x14ac:dyDescent="0.25">
      <c r="A999">
        <v>991</v>
      </c>
      <c r="B999" s="1">
        <v>38107</v>
      </c>
      <c r="C999" s="2">
        <v>155.35965745471614</v>
      </c>
      <c r="D999" s="2">
        <v>0.99999999999999989</v>
      </c>
      <c r="E999">
        <f t="shared" si="47"/>
        <v>4</v>
      </c>
      <c r="F999">
        <f t="shared" si="48"/>
        <v>2004</v>
      </c>
      <c r="G999" s="2">
        <f t="shared" si="49"/>
        <v>0</v>
      </c>
    </row>
    <row r="1000" spans="1:7" x14ac:dyDescent="0.25">
      <c r="A1000">
        <v>992</v>
      </c>
      <c r="B1000" s="1">
        <v>38138</v>
      </c>
      <c r="C1000" s="2">
        <v>189.91672423298655</v>
      </c>
      <c r="D1000" s="2">
        <v>1</v>
      </c>
      <c r="E1000">
        <f t="shared" si="47"/>
        <v>5</v>
      </c>
      <c r="F1000">
        <f t="shared" si="48"/>
        <v>2004</v>
      </c>
      <c r="G1000" s="2">
        <f t="shared" si="49"/>
        <v>0</v>
      </c>
    </row>
    <row r="1001" spans="1:7" x14ac:dyDescent="0.25">
      <c r="A1001">
        <v>993</v>
      </c>
      <c r="B1001" s="1">
        <v>38168</v>
      </c>
      <c r="C1001" s="2">
        <v>249.94227532208066</v>
      </c>
      <c r="D1001" s="2">
        <v>1</v>
      </c>
      <c r="E1001">
        <f t="shared" si="47"/>
        <v>6</v>
      </c>
      <c r="F1001">
        <f t="shared" si="48"/>
        <v>2004</v>
      </c>
      <c r="G1001" s="2">
        <f t="shared" si="49"/>
        <v>0</v>
      </c>
    </row>
    <row r="1002" spans="1:7" x14ac:dyDescent="0.25">
      <c r="A1002">
        <v>994</v>
      </c>
      <c r="B1002" s="1">
        <v>38199</v>
      </c>
      <c r="C1002" s="2">
        <v>278.83348316359661</v>
      </c>
      <c r="D1002" s="2">
        <v>0.99999999999999989</v>
      </c>
      <c r="E1002">
        <f t="shared" si="47"/>
        <v>7</v>
      </c>
      <c r="F1002">
        <f t="shared" si="48"/>
        <v>2004</v>
      </c>
      <c r="G1002" s="2">
        <f t="shared" si="49"/>
        <v>0</v>
      </c>
    </row>
    <row r="1003" spans="1:7" x14ac:dyDescent="0.25">
      <c r="A1003">
        <v>995</v>
      </c>
      <c r="B1003" s="1">
        <v>38230</v>
      </c>
      <c r="C1003" s="2">
        <v>281.64601106700837</v>
      </c>
      <c r="D1003" s="2">
        <v>1</v>
      </c>
      <c r="E1003">
        <f t="shared" si="47"/>
        <v>8</v>
      </c>
      <c r="F1003">
        <f t="shared" si="48"/>
        <v>2004</v>
      </c>
      <c r="G1003" s="2">
        <f t="shared" si="49"/>
        <v>0</v>
      </c>
    </row>
    <row r="1004" spans="1:7" x14ac:dyDescent="0.25">
      <c r="A1004">
        <v>996</v>
      </c>
      <c r="B1004" s="1">
        <v>38260</v>
      </c>
      <c r="C1004" s="2">
        <v>247.80503551638381</v>
      </c>
      <c r="D1004" s="2">
        <v>1</v>
      </c>
      <c r="E1004">
        <f t="shared" si="47"/>
        <v>9</v>
      </c>
      <c r="F1004">
        <f t="shared" si="48"/>
        <v>2004</v>
      </c>
      <c r="G1004" s="2">
        <f t="shared" si="49"/>
        <v>0</v>
      </c>
    </row>
    <row r="1005" spans="1:7" x14ac:dyDescent="0.25">
      <c r="A1005">
        <v>997</v>
      </c>
      <c r="B1005" s="1">
        <v>38291</v>
      </c>
      <c r="C1005" s="2">
        <v>213.68325149262245</v>
      </c>
      <c r="D1005" s="2">
        <v>1</v>
      </c>
      <c r="E1005">
        <f t="shared" si="47"/>
        <v>10</v>
      </c>
      <c r="F1005">
        <f t="shared" si="48"/>
        <v>2004</v>
      </c>
      <c r="G1005" s="2">
        <f t="shared" si="49"/>
        <v>0</v>
      </c>
    </row>
    <row r="1006" spans="1:7" x14ac:dyDescent="0.25">
      <c r="A1006">
        <v>998</v>
      </c>
      <c r="B1006" s="1">
        <v>38321</v>
      </c>
      <c r="C1006" s="2">
        <v>158.89264570494973</v>
      </c>
      <c r="D1006" s="2">
        <v>1</v>
      </c>
      <c r="E1006">
        <f t="shared" si="47"/>
        <v>11</v>
      </c>
      <c r="F1006">
        <f t="shared" si="48"/>
        <v>2004</v>
      </c>
      <c r="G1006" s="2">
        <f t="shared" si="49"/>
        <v>0</v>
      </c>
    </row>
    <row r="1007" spans="1:7" x14ac:dyDescent="0.25">
      <c r="A1007">
        <v>999</v>
      </c>
      <c r="B1007" s="1">
        <v>38352</v>
      </c>
      <c r="C1007" s="2">
        <v>140.7197017834973</v>
      </c>
      <c r="D1007" s="2">
        <v>1</v>
      </c>
      <c r="E1007">
        <f t="shared" si="47"/>
        <v>12</v>
      </c>
      <c r="F1007">
        <f t="shared" si="48"/>
        <v>2004</v>
      </c>
      <c r="G1007" s="2">
        <f t="shared" si="49"/>
        <v>0</v>
      </c>
    </row>
    <row r="1008" spans="1:7" x14ac:dyDescent="0.25">
      <c r="A1008">
        <v>1000</v>
      </c>
      <c r="B1008" s="1">
        <v>38383</v>
      </c>
      <c r="C1008" s="2">
        <v>120.71654124454038</v>
      </c>
      <c r="D1008" s="2">
        <v>1</v>
      </c>
      <c r="E1008">
        <f t="shared" si="47"/>
        <v>1</v>
      </c>
      <c r="F1008">
        <f t="shared" si="48"/>
        <v>2005</v>
      </c>
      <c r="G1008" s="2">
        <f t="shared" si="49"/>
        <v>0</v>
      </c>
    </row>
    <row r="1009" spans="1:7" x14ac:dyDescent="0.25">
      <c r="A1009">
        <v>1001</v>
      </c>
      <c r="B1009" s="1">
        <v>38411</v>
      </c>
      <c r="C1009" s="2">
        <v>114.45563578137686</v>
      </c>
      <c r="D1009" s="2">
        <v>1</v>
      </c>
      <c r="E1009">
        <f t="shared" si="47"/>
        <v>2</v>
      </c>
      <c r="F1009">
        <f t="shared" si="48"/>
        <v>2005</v>
      </c>
      <c r="G1009" s="2">
        <f t="shared" si="49"/>
        <v>6356.5444004202682</v>
      </c>
    </row>
    <row r="1010" spans="1:7" x14ac:dyDescent="0.25">
      <c r="A1010">
        <v>1002</v>
      </c>
      <c r="B1010" s="1">
        <v>38442</v>
      </c>
      <c r="C1010" s="2">
        <v>106.88716825976205</v>
      </c>
      <c r="D1010" s="2">
        <v>0.97547585266154824</v>
      </c>
      <c r="E1010">
        <f t="shared" si="47"/>
        <v>3</v>
      </c>
      <c r="F1010">
        <f t="shared" si="48"/>
        <v>2005</v>
      </c>
      <c r="G1010" s="2">
        <f t="shared" si="49"/>
        <v>6572.2358004349553</v>
      </c>
    </row>
    <row r="1011" spans="1:7" x14ac:dyDescent="0.25">
      <c r="A1011">
        <v>1003</v>
      </c>
      <c r="B1011" s="1">
        <v>38472</v>
      </c>
      <c r="C1011" s="2">
        <v>155.35965745471617</v>
      </c>
      <c r="D1011" s="2">
        <v>1</v>
      </c>
      <c r="E1011">
        <f t="shared" si="47"/>
        <v>4</v>
      </c>
      <c r="F1011">
        <f t="shared" si="48"/>
        <v>2005</v>
      </c>
      <c r="G1011" s="2">
        <f t="shared" si="49"/>
        <v>0</v>
      </c>
    </row>
    <row r="1012" spans="1:7" x14ac:dyDescent="0.25">
      <c r="A1012">
        <v>1004</v>
      </c>
      <c r="B1012" s="1">
        <v>38503</v>
      </c>
      <c r="C1012" s="2">
        <v>189.91672423298655</v>
      </c>
      <c r="D1012" s="2">
        <v>1</v>
      </c>
      <c r="E1012">
        <f t="shared" si="47"/>
        <v>5</v>
      </c>
      <c r="F1012">
        <f t="shared" si="48"/>
        <v>2005</v>
      </c>
      <c r="G1012" s="2">
        <f t="shared" si="49"/>
        <v>0</v>
      </c>
    </row>
    <row r="1013" spans="1:7" x14ac:dyDescent="0.25">
      <c r="A1013">
        <v>1005</v>
      </c>
      <c r="B1013" s="1">
        <v>38533</v>
      </c>
      <c r="C1013" s="2">
        <v>249.94227532208066</v>
      </c>
      <c r="D1013" s="2">
        <v>1</v>
      </c>
      <c r="E1013">
        <f t="shared" si="47"/>
        <v>6</v>
      </c>
      <c r="F1013">
        <f t="shared" si="48"/>
        <v>2005</v>
      </c>
      <c r="G1013" s="2">
        <f t="shared" si="49"/>
        <v>0</v>
      </c>
    </row>
    <row r="1014" spans="1:7" x14ac:dyDescent="0.25">
      <c r="A1014">
        <v>1006</v>
      </c>
      <c r="B1014" s="1">
        <v>38564</v>
      </c>
      <c r="C1014" s="2">
        <v>278.83348316359661</v>
      </c>
      <c r="D1014" s="2">
        <v>1</v>
      </c>
      <c r="E1014">
        <f t="shared" si="47"/>
        <v>7</v>
      </c>
      <c r="F1014">
        <f t="shared" si="48"/>
        <v>2005</v>
      </c>
      <c r="G1014" s="2">
        <f t="shared" si="49"/>
        <v>0</v>
      </c>
    </row>
    <row r="1015" spans="1:7" x14ac:dyDescent="0.25">
      <c r="A1015">
        <v>1007</v>
      </c>
      <c r="B1015" s="1">
        <v>38595</v>
      </c>
      <c r="C1015" s="2">
        <v>281.64601106700837</v>
      </c>
      <c r="D1015" s="2">
        <v>1</v>
      </c>
      <c r="E1015">
        <f t="shared" si="47"/>
        <v>8</v>
      </c>
      <c r="F1015">
        <f t="shared" si="48"/>
        <v>2005</v>
      </c>
      <c r="G1015" s="2">
        <f t="shared" si="49"/>
        <v>0</v>
      </c>
    </row>
    <row r="1016" spans="1:7" x14ac:dyDescent="0.25">
      <c r="A1016">
        <v>1008</v>
      </c>
      <c r="B1016" s="1">
        <v>38625</v>
      </c>
      <c r="C1016" s="2">
        <v>247.80503551638378</v>
      </c>
      <c r="D1016" s="2">
        <v>1</v>
      </c>
      <c r="E1016">
        <f t="shared" si="47"/>
        <v>9</v>
      </c>
      <c r="F1016">
        <f t="shared" si="48"/>
        <v>2005</v>
      </c>
      <c r="G1016" s="2">
        <f t="shared" si="49"/>
        <v>0</v>
      </c>
    </row>
    <row r="1017" spans="1:7" x14ac:dyDescent="0.25">
      <c r="A1017">
        <v>1009</v>
      </c>
      <c r="B1017" s="1">
        <v>38656</v>
      </c>
      <c r="C1017" s="2">
        <v>213.68325149262245</v>
      </c>
      <c r="D1017" s="2">
        <v>1</v>
      </c>
      <c r="E1017">
        <f t="shared" si="47"/>
        <v>10</v>
      </c>
      <c r="F1017">
        <f t="shared" si="48"/>
        <v>2005</v>
      </c>
      <c r="G1017" s="2">
        <f t="shared" si="49"/>
        <v>0</v>
      </c>
    </row>
    <row r="1018" spans="1:7" x14ac:dyDescent="0.25">
      <c r="A1018">
        <v>1010</v>
      </c>
      <c r="B1018" s="1">
        <v>38686</v>
      </c>
      <c r="C1018" s="2">
        <v>158.89264570494973</v>
      </c>
      <c r="D1018" s="2">
        <v>1</v>
      </c>
      <c r="E1018">
        <f t="shared" si="47"/>
        <v>11</v>
      </c>
      <c r="F1018">
        <f t="shared" si="48"/>
        <v>2005</v>
      </c>
      <c r="G1018" s="2">
        <f t="shared" si="49"/>
        <v>0</v>
      </c>
    </row>
    <row r="1019" spans="1:7" x14ac:dyDescent="0.25">
      <c r="A1019">
        <v>1011</v>
      </c>
      <c r="B1019" s="1">
        <v>38717</v>
      </c>
      <c r="C1019" s="2">
        <v>140.7197017834973</v>
      </c>
      <c r="D1019" s="2">
        <v>1</v>
      </c>
      <c r="E1019">
        <f t="shared" si="47"/>
        <v>12</v>
      </c>
      <c r="F1019">
        <f t="shared" si="48"/>
        <v>2005</v>
      </c>
      <c r="G1019" s="2">
        <f t="shared" si="49"/>
        <v>0</v>
      </c>
    </row>
    <row r="1020" spans="1:7" x14ac:dyDescent="0.25">
      <c r="A1020">
        <v>1012</v>
      </c>
      <c r="B1020" s="1">
        <v>38748</v>
      </c>
      <c r="C1020" s="2">
        <v>120.71654124454039</v>
      </c>
      <c r="D1020" s="2">
        <v>1</v>
      </c>
      <c r="E1020">
        <f t="shared" si="47"/>
        <v>1</v>
      </c>
      <c r="F1020">
        <f t="shared" si="48"/>
        <v>2006</v>
      </c>
      <c r="G1020" s="2">
        <f t="shared" si="49"/>
        <v>0</v>
      </c>
    </row>
    <row r="1021" spans="1:7" x14ac:dyDescent="0.25">
      <c r="A1021">
        <v>1013</v>
      </c>
      <c r="B1021" s="1">
        <v>38776</v>
      </c>
      <c r="C1021" s="2">
        <v>114.45563578137683</v>
      </c>
      <c r="D1021" s="2">
        <v>1</v>
      </c>
      <c r="E1021">
        <f t="shared" si="47"/>
        <v>2</v>
      </c>
      <c r="F1021">
        <f t="shared" si="48"/>
        <v>2006</v>
      </c>
      <c r="G1021" s="2">
        <f t="shared" si="49"/>
        <v>6356.5444004202664</v>
      </c>
    </row>
    <row r="1022" spans="1:7" x14ac:dyDescent="0.25">
      <c r="A1022">
        <v>1014</v>
      </c>
      <c r="B1022" s="1">
        <v>38807</v>
      </c>
      <c r="C1022" s="2">
        <v>95.988743796683153</v>
      </c>
      <c r="D1022" s="2">
        <v>1</v>
      </c>
      <c r="E1022">
        <f t="shared" si="47"/>
        <v>3</v>
      </c>
      <c r="F1022">
        <f t="shared" si="48"/>
        <v>2006</v>
      </c>
      <c r="G1022" s="2">
        <f t="shared" si="49"/>
        <v>5902.1178003910973</v>
      </c>
    </row>
    <row r="1023" spans="1:7" x14ac:dyDescent="0.25">
      <c r="A1023">
        <v>1015</v>
      </c>
      <c r="B1023" s="1">
        <v>38837</v>
      </c>
      <c r="C1023" s="2">
        <v>127.84175342511904</v>
      </c>
      <c r="D1023" s="2">
        <v>1</v>
      </c>
      <c r="E1023">
        <f t="shared" si="47"/>
        <v>4</v>
      </c>
      <c r="F1023">
        <f t="shared" si="48"/>
        <v>2006</v>
      </c>
      <c r="G1023" s="2">
        <f t="shared" si="49"/>
        <v>0</v>
      </c>
    </row>
    <row r="1024" spans="1:7" x14ac:dyDescent="0.25">
      <c r="A1024">
        <v>1016</v>
      </c>
      <c r="B1024" s="1">
        <v>38868</v>
      </c>
      <c r="C1024" s="2">
        <v>173.69722718890347</v>
      </c>
      <c r="D1024" s="2">
        <v>1</v>
      </c>
      <c r="E1024">
        <f t="shared" si="47"/>
        <v>5</v>
      </c>
      <c r="F1024">
        <f t="shared" si="48"/>
        <v>2006</v>
      </c>
      <c r="G1024" s="2">
        <f t="shared" si="49"/>
        <v>0</v>
      </c>
    </row>
    <row r="1025" spans="1:7" x14ac:dyDescent="0.25">
      <c r="A1025">
        <v>1017</v>
      </c>
      <c r="B1025" s="1">
        <v>38898</v>
      </c>
      <c r="C1025" s="2">
        <v>230.63820084858216</v>
      </c>
      <c r="D1025" s="2">
        <v>1</v>
      </c>
      <c r="E1025">
        <f t="shared" si="47"/>
        <v>6</v>
      </c>
      <c r="F1025">
        <f t="shared" si="48"/>
        <v>2006</v>
      </c>
      <c r="G1025" s="2">
        <f t="shared" si="49"/>
        <v>0</v>
      </c>
    </row>
    <row r="1026" spans="1:7" x14ac:dyDescent="0.25">
      <c r="A1026">
        <v>1018</v>
      </c>
      <c r="B1026" s="1">
        <v>38929</v>
      </c>
      <c r="C1026" s="2">
        <v>271.71188667119026</v>
      </c>
      <c r="D1026" s="2">
        <v>1</v>
      </c>
      <c r="E1026">
        <f t="shared" si="47"/>
        <v>7</v>
      </c>
      <c r="F1026">
        <f t="shared" si="48"/>
        <v>2006</v>
      </c>
      <c r="G1026" s="2">
        <f t="shared" si="49"/>
        <v>0</v>
      </c>
    </row>
    <row r="1027" spans="1:7" x14ac:dyDescent="0.25">
      <c r="A1027">
        <v>1019</v>
      </c>
      <c r="B1027" s="1">
        <v>38960</v>
      </c>
      <c r="C1027" s="2">
        <v>282.21761897027199</v>
      </c>
      <c r="D1027" s="2">
        <v>1</v>
      </c>
      <c r="E1027">
        <f t="shared" si="47"/>
        <v>8</v>
      </c>
      <c r="F1027">
        <f t="shared" si="48"/>
        <v>2006</v>
      </c>
      <c r="G1027" s="2">
        <f t="shared" si="49"/>
        <v>0</v>
      </c>
    </row>
    <row r="1028" spans="1:7" x14ac:dyDescent="0.25">
      <c r="A1028">
        <v>1020</v>
      </c>
      <c r="B1028" s="1">
        <v>38990</v>
      </c>
      <c r="C1028" s="2">
        <v>245.18670139121076</v>
      </c>
      <c r="D1028" s="2">
        <v>1</v>
      </c>
      <c r="E1028">
        <f t="shared" si="47"/>
        <v>9</v>
      </c>
      <c r="F1028">
        <f t="shared" si="48"/>
        <v>2006</v>
      </c>
      <c r="G1028" s="2">
        <f t="shared" si="49"/>
        <v>0</v>
      </c>
    </row>
    <row r="1029" spans="1:7" x14ac:dyDescent="0.25">
      <c r="A1029">
        <v>1021</v>
      </c>
      <c r="B1029" s="1">
        <v>39021</v>
      </c>
      <c r="C1029" s="2">
        <v>208.40764336055318</v>
      </c>
      <c r="D1029" s="2">
        <v>1</v>
      </c>
      <c r="E1029">
        <f t="shared" si="47"/>
        <v>10</v>
      </c>
      <c r="F1029">
        <f t="shared" si="48"/>
        <v>2006</v>
      </c>
      <c r="G1029" s="2">
        <f t="shared" si="49"/>
        <v>0</v>
      </c>
    </row>
    <row r="1030" spans="1:7" x14ac:dyDescent="0.25">
      <c r="A1030">
        <v>1022</v>
      </c>
      <c r="B1030" s="1">
        <v>39051</v>
      </c>
      <c r="C1030" s="2">
        <v>139.9081154259168</v>
      </c>
      <c r="D1030" s="2">
        <v>1</v>
      </c>
      <c r="E1030">
        <f t="shared" si="47"/>
        <v>11</v>
      </c>
      <c r="F1030">
        <f t="shared" si="48"/>
        <v>2006</v>
      </c>
      <c r="G1030" s="2">
        <f t="shared" si="49"/>
        <v>0</v>
      </c>
    </row>
    <row r="1031" spans="1:7" x14ac:dyDescent="0.25">
      <c r="A1031">
        <v>1023</v>
      </c>
      <c r="B1031" s="1">
        <v>39082</v>
      </c>
      <c r="C1031" s="2">
        <v>100.09781597436</v>
      </c>
      <c r="D1031" s="2">
        <v>1</v>
      </c>
      <c r="E1031">
        <f t="shared" si="47"/>
        <v>12</v>
      </c>
      <c r="F1031">
        <f t="shared" si="48"/>
        <v>2006</v>
      </c>
      <c r="G1031" s="2">
        <f t="shared" si="49"/>
        <v>0</v>
      </c>
    </row>
    <row r="1032" spans="1:7" x14ac:dyDescent="0.25">
      <c r="A1032">
        <v>1024</v>
      </c>
      <c r="B1032" s="1">
        <v>39113</v>
      </c>
      <c r="C1032" s="2">
        <v>94.480039683665964</v>
      </c>
      <c r="D1032" s="2">
        <v>1</v>
      </c>
      <c r="E1032">
        <f t="shared" si="47"/>
        <v>1</v>
      </c>
      <c r="F1032">
        <f t="shared" si="48"/>
        <v>2007</v>
      </c>
      <c r="G1032" s="2">
        <f t="shared" si="49"/>
        <v>0</v>
      </c>
    </row>
    <row r="1033" spans="1:7" x14ac:dyDescent="0.25">
      <c r="A1033">
        <v>1025</v>
      </c>
      <c r="B1033" s="1">
        <v>39141</v>
      </c>
      <c r="C1033" s="2">
        <v>108.63618759646828</v>
      </c>
      <c r="D1033" s="2">
        <v>0.83816435433221548</v>
      </c>
      <c r="E1033">
        <f t="shared" si="47"/>
        <v>2</v>
      </c>
      <c r="F1033">
        <f t="shared" si="48"/>
        <v>2007</v>
      </c>
      <c r="G1033" s="2">
        <f t="shared" si="49"/>
        <v>6033.3486003989001</v>
      </c>
    </row>
    <row r="1034" spans="1:7" x14ac:dyDescent="0.25">
      <c r="A1034">
        <v>1026</v>
      </c>
      <c r="B1034" s="1">
        <v>39172</v>
      </c>
      <c r="C1034" s="2">
        <v>106.8871682597603</v>
      </c>
      <c r="D1034" s="2">
        <v>0.96354934761563271</v>
      </c>
      <c r="E1034">
        <f t="shared" ref="E1034:E1097" si="50">MONTH(B1034)</f>
        <v>3</v>
      </c>
      <c r="F1034">
        <f t="shared" ref="F1034:F1097" si="51">YEAR(B1034)</f>
        <v>2007</v>
      </c>
      <c r="G1034" s="2">
        <f t="shared" ref="G1034:G1097" si="52">IF(E1034=2,C1034*$G$5*28,IF(E1034=3,C1034*$G$5*31,0))</f>
        <v>6572.235800434848</v>
      </c>
    </row>
    <row r="1035" spans="1:7" x14ac:dyDescent="0.25">
      <c r="A1035">
        <v>1027</v>
      </c>
      <c r="B1035" s="1">
        <v>39202</v>
      </c>
      <c r="C1035" s="2">
        <v>181.23525201198254</v>
      </c>
      <c r="D1035" s="2">
        <v>0.90493913258188541</v>
      </c>
      <c r="E1035">
        <f t="shared" si="50"/>
        <v>4</v>
      </c>
      <c r="F1035">
        <f t="shared" si="51"/>
        <v>2007</v>
      </c>
      <c r="G1035" s="2">
        <f t="shared" si="52"/>
        <v>0</v>
      </c>
    </row>
    <row r="1036" spans="1:7" x14ac:dyDescent="0.25">
      <c r="A1036">
        <v>1028</v>
      </c>
      <c r="B1036" s="1">
        <v>39233</v>
      </c>
      <c r="C1036" s="2">
        <v>220.07156033713082</v>
      </c>
      <c r="D1036" s="2">
        <v>0.9049391325818853</v>
      </c>
      <c r="E1036">
        <f t="shared" si="50"/>
        <v>5</v>
      </c>
      <c r="F1036">
        <f t="shared" si="51"/>
        <v>2007</v>
      </c>
      <c r="G1036" s="2">
        <f t="shared" si="52"/>
        <v>0</v>
      </c>
    </row>
    <row r="1037" spans="1:7" x14ac:dyDescent="0.25">
      <c r="A1037">
        <v>1029</v>
      </c>
      <c r="B1037" s="1">
        <v>39263</v>
      </c>
      <c r="C1037" s="2">
        <v>257.70906701703859</v>
      </c>
      <c r="D1037" s="2">
        <v>0.90493913258188552</v>
      </c>
      <c r="E1037">
        <f t="shared" si="50"/>
        <v>6</v>
      </c>
      <c r="F1037">
        <f t="shared" si="51"/>
        <v>2007</v>
      </c>
      <c r="G1037" s="2">
        <f t="shared" si="52"/>
        <v>0</v>
      </c>
    </row>
    <row r="1038" spans="1:7" x14ac:dyDescent="0.25">
      <c r="A1038">
        <v>1030</v>
      </c>
      <c r="B1038" s="1">
        <v>39294</v>
      </c>
      <c r="C1038" s="2">
        <v>288.24290179325095</v>
      </c>
      <c r="D1038" s="2">
        <v>0.90493913258188541</v>
      </c>
      <c r="E1038">
        <f t="shared" si="50"/>
        <v>7</v>
      </c>
      <c r="F1038">
        <f t="shared" si="51"/>
        <v>2007</v>
      </c>
      <c r="G1038" s="2">
        <f t="shared" si="52"/>
        <v>0</v>
      </c>
    </row>
    <row r="1039" spans="1:7" x14ac:dyDescent="0.25">
      <c r="A1039">
        <v>1031</v>
      </c>
      <c r="B1039" s="1">
        <v>39325</v>
      </c>
      <c r="C1039" s="2">
        <v>279.99483921206041</v>
      </c>
      <c r="D1039" s="2">
        <v>0.90493913258188541</v>
      </c>
      <c r="E1039">
        <f t="shared" si="50"/>
        <v>8</v>
      </c>
      <c r="F1039">
        <f t="shared" si="51"/>
        <v>2007</v>
      </c>
      <c r="G1039" s="2">
        <f t="shared" si="52"/>
        <v>0</v>
      </c>
    </row>
    <row r="1040" spans="1:7" x14ac:dyDescent="0.25">
      <c r="A1040">
        <v>1032</v>
      </c>
      <c r="B1040" s="1">
        <v>39355</v>
      </c>
      <c r="C1040" s="2">
        <v>253.56663201676474</v>
      </c>
      <c r="D1040" s="2">
        <v>0.90493913258188541</v>
      </c>
      <c r="E1040">
        <f t="shared" si="50"/>
        <v>9</v>
      </c>
      <c r="F1040">
        <f t="shared" si="51"/>
        <v>2007</v>
      </c>
      <c r="G1040" s="2">
        <f t="shared" si="52"/>
        <v>0</v>
      </c>
    </row>
    <row r="1041" spans="1:7" x14ac:dyDescent="0.25">
      <c r="A1041">
        <v>1033</v>
      </c>
      <c r="B1041" s="1">
        <v>39386</v>
      </c>
      <c r="C1041" s="2">
        <v>216.07475469170527</v>
      </c>
      <c r="D1041" s="2">
        <v>0.9049391325818853</v>
      </c>
      <c r="E1041">
        <f t="shared" si="50"/>
        <v>10</v>
      </c>
      <c r="F1041">
        <f t="shared" si="51"/>
        <v>2007</v>
      </c>
      <c r="G1041" s="2">
        <f t="shared" si="52"/>
        <v>0</v>
      </c>
    </row>
    <row r="1042" spans="1:7" x14ac:dyDescent="0.25">
      <c r="A1042">
        <v>1034</v>
      </c>
      <c r="B1042" s="1">
        <v>39416</v>
      </c>
      <c r="C1042" s="2">
        <v>174.85540601156069</v>
      </c>
      <c r="D1042" s="2">
        <v>0.90493913258188541</v>
      </c>
      <c r="E1042">
        <f t="shared" si="50"/>
        <v>11</v>
      </c>
      <c r="F1042">
        <f t="shared" si="51"/>
        <v>2007</v>
      </c>
      <c r="G1042" s="2">
        <f t="shared" si="52"/>
        <v>0</v>
      </c>
    </row>
    <row r="1043" spans="1:7" x14ac:dyDescent="0.25">
      <c r="A1043">
        <v>1035</v>
      </c>
      <c r="B1043" s="1">
        <v>39447</v>
      </c>
      <c r="C1043" s="2">
        <v>153.1868782359345</v>
      </c>
      <c r="D1043" s="2">
        <v>0.90493913258188563</v>
      </c>
      <c r="E1043">
        <f t="shared" si="50"/>
        <v>12</v>
      </c>
      <c r="F1043">
        <f t="shared" si="51"/>
        <v>2007</v>
      </c>
      <c r="G1043" s="2">
        <f t="shared" si="52"/>
        <v>0</v>
      </c>
    </row>
    <row r="1044" spans="1:7" x14ac:dyDescent="0.25">
      <c r="A1044">
        <v>1036</v>
      </c>
      <c r="B1044" s="1">
        <v>39478</v>
      </c>
      <c r="C1044" s="2">
        <v>148.33069936464571</v>
      </c>
      <c r="D1044" s="2">
        <v>0.90493913258188563</v>
      </c>
      <c r="E1044">
        <f t="shared" si="50"/>
        <v>1</v>
      </c>
      <c r="F1044">
        <f t="shared" si="51"/>
        <v>2008</v>
      </c>
      <c r="G1044" s="2">
        <f t="shared" si="52"/>
        <v>0</v>
      </c>
    </row>
    <row r="1045" spans="1:7" x14ac:dyDescent="0.25">
      <c r="A1045">
        <v>1037</v>
      </c>
      <c r="B1045" s="1">
        <v>39507</v>
      </c>
      <c r="C1045" s="2">
        <v>140.67770845757687</v>
      </c>
      <c r="D1045" s="2">
        <v>0.75000000000000011</v>
      </c>
      <c r="E1045">
        <f t="shared" si="50"/>
        <v>2</v>
      </c>
      <c r="F1045">
        <f t="shared" si="51"/>
        <v>2008</v>
      </c>
      <c r="G1045" s="2">
        <f t="shared" si="52"/>
        <v>7812.8446349993101</v>
      </c>
    </row>
    <row r="1046" spans="1:7" x14ac:dyDescent="0.25">
      <c r="A1046">
        <v>1038</v>
      </c>
      <c r="B1046" s="1">
        <v>39538</v>
      </c>
      <c r="C1046" s="2">
        <v>123.59371307269296</v>
      </c>
      <c r="D1046" s="2">
        <v>0.74985472492239169</v>
      </c>
      <c r="E1046">
        <f t="shared" si="50"/>
        <v>3</v>
      </c>
      <c r="F1046">
        <f t="shared" si="51"/>
        <v>2008</v>
      </c>
      <c r="G1046" s="2">
        <f t="shared" si="52"/>
        <v>7599.4812005027743</v>
      </c>
    </row>
    <row r="1047" spans="1:7" x14ac:dyDescent="0.25">
      <c r="A1047">
        <v>1039</v>
      </c>
      <c r="B1047" s="1">
        <v>39568</v>
      </c>
      <c r="C1047" s="2">
        <v>181.23525201198254</v>
      </c>
      <c r="D1047" s="2">
        <v>0.75</v>
      </c>
      <c r="E1047">
        <f t="shared" si="50"/>
        <v>4</v>
      </c>
      <c r="F1047">
        <f t="shared" si="51"/>
        <v>2008</v>
      </c>
      <c r="G1047" s="2">
        <f t="shared" si="52"/>
        <v>0</v>
      </c>
    </row>
    <row r="1048" spans="1:7" x14ac:dyDescent="0.25">
      <c r="A1048">
        <v>1040</v>
      </c>
      <c r="B1048" s="1">
        <v>39599</v>
      </c>
      <c r="C1048" s="2">
        <v>239.89165958575308</v>
      </c>
      <c r="D1048" s="2">
        <v>0.75</v>
      </c>
      <c r="E1048">
        <f t="shared" si="50"/>
        <v>5</v>
      </c>
      <c r="F1048">
        <f t="shared" si="51"/>
        <v>2008</v>
      </c>
      <c r="G1048" s="2">
        <f t="shared" si="52"/>
        <v>0</v>
      </c>
    </row>
    <row r="1049" spans="1:7" x14ac:dyDescent="0.25">
      <c r="A1049">
        <v>1041</v>
      </c>
      <c r="B1049" s="1">
        <v>39629</v>
      </c>
      <c r="C1049" s="2">
        <v>275.36306112931697</v>
      </c>
      <c r="D1049" s="2">
        <v>0.75</v>
      </c>
      <c r="E1049">
        <f t="shared" si="50"/>
        <v>6</v>
      </c>
      <c r="F1049">
        <f t="shared" si="51"/>
        <v>2008</v>
      </c>
      <c r="G1049" s="2">
        <f t="shared" si="52"/>
        <v>0</v>
      </c>
    </row>
    <row r="1050" spans="1:7" x14ac:dyDescent="0.25">
      <c r="A1050">
        <v>1042</v>
      </c>
      <c r="B1050" s="1">
        <v>39660</v>
      </c>
      <c r="C1050" s="2">
        <v>287.21574840608628</v>
      </c>
      <c r="D1050" s="2">
        <v>0.75</v>
      </c>
      <c r="E1050">
        <f t="shared" si="50"/>
        <v>7</v>
      </c>
      <c r="F1050">
        <f t="shared" si="51"/>
        <v>2008</v>
      </c>
      <c r="G1050" s="2">
        <f t="shared" si="52"/>
        <v>0</v>
      </c>
    </row>
    <row r="1051" spans="1:7" x14ac:dyDescent="0.25">
      <c r="A1051">
        <v>1043</v>
      </c>
      <c r="B1051" s="1">
        <v>39691</v>
      </c>
      <c r="C1051" s="2">
        <v>278.99732431952134</v>
      </c>
      <c r="D1051" s="2">
        <v>0.75000000000000011</v>
      </c>
      <c r="E1051">
        <f t="shared" si="50"/>
        <v>8</v>
      </c>
      <c r="F1051">
        <f t="shared" si="51"/>
        <v>2008</v>
      </c>
      <c r="G1051" s="2">
        <f t="shared" si="52"/>
        <v>0</v>
      </c>
    </row>
    <row r="1052" spans="1:7" x14ac:dyDescent="0.25">
      <c r="A1052">
        <v>1044</v>
      </c>
      <c r="B1052" s="1">
        <v>39721</v>
      </c>
      <c r="C1052" s="2">
        <v>254.31992423903674</v>
      </c>
      <c r="D1052" s="2">
        <v>0.75</v>
      </c>
      <c r="E1052">
        <f t="shared" si="50"/>
        <v>9</v>
      </c>
      <c r="F1052">
        <f t="shared" si="51"/>
        <v>2008</v>
      </c>
      <c r="G1052" s="2">
        <f t="shared" si="52"/>
        <v>0</v>
      </c>
    </row>
    <row r="1053" spans="1:7" x14ac:dyDescent="0.25">
      <c r="A1053">
        <v>1045</v>
      </c>
      <c r="B1053" s="1">
        <v>39752</v>
      </c>
      <c r="C1053" s="2">
        <v>214.84262990667759</v>
      </c>
      <c r="D1053" s="2">
        <v>0.75</v>
      </c>
      <c r="E1053">
        <f t="shared" si="50"/>
        <v>10</v>
      </c>
      <c r="F1053">
        <f t="shared" si="51"/>
        <v>2008</v>
      </c>
      <c r="G1053" s="2">
        <f t="shared" si="52"/>
        <v>0</v>
      </c>
    </row>
    <row r="1054" spans="1:7" x14ac:dyDescent="0.25">
      <c r="A1054">
        <v>1046</v>
      </c>
      <c r="B1054" s="1">
        <v>39782</v>
      </c>
      <c r="C1054" s="2">
        <v>177.10611356726508</v>
      </c>
      <c r="D1054" s="2">
        <v>0.75</v>
      </c>
      <c r="E1054">
        <f t="shared" si="50"/>
        <v>11</v>
      </c>
      <c r="F1054">
        <f t="shared" si="51"/>
        <v>2008</v>
      </c>
      <c r="G1054" s="2">
        <f t="shared" si="52"/>
        <v>0</v>
      </c>
    </row>
    <row r="1055" spans="1:7" x14ac:dyDescent="0.25">
      <c r="A1055">
        <v>1047</v>
      </c>
      <c r="B1055" s="1">
        <v>39813</v>
      </c>
      <c r="C1055" s="2">
        <v>161.98826861286051</v>
      </c>
      <c r="D1055" s="2">
        <v>0.74999999999999989</v>
      </c>
      <c r="E1055">
        <f t="shared" si="50"/>
        <v>12</v>
      </c>
      <c r="F1055">
        <f t="shared" si="51"/>
        <v>2008</v>
      </c>
      <c r="G1055" s="2">
        <f t="shared" si="52"/>
        <v>0</v>
      </c>
    </row>
    <row r="1056" spans="1:7" x14ac:dyDescent="0.25">
      <c r="A1056">
        <v>1048</v>
      </c>
      <c r="B1056" s="1">
        <v>39844</v>
      </c>
      <c r="C1056" s="2">
        <v>157.69227420397431</v>
      </c>
      <c r="D1056" s="2">
        <v>0.75000000000000011</v>
      </c>
      <c r="E1056">
        <f t="shared" si="50"/>
        <v>1</v>
      </c>
      <c r="F1056">
        <f t="shared" si="51"/>
        <v>2009</v>
      </c>
      <c r="G1056" s="2">
        <f t="shared" si="52"/>
        <v>0</v>
      </c>
    </row>
    <row r="1057" spans="1:7" x14ac:dyDescent="0.25">
      <c r="A1057">
        <v>1049</v>
      </c>
      <c r="B1057" s="1">
        <v>39872</v>
      </c>
      <c r="C1057" s="2">
        <v>173.743928821011</v>
      </c>
      <c r="D1057" s="2">
        <v>0.5</v>
      </c>
      <c r="E1057">
        <f t="shared" si="50"/>
        <v>2</v>
      </c>
      <c r="F1057">
        <f t="shared" si="51"/>
        <v>2009</v>
      </c>
      <c r="G1057" s="2">
        <f t="shared" si="52"/>
        <v>9649.2496006379661</v>
      </c>
    </row>
    <row r="1058" spans="1:7" x14ac:dyDescent="0.25">
      <c r="A1058">
        <v>1050</v>
      </c>
      <c r="B1058" s="1">
        <v>39903</v>
      </c>
      <c r="C1058" s="2">
        <v>123.59371307269362</v>
      </c>
      <c r="D1058" s="2">
        <v>0.5</v>
      </c>
      <c r="E1058">
        <f t="shared" si="50"/>
        <v>3</v>
      </c>
      <c r="F1058">
        <f t="shared" si="51"/>
        <v>2009</v>
      </c>
      <c r="G1058" s="2">
        <f t="shared" si="52"/>
        <v>7599.4812005028152</v>
      </c>
    </row>
    <row r="1059" spans="1:7" x14ac:dyDescent="0.25">
      <c r="A1059">
        <v>1051</v>
      </c>
      <c r="B1059" s="1">
        <v>39933</v>
      </c>
      <c r="C1059" s="2">
        <v>181.23525201198251</v>
      </c>
      <c r="D1059" s="2">
        <v>0.90754879209865313</v>
      </c>
      <c r="E1059">
        <f t="shared" si="50"/>
        <v>4</v>
      </c>
      <c r="F1059">
        <f t="shared" si="51"/>
        <v>2009</v>
      </c>
      <c r="G1059" s="2">
        <f t="shared" si="52"/>
        <v>0</v>
      </c>
    </row>
    <row r="1060" spans="1:7" x14ac:dyDescent="0.25">
      <c r="A1060">
        <v>1052</v>
      </c>
      <c r="B1060" s="1">
        <v>39964</v>
      </c>
      <c r="C1060" s="2">
        <v>220.07156033713082</v>
      </c>
      <c r="D1060" s="2">
        <v>0.86168263289626923</v>
      </c>
      <c r="E1060">
        <f t="shared" si="50"/>
        <v>5</v>
      </c>
      <c r="F1060">
        <f t="shared" si="51"/>
        <v>2009</v>
      </c>
      <c r="G1060" s="2">
        <f t="shared" si="52"/>
        <v>0</v>
      </c>
    </row>
    <row r="1061" spans="1:7" x14ac:dyDescent="0.25">
      <c r="A1061">
        <v>1053</v>
      </c>
      <c r="B1061" s="1">
        <v>39994</v>
      </c>
      <c r="C1061" s="2">
        <v>257.70906701703865</v>
      </c>
      <c r="D1061" s="2">
        <v>0.86168263289626923</v>
      </c>
      <c r="E1061">
        <f t="shared" si="50"/>
        <v>6</v>
      </c>
      <c r="F1061">
        <f t="shared" si="51"/>
        <v>2009</v>
      </c>
      <c r="G1061" s="2">
        <f t="shared" si="52"/>
        <v>0</v>
      </c>
    </row>
    <row r="1062" spans="1:7" x14ac:dyDescent="0.25">
      <c r="A1062">
        <v>1054</v>
      </c>
      <c r="B1062" s="1">
        <v>40025</v>
      </c>
      <c r="C1062" s="2">
        <v>288.24290179325095</v>
      </c>
      <c r="D1062" s="2">
        <v>0.86168263289626912</v>
      </c>
      <c r="E1062">
        <f t="shared" si="50"/>
        <v>7</v>
      </c>
      <c r="F1062">
        <f t="shared" si="51"/>
        <v>2009</v>
      </c>
      <c r="G1062" s="2">
        <f t="shared" si="52"/>
        <v>0</v>
      </c>
    </row>
    <row r="1063" spans="1:7" x14ac:dyDescent="0.25">
      <c r="A1063">
        <v>1055</v>
      </c>
      <c r="B1063" s="1">
        <v>40056</v>
      </c>
      <c r="C1063" s="2">
        <v>279.99483921206041</v>
      </c>
      <c r="D1063" s="2">
        <v>0.86168263289626923</v>
      </c>
      <c r="E1063">
        <f t="shared" si="50"/>
        <v>8</v>
      </c>
      <c r="F1063">
        <f t="shared" si="51"/>
        <v>2009</v>
      </c>
      <c r="G1063" s="2">
        <f t="shared" si="52"/>
        <v>0</v>
      </c>
    </row>
    <row r="1064" spans="1:7" x14ac:dyDescent="0.25">
      <c r="A1064">
        <v>1056</v>
      </c>
      <c r="B1064" s="1">
        <v>40086</v>
      </c>
      <c r="C1064" s="2">
        <v>253.56663201676474</v>
      </c>
      <c r="D1064" s="2">
        <v>0.86168263289626923</v>
      </c>
      <c r="E1064">
        <f t="shared" si="50"/>
        <v>9</v>
      </c>
      <c r="F1064">
        <f t="shared" si="51"/>
        <v>2009</v>
      </c>
      <c r="G1064" s="2">
        <f t="shared" si="52"/>
        <v>0</v>
      </c>
    </row>
    <row r="1065" spans="1:7" x14ac:dyDescent="0.25">
      <c r="A1065">
        <v>1057</v>
      </c>
      <c r="B1065" s="1">
        <v>40117</v>
      </c>
      <c r="C1065" s="2">
        <v>216.07475469170529</v>
      </c>
      <c r="D1065" s="2">
        <v>0.86168263289626934</v>
      </c>
      <c r="E1065">
        <f t="shared" si="50"/>
        <v>10</v>
      </c>
      <c r="F1065">
        <f t="shared" si="51"/>
        <v>2009</v>
      </c>
      <c r="G1065" s="2">
        <f t="shared" si="52"/>
        <v>0</v>
      </c>
    </row>
    <row r="1066" spans="1:7" x14ac:dyDescent="0.25">
      <c r="A1066">
        <v>1058</v>
      </c>
      <c r="B1066" s="1">
        <v>40147</v>
      </c>
      <c r="C1066" s="2">
        <v>174.85540601156069</v>
      </c>
      <c r="D1066" s="2">
        <v>0.86168263289626923</v>
      </c>
      <c r="E1066">
        <f t="shared" si="50"/>
        <v>11</v>
      </c>
      <c r="F1066">
        <f t="shared" si="51"/>
        <v>2009</v>
      </c>
      <c r="G1066" s="2">
        <f t="shared" si="52"/>
        <v>0</v>
      </c>
    </row>
    <row r="1067" spans="1:7" x14ac:dyDescent="0.25">
      <c r="A1067">
        <v>1059</v>
      </c>
      <c r="B1067" s="1">
        <v>40178</v>
      </c>
      <c r="C1067" s="2">
        <v>153.1868782359345</v>
      </c>
      <c r="D1067" s="2">
        <v>0.86168263289626934</v>
      </c>
      <c r="E1067">
        <f t="shared" si="50"/>
        <v>12</v>
      </c>
      <c r="F1067">
        <f t="shared" si="51"/>
        <v>2009</v>
      </c>
      <c r="G1067" s="2">
        <f t="shared" si="52"/>
        <v>0</v>
      </c>
    </row>
    <row r="1068" spans="1:7" x14ac:dyDescent="0.25">
      <c r="A1068">
        <v>1060</v>
      </c>
      <c r="B1068" s="1">
        <v>40209</v>
      </c>
      <c r="C1068" s="2">
        <v>148.33069936464571</v>
      </c>
      <c r="D1068" s="2">
        <v>0.86168263289626923</v>
      </c>
      <c r="E1068">
        <f t="shared" si="50"/>
        <v>1</v>
      </c>
      <c r="F1068">
        <f t="shared" si="51"/>
        <v>2010</v>
      </c>
      <c r="G1068" s="2">
        <f t="shared" si="52"/>
        <v>0</v>
      </c>
    </row>
    <row r="1069" spans="1:7" x14ac:dyDescent="0.25">
      <c r="A1069">
        <v>1061</v>
      </c>
      <c r="B1069" s="1">
        <v>40237</v>
      </c>
      <c r="C1069" s="2">
        <v>145.70191233106175</v>
      </c>
      <c r="D1069" s="2">
        <v>0.85334289986826073</v>
      </c>
      <c r="E1069">
        <f t="shared" si="50"/>
        <v>2</v>
      </c>
      <c r="F1069">
        <f t="shared" si="51"/>
        <v>2010</v>
      </c>
      <c r="G1069" s="2">
        <f t="shared" si="52"/>
        <v>8091.8748005349989</v>
      </c>
    </row>
    <row r="1070" spans="1:7" x14ac:dyDescent="0.25">
      <c r="A1070">
        <v>1062</v>
      </c>
      <c r="B1070" s="1">
        <v>40268</v>
      </c>
      <c r="C1070" s="2">
        <v>123.59371307269303</v>
      </c>
      <c r="D1070" s="2">
        <v>0.81283933928062668</v>
      </c>
      <c r="E1070">
        <f t="shared" si="50"/>
        <v>3</v>
      </c>
      <c r="F1070">
        <f t="shared" si="51"/>
        <v>2010</v>
      </c>
      <c r="G1070" s="2">
        <f t="shared" si="52"/>
        <v>7599.4812005027788</v>
      </c>
    </row>
    <row r="1071" spans="1:7" x14ac:dyDescent="0.25">
      <c r="A1071">
        <v>1063</v>
      </c>
      <c r="B1071" s="1">
        <v>40298</v>
      </c>
      <c r="C1071" s="2">
        <v>181.23525201198254</v>
      </c>
      <c r="D1071" s="2">
        <v>0.99999999999999989</v>
      </c>
      <c r="E1071">
        <f t="shared" si="50"/>
        <v>4</v>
      </c>
      <c r="F1071">
        <f t="shared" si="51"/>
        <v>2010</v>
      </c>
      <c r="G1071" s="2">
        <f t="shared" si="52"/>
        <v>0</v>
      </c>
    </row>
    <row r="1072" spans="1:7" x14ac:dyDescent="0.25">
      <c r="A1072">
        <v>1064</v>
      </c>
      <c r="B1072" s="1">
        <v>40329</v>
      </c>
      <c r="C1072" s="2">
        <v>189.91672423298661</v>
      </c>
      <c r="D1072" s="2">
        <v>1</v>
      </c>
      <c r="E1072">
        <f t="shared" si="50"/>
        <v>5</v>
      </c>
      <c r="F1072">
        <f t="shared" si="51"/>
        <v>2010</v>
      </c>
      <c r="G1072" s="2">
        <f t="shared" si="52"/>
        <v>0</v>
      </c>
    </row>
    <row r="1073" spans="1:7" x14ac:dyDescent="0.25">
      <c r="A1073">
        <v>1065</v>
      </c>
      <c r="B1073" s="1">
        <v>40359</v>
      </c>
      <c r="C1073" s="2">
        <v>249.94227532208069</v>
      </c>
      <c r="D1073" s="2">
        <v>1</v>
      </c>
      <c r="E1073">
        <f t="shared" si="50"/>
        <v>6</v>
      </c>
      <c r="F1073">
        <f t="shared" si="51"/>
        <v>2010</v>
      </c>
      <c r="G1073" s="2">
        <f t="shared" si="52"/>
        <v>0</v>
      </c>
    </row>
    <row r="1074" spans="1:7" x14ac:dyDescent="0.25">
      <c r="A1074">
        <v>1066</v>
      </c>
      <c r="B1074" s="1">
        <v>40390</v>
      </c>
      <c r="C1074" s="2">
        <v>278.83348316359661</v>
      </c>
      <c r="D1074" s="2">
        <v>1</v>
      </c>
      <c r="E1074">
        <f t="shared" si="50"/>
        <v>7</v>
      </c>
      <c r="F1074">
        <f t="shared" si="51"/>
        <v>2010</v>
      </c>
      <c r="G1074" s="2">
        <f t="shared" si="52"/>
        <v>0</v>
      </c>
    </row>
    <row r="1075" spans="1:7" x14ac:dyDescent="0.25">
      <c r="A1075">
        <v>1067</v>
      </c>
      <c r="B1075" s="1">
        <v>40421</v>
      </c>
      <c r="C1075" s="2">
        <v>281.64601106700837</v>
      </c>
      <c r="D1075" s="2">
        <v>1</v>
      </c>
      <c r="E1075">
        <f t="shared" si="50"/>
        <v>8</v>
      </c>
      <c r="F1075">
        <f t="shared" si="51"/>
        <v>2010</v>
      </c>
      <c r="G1075" s="2">
        <f t="shared" si="52"/>
        <v>0</v>
      </c>
    </row>
    <row r="1076" spans="1:7" x14ac:dyDescent="0.25">
      <c r="A1076">
        <v>1068</v>
      </c>
      <c r="B1076" s="1">
        <v>40451</v>
      </c>
      <c r="C1076" s="2">
        <v>247.80503551638381</v>
      </c>
      <c r="D1076" s="2">
        <v>1</v>
      </c>
      <c r="E1076">
        <f t="shared" si="50"/>
        <v>9</v>
      </c>
      <c r="F1076">
        <f t="shared" si="51"/>
        <v>2010</v>
      </c>
      <c r="G1076" s="2">
        <f t="shared" si="52"/>
        <v>0</v>
      </c>
    </row>
    <row r="1077" spans="1:7" x14ac:dyDescent="0.25">
      <c r="A1077">
        <v>1069</v>
      </c>
      <c r="B1077" s="1">
        <v>40482</v>
      </c>
      <c r="C1077" s="2">
        <v>213.68325149262247</v>
      </c>
      <c r="D1077" s="2">
        <v>1</v>
      </c>
      <c r="E1077">
        <f t="shared" si="50"/>
        <v>10</v>
      </c>
      <c r="F1077">
        <f t="shared" si="51"/>
        <v>2010</v>
      </c>
      <c r="G1077" s="2">
        <f t="shared" si="52"/>
        <v>0</v>
      </c>
    </row>
    <row r="1078" spans="1:7" x14ac:dyDescent="0.25">
      <c r="A1078">
        <v>1070</v>
      </c>
      <c r="B1078" s="1">
        <v>40512</v>
      </c>
      <c r="C1078" s="2">
        <v>158.89264570494973</v>
      </c>
      <c r="D1078" s="2">
        <v>1</v>
      </c>
      <c r="E1078">
        <f t="shared" si="50"/>
        <v>11</v>
      </c>
      <c r="F1078">
        <f t="shared" si="51"/>
        <v>2010</v>
      </c>
      <c r="G1078" s="2">
        <f t="shared" si="52"/>
        <v>0</v>
      </c>
    </row>
    <row r="1079" spans="1:7" x14ac:dyDescent="0.25">
      <c r="A1079">
        <v>1071</v>
      </c>
      <c r="B1079" s="1">
        <v>40543</v>
      </c>
      <c r="C1079" s="2">
        <v>140.7197017834973</v>
      </c>
      <c r="D1079" s="2">
        <v>1</v>
      </c>
      <c r="E1079">
        <f t="shared" si="50"/>
        <v>12</v>
      </c>
      <c r="F1079">
        <f t="shared" si="51"/>
        <v>2010</v>
      </c>
      <c r="G1079" s="2">
        <f t="shared" si="52"/>
        <v>0</v>
      </c>
    </row>
    <row r="1080" spans="1:7" x14ac:dyDescent="0.25">
      <c r="A1080">
        <v>1072</v>
      </c>
      <c r="B1080" s="1">
        <v>40574</v>
      </c>
      <c r="C1080" s="2">
        <v>120.71654124454039</v>
      </c>
      <c r="D1080" s="2">
        <v>1</v>
      </c>
      <c r="E1080">
        <f t="shared" si="50"/>
        <v>1</v>
      </c>
      <c r="F1080">
        <f t="shared" si="51"/>
        <v>2011</v>
      </c>
      <c r="G1080" s="2">
        <f t="shared" si="52"/>
        <v>0</v>
      </c>
    </row>
    <row r="1081" spans="1:7" x14ac:dyDescent="0.25">
      <c r="A1081">
        <v>1073</v>
      </c>
      <c r="B1081" s="1">
        <v>40602</v>
      </c>
      <c r="C1081" s="2">
        <v>114.45563578137684</v>
      </c>
      <c r="D1081" s="2">
        <v>1</v>
      </c>
      <c r="E1081">
        <f t="shared" si="50"/>
        <v>2</v>
      </c>
      <c r="F1081">
        <f t="shared" si="51"/>
        <v>2011</v>
      </c>
      <c r="G1081" s="2">
        <f t="shared" si="52"/>
        <v>6356.5444004202673</v>
      </c>
    </row>
    <row r="1082" spans="1:7" x14ac:dyDescent="0.25">
      <c r="A1082">
        <v>1074</v>
      </c>
      <c r="B1082" s="1">
        <v>40633</v>
      </c>
      <c r="C1082" s="2">
        <v>96.914806888135658</v>
      </c>
      <c r="D1082" s="2">
        <v>1</v>
      </c>
      <c r="E1082">
        <f t="shared" si="50"/>
        <v>3</v>
      </c>
      <c r="F1082">
        <f t="shared" si="51"/>
        <v>2011</v>
      </c>
      <c r="G1082" s="2">
        <f t="shared" si="52"/>
        <v>5959.0592003944566</v>
      </c>
    </row>
    <row r="1083" spans="1:7" x14ac:dyDescent="0.25">
      <c r="A1083">
        <v>1075</v>
      </c>
      <c r="B1083" s="1">
        <v>40663</v>
      </c>
      <c r="C1083" s="2">
        <v>127.84175342511904</v>
      </c>
      <c r="D1083" s="2">
        <v>1</v>
      </c>
      <c r="E1083">
        <f t="shared" si="50"/>
        <v>4</v>
      </c>
      <c r="F1083">
        <f t="shared" si="51"/>
        <v>2011</v>
      </c>
      <c r="G1083" s="2">
        <f t="shared" si="52"/>
        <v>0</v>
      </c>
    </row>
    <row r="1084" spans="1:7" x14ac:dyDescent="0.25">
      <c r="A1084">
        <v>1076</v>
      </c>
      <c r="B1084" s="1">
        <v>40694</v>
      </c>
      <c r="C1084" s="2">
        <v>173.69722718890347</v>
      </c>
      <c r="D1084" s="2">
        <v>1</v>
      </c>
      <c r="E1084">
        <f t="shared" si="50"/>
        <v>5</v>
      </c>
      <c r="F1084">
        <f t="shared" si="51"/>
        <v>2011</v>
      </c>
      <c r="G1084" s="2">
        <f t="shared" si="52"/>
        <v>0</v>
      </c>
    </row>
    <row r="1085" spans="1:7" x14ac:dyDescent="0.25">
      <c r="A1085">
        <v>1077</v>
      </c>
      <c r="B1085" s="1">
        <v>40724</v>
      </c>
      <c r="C1085" s="2">
        <v>230.63820084858216</v>
      </c>
      <c r="D1085" s="2">
        <v>1</v>
      </c>
      <c r="E1085">
        <f t="shared" si="50"/>
        <v>6</v>
      </c>
      <c r="F1085">
        <f t="shared" si="51"/>
        <v>2011</v>
      </c>
      <c r="G1085" s="2">
        <f t="shared" si="52"/>
        <v>0</v>
      </c>
    </row>
    <row r="1086" spans="1:7" x14ac:dyDescent="0.25">
      <c r="A1086">
        <v>1078</v>
      </c>
      <c r="B1086" s="1">
        <v>40755</v>
      </c>
      <c r="C1086" s="2">
        <v>271.71188667119026</v>
      </c>
      <c r="D1086" s="2">
        <v>1</v>
      </c>
      <c r="E1086">
        <f t="shared" si="50"/>
        <v>7</v>
      </c>
      <c r="F1086">
        <f t="shared" si="51"/>
        <v>2011</v>
      </c>
      <c r="G1086" s="2">
        <f t="shared" si="52"/>
        <v>0</v>
      </c>
    </row>
    <row r="1087" spans="1:7" x14ac:dyDescent="0.25">
      <c r="A1087">
        <v>1079</v>
      </c>
      <c r="B1087" s="1">
        <v>40786</v>
      </c>
      <c r="C1087" s="2">
        <v>282.21761897027193</v>
      </c>
      <c r="D1087" s="2">
        <v>0.99999999999999989</v>
      </c>
      <c r="E1087">
        <f t="shared" si="50"/>
        <v>8</v>
      </c>
      <c r="F1087">
        <f t="shared" si="51"/>
        <v>2011</v>
      </c>
      <c r="G1087" s="2">
        <f t="shared" si="52"/>
        <v>0</v>
      </c>
    </row>
    <row r="1088" spans="1:7" x14ac:dyDescent="0.25">
      <c r="A1088">
        <v>1080</v>
      </c>
      <c r="B1088" s="1">
        <v>40816</v>
      </c>
      <c r="C1088" s="2">
        <v>245.18670139121073</v>
      </c>
      <c r="D1088" s="2">
        <v>1</v>
      </c>
      <c r="E1088">
        <f t="shared" si="50"/>
        <v>9</v>
      </c>
      <c r="F1088">
        <f t="shared" si="51"/>
        <v>2011</v>
      </c>
      <c r="G1088" s="2">
        <f t="shared" si="52"/>
        <v>0</v>
      </c>
    </row>
    <row r="1089" spans="1:7" x14ac:dyDescent="0.25">
      <c r="A1089">
        <v>1081</v>
      </c>
      <c r="B1089" s="1">
        <v>40847</v>
      </c>
      <c r="C1089" s="2">
        <v>208.40764336055321</v>
      </c>
      <c r="D1089" s="2">
        <v>1</v>
      </c>
      <c r="E1089">
        <f t="shared" si="50"/>
        <v>10</v>
      </c>
      <c r="F1089">
        <f t="shared" si="51"/>
        <v>2011</v>
      </c>
      <c r="G1089" s="2">
        <f t="shared" si="52"/>
        <v>0</v>
      </c>
    </row>
    <row r="1090" spans="1:7" x14ac:dyDescent="0.25">
      <c r="A1090">
        <v>1082</v>
      </c>
      <c r="B1090" s="1">
        <v>40877</v>
      </c>
      <c r="C1090" s="2">
        <v>139.90811542591678</v>
      </c>
      <c r="D1090" s="2">
        <v>1</v>
      </c>
      <c r="E1090">
        <f t="shared" si="50"/>
        <v>11</v>
      </c>
      <c r="F1090">
        <f t="shared" si="51"/>
        <v>2011</v>
      </c>
      <c r="G1090" s="2">
        <f t="shared" si="52"/>
        <v>0</v>
      </c>
    </row>
    <row r="1091" spans="1:7" x14ac:dyDescent="0.25">
      <c r="A1091">
        <v>1083</v>
      </c>
      <c r="B1091" s="1">
        <v>40908</v>
      </c>
      <c r="C1091" s="2">
        <v>100.09781597435999</v>
      </c>
      <c r="D1091" s="2">
        <v>1</v>
      </c>
      <c r="E1091">
        <f t="shared" si="50"/>
        <v>12</v>
      </c>
      <c r="F1091">
        <f t="shared" si="51"/>
        <v>2011</v>
      </c>
      <c r="G1091" s="2">
        <f t="shared" si="52"/>
        <v>0</v>
      </c>
    </row>
    <row r="1092" spans="1:7" x14ac:dyDescent="0.25">
      <c r="A1092">
        <v>1084</v>
      </c>
      <c r="B1092" s="1">
        <v>40939</v>
      </c>
      <c r="C1092" s="2">
        <v>94.480039683665964</v>
      </c>
      <c r="D1092" s="2">
        <v>1</v>
      </c>
      <c r="E1092">
        <f t="shared" si="50"/>
        <v>1</v>
      </c>
      <c r="F1092">
        <f t="shared" si="51"/>
        <v>2012</v>
      </c>
      <c r="G1092" s="2">
        <f t="shared" si="52"/>
        <v>0</v>
      </c>
    </row>
    <row r="1093" spans="1:7" x14ac:dyDescent="0.25">
      <c r="A1093">
        <v>1085</v>
      </c>
      <c r="B1093" s="1">
        <v>40968</v>
      </c>
      <c r="C1093" s="2">
        <v>104.8901121621073</v>
      </c>
      <c r="D1093" s="2">
        <v>0.88015869813538083</v>
      </c>
      <c r="E1093">
        <f t="shared" si="50"/>
        <v>2</v>
      </c>
      <c r="F1093">
        <f t="shared" si="51"/>
        <v>2012</v>
      </c>
      <c r="G1093" s="2">
        <f t="shared" si="52"/>
        <v>5825.3020969368681</v>
      </c>
    </row>
    <row r="1094" spans="1:7" x14ac:dyDescent="0.25">
      <c r="A1094">
        <v>1086</v>
      </c>
      <c r="B1094" s="1">
        <v>40999</v>
      </c>
      <c r="C1094" s="2">
        <v>123.59371307269652</v>
      </c>
      <c r="D1094" s="2">
        <v>0.63683812137878493</v>
      </c>
      <c r="E1094">
        <f t="shared" si="50"/>
        <v>3</v>
      </c>
      <c r="F1094">
        <f t="shared" si="51"/>
        <v>2012</v>
      </c>
      <c r="G1094" s="2">
        <f t="shared" si="52"/>
        <v>7599.4812005029926</v>
      </c>
    </row>
    <row r="1095" spans="1:7" x14ac:dyDescent="0.25">
      <c r="A1095">
        <v>1087</v>
      </c>
      <c r="B1095" s="1">
        <v>41029</v>
      </c>
      <c r="C1095" s="2">
        <v>155.35965745471617</v>
      </c>
      <c r="D1095" s="2">
        <v>0.95695449708675429</v>
      </c>
      <c r="E1095">
        <f t="shared" si="50"/>
        <v>4</v>
      </c>
      <c r="F1095">
        <f t="shared" si="51"/>
        <v>2012</v>
      </c>
      <c r="G1095" s="2">
        <f t="shared" si="52"/>
        <v>0</v>
      </c>
    </row>
    <row r="1096" spans="1:7" x14ac:dyDescent="0.25">
      <c r="A1096">
        <v>1088</v>
      </c>
      <c r="B1096" s="1">
        <v>41060</v>
      </c>
      <c r="C1096" s="2">
        <v>189.91672423298658</v>
      </c>
      <c r="D1096" s="2">
        <v>1</v>
      </c>
      <c r="E1096">
        <f t="shared" si="50"/>
        <v>5</v>
      </c>
      <c r="F1096">
        <f t="shared" si="51"/>
        <v>2012</v>
      </c>
      <c r="G1096" s="2">
        <f t="shared" si="52"/>
        <v>0</v>
      </c>
    </row>
    <row r="1097" spans="1:7" x14ac:dyDescent="0.25">
      <c r="A1097">
        <v>1089</v>
      </c>
      <c r="B1097" s="1">
        <v>41090</v>
      </c>
      <c r="C1097" s="2">
        <v>249.94227532208066</v>
      </c>
      <c r="D1097" s="2">
        <v>1</v>
      </c>
      <c r="E1097">
        <f t="shared" si="50"/>
        <v>6</v>
      </c>
      <c r="F1097">
        <f t="shared" si="51"/>
        <v>2012</v>
      </c>
      <c r="G1097" s="2">
        <f t="shared" si="52"/>
        <v>0</v>
      </c>
    </row>
    <row r="1098" spans="1:7" x14ac:dyDescent="0.25">
      <c r="A1098">
        <v>1090</v>
      </c>
      <c r="B1098" s="1">
        <v>41121</v>
      </c>
      <c r="C1098" s="2">
        <v>278.83348316359661</v>
      </c>
      <c r="D1098" s="2">
        <v>1</v>
      </c>
      <c r="E1098">
        <f t="shared" ref="E1098:E1161" si="53">MONTH(B1098)</f>
        <v>7</v>
      </c>
      <c r="F1098">
        <f t="shared" ref="F1098:F1161" si="54">YEAR(B1098)</f>
        <v>2012</v>
      </c>
      <c r="G1098" s="2">
        <f t="shared" ref="G1098:G1161" si="55">IF(E1098=2,C1098*$G$5*28,IF(E1098=3,C1098*$G$5*31,0))</f>
        <v>0</v>
      </c>
    </row>
    <row r="1099" spans="1:7" x14ac:dyDescent="0.25">
      <c r="A1099">
        <v>1091</v>
      </c>
      <c r="B1099" s="1">
        <v>41152</v>
      </c>
      <c r="C1099" s="2">
        <v>281.64601106700837</v>
      </c>
      <c r="D1099" s="2">
        <v>1</v>
      </c>
      <c r="E1099">
        <f t="shared" si="53"/>
        <v>8</v>
      </c>
      <c r="F1099">
        <f t="shared" si="54"/>
        <v>2012</v>
      </c>
      <c r="G1099" s="2">
        <f t="shared" si="55"/>
        <v>0</v>
      </c>
    </row>
    <row r="1100" spans="1:7" x14ac:dyDescent="0.25">
      <c r="A1100">
        <v>1092</v>
      </c>
      <c r="B1100" s="1">
        <v>41182</v>
      </c>
      <c r="C1100" s="2">
        <v>247.80503551638381</v>
      </c>
      <c r="D1100" s="2">
        <v>1</v>
      </c>
      <c r="E1100">
        <f t="shared" si="53"/>
        <v>9</v>
      </c>
      <c r="F1100">
        <f t="shared" si="54"/>
        <v>2012</v>
      </c>
      <c r="G1100" s="2">
        <f t="shared" si="55"/>
        <v>0</v>
      </c>
    </row>
    <row r="1101" spans="1:7" x14ac:dyDescent="0.25">
      <c r="A1101">
        <v>1093</v>
      </c>
      <c r="B1101" s="1">
        <v>41213</v>
      </c>
      <c r="C1101" s="2">
        <v>213.68325149262245</v>
      </c>
      <c r="D1101" s="2">
        <v>1</v>
      </c>
      <c r="E1101">
        <f t="shared" si="53"/>
        <v>10</v>
      </c>
      <c r="F1101">
        <f t="shared" si="54"/>
        <v>2012</v>
      </c>
      <c r="G1101" s="2">
        <f t="shared" si="55"/>
        <v>0</v>
      </c>
    </row>
    <row r="1102" spans="1:7" x14ac:dyDescent="0.25">
      <c r="A1102">
        <v>1094</v>
      </c>
      <c r="B1102" s="1">
        <v>41243</v>
      </c>
      <c r="C1102" s="2">
        <v>158.89264570494973</v>
      </c>
      <c r="D1102" s="2">
        <v>1</v>
      </c>
      <c r="E1102">
        <f t="shared" si="53"/>
        <v>11</v>
      </c>
      <c r="F1102">
        <f t="shared" si="54"/>
        <v>2012</v>
      </c>
      <c r="G1102" s="2">
        <f t="shared" si="55"/>
        <v>0</v>
      </c>
    </row>
    <row r="1103" spans="1:7" x14ac:dyDescent="0.25">
      <c r="A1103">
        <v>1095</v>
      </c>
      <c r="B1103" s="1">
        <v>41274</v>
      </c>
      <c r="C1103" s="2">
        <v>140.7197017834973</v>
      </c>
      <c r="D1103" s="2">
        <v>1</v>
      </c>
      <c r="E1103">
        <f t="shared" si="53"/>
        <v>12</v>
      </c>
      <c r="F1103">
        <f t="shared" si="54"/>
        <v>2012</v>
      </c>
      <c r="G1103" s="2">
        <f t="shared" si="55"/>
        <v>0</v>
      </c>
    </row>
    <row r="1104" spans="1:7" x14ac:dyDescent="0.25">
      <c r="A1104">
        <v>1096</v>
      </c>
      <c r="B1104" s="1">
        <v>41305</v>
      </c>
      <c r="C1104" s="2">
        <v>120.71654124454039</v>
      </c>
      <c r="D1104" s="2">
        <v>1</v>
      </c>
      <c r="E1104">
        <f t="shared" si="53"/>
        <v>1</v>
      </c>
      <c r="F1104">
        <f t="shared" si="54"/>
        <v>2013</v>
      </c>
      <c r="G1104" s="2">
        <f t="shared" si="55"/>
        <v>0</v>
      </c>
    </row>
    <row r="1105" spans="1:7" x14ac:dyDescent="0.25">
      <c r="A1105">
        <v>1097</v>
      </c>
      <c r="B1105" s="1">
        <v>41333</v>
      </c>
      <c r="C1105" s="2">
        <v>114.45563578137686</v>
      </c>
      <c r="D1105" s="2">
        <v>1</v>
      </c>
      <c r="E1105">
        <f t="shared" si="53"/>
        <v>2</v>
      </c>
      <c r="F1105">
        <f t="shared" si="54"/>
        <v>2013</v>
      </c>
      <c r="G1105" s="2">
        <f t="shared" si="55"/>
        <v>6356.5444004202682</v>
      </c>
    </row>
    <row r="1106" spans="1:7" x14ac:dyDescent="0.25">
      <c r="A1106">
        <v>1098</v>
      </c>
      <c r="B1106" s="1">
        <v>41364</v>
      </c>
      <c r="C1106" s="2">
        <v>106.88716825976027</v>
      </c>
      <c r="D1106" s="2">
        <v>0.75</v>
      </c>
      <c r="E1106">
        <f t="shared" si="53"/>
        <v>3</v>
      </c>
      <c r="F1106">
        <f t="shared" si="54"/>
        <v>2013</v>
      </c>
      <c r="G1106" s="2">
        <f t="shared" si="55"/>
        <v>6572.2358004348462</v>
      </c>
    </row>
    <row r="1107" spans="1:7" x14ac:dyDescent="0.25">
      <c r="A1107">
        <v>1099</v>
      </c>
      <c r="B1107" s="1">
        <v>41394</v>
      </c>
      <c r="C1107" s="2">
        <v>181.23525201198254</v>
      </c>
      <c r="D1107" s="2">
        <v>0.73781287738546353</v>
      </c>
      <c r="E1107">
        <f t="shared" si="53"/>
        <v>4</v>
      </c>
      <c r="F1107">
        <f t="shared" si="54"/>
        <v>2013</v>
      </c>
      <c r="G1107" s="2">
        <f t="shared" si="55"/>
        <v>0</v>
      </c>
    </row>
    <row r="1108" spans="1:7" x14ac:dyDescent="0.25">
      <c r="A1108">
        <v>1100</v>
      </c>
      <c r="B1108" s="1">
        <v>41425</v>
      </c>
      <c r="C1108" s="2">
        <v>220.07156033713082</v>
      </c>
      <c r="D1108" s="2">
        <v>0.74419322539324162</v>
      </c>
      <c r="E1108">
        <f t="shared" si="53"/>
        <v>5</v>
      </c>
      <c r="F1108">
        <f t="shared" si="54"/>
        <v>2013</v>
      </c>
      <c r="G1108" s="2">
        <f t="shared" si="55"/>
        <v>0</v>
      </c>
    </row>
    <row r="1109" spans="1:7" x14ac:dyDescent="0.25">
      <c r="A1109">
        <v>1101</v>
      </c>
      <c r="B1109" s="1">
        <v>41455</v>
      </c>
      <c r="C1109" s="2">
        <v>257.70906701703865</v>
      </c>
      <c r="D1109" s="2">
        <v>0.74419322539324151</v>
      </c>
      <c r="E1109">
        <f t="shared" si="53"/>
        <v>6</v>
      </c>
      <c r="F1109">
        <f t="shared" si="54"/>
        <v>2013</v>
      </c>
      <c r="G1109" s="2">
        <f t="shared" si="55"/>
        <v>0</v>
      </c>
    </row>
    <row r="1110" spans="1:7" x14ac:dyDescent="0.25">
      <c r="A1110">
        <v>1102</v>
      </c>
      <c r="B1110" s="1">
        <v>41486</v>
      </c>
      <c r="C1110" s="2">
        <v>288.24290179325095</v>
      </c>
      <c r="D1110" s="2">
        <v>0.74419322539324151</v>
      </c>
      <c r="E1110">
        <f t="shared" si="53"/>
        <v>7</v>
      </c>
      <c r="F1110">
        <f t="shared" si="54"/>
        <v>2013</v>
      </c>
      <c r="G1110" s="2">
        <f t="shared" si="55"/>
        <v>0</v>
      </c>
    </row>
    <row r="1111" spans="1:7" x14ac:dyDescent="0.25">
      <c r="A1111">
        <v>1103</v>
      </c>
      <c r="B1111" s="1">
        <v>41517</v>
      </c>
      <c r="C1111" s="2">
        <v>279.99483921206036</v>
      </c>
      <c r="D1111" s="2">
        <v>0.74419322539324151</v>
      </c>
      <c r="E1111">
        <f t="shared" si="53"/>
        <v>8</v>
      </c>
      <c r="F1111">
        <f t="shared" si="54"/>
        <v>2013</v>
      </c>
      <c r="G1111" s="2">
        <f t="shared" si="55"/>
        <v>0</v>
      </c>
    </row>
    <row r="1112" spans="1:7" x14ac:dyDescent="0.25">
      <c r="A1112">
        <v>1104</v>
      </c>
      <c r="B1112" s="1">
        <v>41547</v>
      </c>
      <c r="C1112" s="2">
        <v>253.56663201676471</v>
      </c>
      <c r="D1112" s="2">
        <v>0.7441932253932414</v>
      </c>
      <c r="E1112">
        <f t="shared" si="53"/>
        <v>9</v>
      </c>
      <c r="F1112">
        <f t="shared" si="54"/>
        <v>2013</v>
      </c>
      <c r="G1112" s="2">
        <f t="shared" si="55"/>
        <v>0</v>
      </c>
    </row>
    <row r="1113" spans="1:7" x14ac:dyDescent="0.25">
      <c r="A1113">
        <v>1105</v>
      </c>
      <c r="B1113" s="1">
        <v>41578</v>
      </c>
      <c r="C1113" s="2">
        <v>216.07475469170529</v>
      </c>
      <c r="D1113" s="2">
        <v>0.74419322539324151</v>
      </c>
      <c r="E1113">
        <f t="shared" si="53"/>
        <v>10</v>
      </c>
      <c r="F1113">
        <f t="shared" si="54"/>
        <v>2013</v>
      </c>
      <c r="G1113" s="2">
        <f t="shared" si="55"/>
        <v>0</v>
      </c>
    </row>
    <row r="1114" spans="1:7" x14ac:dyDescent="0.25">
      <c r="A1114">
        <v>1106</v>
      </c>
      <c r="B1114" s="1">
        <v>41608</v>
      </c>
      <c r="C1114" s="2">
        <v>174.85540601156069</v>
      </c>
      <c r="D1114" s="2">
        <v>0.7441932253932414</v>
      </c>
      <c r="E1114">
        <f t="shared" si="53"/>
        <v>11</v>
      </c>
      <c r="F1114">
        <f t="shared" si="54"/>
        <v>2013</v>
      </c>
      <c r="G1114" s="2">
        <f t="shared" si="55"/>
        <v>0</v>
      </c>
    </row>
    <row r="1115" spans="1:7" x14ac:dyDescent="0.25">
      <c r="A1115">
        <v>1107</v>
      </c>
      <c r="B1115" s="1">
        <v>41639</v>
      </c>
      <c r="C1115" s="2">
        <v>153.1868782359345</v>
      </c>
      <c r="D1115" s="2">
        <v>0.74419322539324151</v>
      </c>
      <c r="E1115">
        <f t="shared" si="53"/>
        <v>12</v>
      </c>
      <c r="F1115">
        <f t="shared" si="54"/>
        <v>2013</v>
      </c>
      <c r="G1115" s="2">
        <f t="shared" si="55"/>
        <v>0</v>
      </c>
    </row>
    <row r="1116" spans="1:7" x14ac:dyDescent="0.25">
      <c r="A1116">
        <v>1108</v>
      </c>
      <c r="B1116" s="1">
        <v>41670</v>
      </c>
      <c r="C1116" s="2">
        <v>148.33069936464571</v>
      </c>
      <c r="D1116" s="2">
        <v>0.74419322539324151</v>
      </c>
      <c r="E1116">
        <f t="shared" si="53"/>
        <v>1</v>
      </c>
      <c r="F1116">
        <f t="shared" si="54"/>
        <v>2014</v>
      </c>
      <c r="G1116" s="2">
        <f t="shared" si="55"/>
        <v>0</v>
      </c>
    </row>
    <row r="1117" spans="1:7" x14ac:dyDescent="0.25">
      <c r="A1117">
        <v>1109</v>
      </c>
      <c r="B1117" s="1">
        <v>41698</v>
      </c>
      <c r="C1117" s="2">
        <v>145.70191233106172</v>
      </c>
      <c r="D1117" s="2">
        <v>0.25</v>
      </c>
      <c r="E1117">
        <f t="shared" si="53"/>
        <v>2</v>
      </c>
      <c r="F1117">
        <f t="shared" si="54"/>
        <v>2014</v>
      </c>
      <c r="G1117" s="2">
        <f t="shared" si="55"/>
        <v>8091.8748005349971</v>
      </c>
    </row>
    <row r="1118" spans="1:7" x14ac:dyDescent="0.25">
      <c r="A1118">
        <v>1110</v>
      </c>
      <c r="B1118" s="1">
        <v>41729</v>
      </c>
      <c r="C1118" s="2">
        <v>152.55323506386273</v>
      </c>
      <c r="D1118" s="2">
        <v>0.25</v>
      </c>
      <c r="E1118">
        <f t="shared" si="53"/>
        <v>3</v>
      </c>
      <c r="F1118">
        <f t="shared" si="54"/>
        <v>2014</v>
      </c>
      <c r="G1118" s="2">
        <f t="shared" si="55"/>
        <v>9380.1328006209824</v>
      </c>
    </row>
    <row r="1119" spans="1:7" x14ac:dyDescent="0.25">
      <c r="A1119">
        <v>1111</v>
      </c>
      <c r="B1119" s="1">
        <v>41759</v>
      </c>
      <c r="C1119" s="2">
        <v>196.32088667964658</v>
      </c>
      <c r="D1119" s="2">
        <v>0.25</v>
      </c>
      <c r="E1119">
        <f t="shared" si="53"/>
        <v>4</v>
      </c>
      <c r="F1119">
        <f t="shared" si="54"/>
        <v>2014</v>
      </c>
      <c r="G1119" s="2">
        <f t="shared" si="55"/>
        <v>0</v>
      </c>
    </row>
    <row r="1120" spans="1:7" x14ac:dyDescent="0.25">
      <c r="A1120">
        <v>1112</v>
      </c>
      <c r="B1120" s="1">
        <v>41790</v>
      </c>
      <c r="C1120" s="2">
        <v>239.89165958575308</v>
      </c>
      <c r="D1120" s="2">
        <v>0.25</v>
      </c>
      <c r="E1120">
        <f t="shared" si="53"/>
        <v>5</v>
      </c>
      <c r="F1120">
        <f t="shared" si="54"/>
        <v>2014</v>
      </c>
      <c r="G1120" s="2">
        <f t="shared" si="55"/>
        <v>0</v>
      </c>
    </row>
    <row r="1121" spans="1:7" x14ac:dyDescent="0.25">
      <c r="A1121">
        <v>1113</v>
      </c>
      <c r="B1121" s="1">
        <v>41820</v>
      </c>
      <c r="C1121" s="2">
        <v>275.36306112931697</v>
      </c>
      <c r="D1121" s="2">
        <v>0.25</v>
      </c>
      <c r="E1121">
        <f t="shared" si="53"/>
        <v>6</v>
      </c>
      <c r="F1121">
        <f t="shared" si="54"/>
        <v>2014</v>
      </c>
      <c r="G1121" s="2">
        <f t="shared" si="55"/>
        <v>0</v>
      </c>
    </row>
    <row r="1122" spans="1:7" x14ac:dyDescent="0.25">
      <c r="A1122">
        <v>1114</v>
      </c>
      <c r="B1122" s="1">
        <v>41851</v>
      </c>
      <c r="C1122" s="2">
        <v>287.21574840608622</v>
      </c>
      <c r="D1122" s="2">
        <v>0.25</v>
      </c>
      <c r="E1122">
        <f t="shared" si="53"/>
        <v>7</v>
      </c>
      <c r="F1122">
        <f t="shared" si="54"/>
        <v>2014</v>
      </c>
      <c r="G1122" s="2">
        <f t="shared" si="55"/>
        <v>0</v>
      </c>
    </row>
    <row r="1123" spans="1:7" x14ac:dyDescent="0.25">
      <c r="A1123">
        <v>1115</v>
      </c>
      <c r="B1123" s="1">
        <v>41882</v>
      </c>
      <c r="C1123" s="2">
        <v>278.99732431952134</v>
      </c>
      <c r="D1123" s="2">
        <v>0.25</v>
      </c>
      <c r="E1123">
        <f t="shared" si="53"/>
        <v>8</v>
      </c>
      <c r="F1123">
        <f t="shared" si="54"/>
        <v>2014</v>
      </c>
      <c r="G1123" s="2">
        <f t="shared" si="55"/>
        <v>0</v>
      </c>
    </row>
    <row r="1124" spans="1:7" x14ac:dyDescent="0.25">
      <c r="A1124">
        <v>1116</v>
      </c>
      <c r="B1124" s="1">
        <v>41912</v>
      </c>
      <c r="C1124" s="2">
        <v>254.31992423903677</v>
      </c>
      <c r="D1124" s="2">
        <v>0.25</v>
      </c>
      <c r="E1124">
        <f t="shared" si="53"/>
        <v>9</v>
      </c>
      <c r="F1124">
        <f t="shared" si="54"/>
        <v>2014</v>
      </c>
      <c r="G1124" s="2">
        <f t="shared" si="55"/>
        <v>0</v>
      </c>
    </row>
    <row r="1125" spans="1:7" x14ac:dyDescent="0.25">
      <c r="A1125">
        <v>1117</v>
      </c>
      <c r="B1125" s="1">
        <v>41943</v>
      </c>
      <c r="C1125" s="2">
        <v>214.84262990667759</v>
      </c>
      <c r="D1125" s="2">
        <v>0.25</v>
      </c>
      <c r="E1125">
        <f t="shared" si="53"/>
        <v>10</v>
      </c>
      <c r="F1125">
        <f t="shared" si="54"/>
        <v>2014</v>
      </c>
      <c r="G1125" s="2">
        <f t="shared" si="55"/>
        <v>0</v>
      </c>
    </row>
    <row r="1126" spans="1:7" x14ac:dyDescent="0.25">
      <c r="A1126">
        <v>1118</v>
      </c>
      <c r="B1126" s="1">
        <v>41973</v>
      </c>
      <c r="C1126" s="2">
        <v>177.10611356726511</v>
      </c>
      <c r="D1126" s="2">
        <v>0.25</v>
      </c>
      <c r="E1126">
        <f t="shared" si="53"/>
        <v>11</v>
      </c>
      <c r="F1126">
        <f t="shared" si="54"/>
        <v>2014</v>
      </c>
      <c r="G1126" s="2">
        <f t="shared" si="55"/>
        <v>0</v>
      </c>
    </row>
    <row r="1127" spans="1:7" x14ac:dyDescent="0.25">
      <c r="A1127">
        <v>1119</v>
      </c>
      <c r="B1127" s="1">
        <v>42004</v>
      </c>
      <c r="C1127" s="2">
        <v>161.98826861286051</v>
      </c>
      <c r="D1127" s="2">
        <v>0.25</v>
      </c>
      <c r="E1127">
        <f t="shared" si="53"/>
        <v>12</v>
      </c>
      <c r="F1127">
        <f t="shared" si="54"/>
        <v>2014</v>
      </c>
      <c r="G1127" s="2">
        <f t="shared" si="55"/>
        <v>0</v>
      </c>
    </row>
    <row r="1128" spans="1:7" x14ac:dyDescent="0.25">
      <c r="A1128">
        <v>1120</v>
      </c>
      <c r="B1128" s="1">
        <v>42035</v>
      </c>
      <c r="C1128" s="2">
        <v>157.69227420397434</v>
      </c>
      <c r="D1128" s="2">
        <v>0.25</v>
      </c>
      <c r="E1128">
        <f t="shared" si="53"/>
        <v>1</v>
      </c>
      <c r="F1128">
        <f t="shared" si="54"/>
        <v>2015</v>
      </c>
      <c r="G1128" s="2">
        <f t="shared" si="55"/>
        <v>0</v>
      </c>
    </row>
    <row r="1129" spans="1:7" x14ac:dyDescent="0.25">
      <c r="A1129">
        <v>1121</v>
      </c>
      <c r="B1129" s="1">
        <v>42063</v>
      </c>
      <c r="C1129" s="2">
        <v>173.743928821011</v>
      </c>
      <c r="D1129" s="2">
        <v>0.5</v>
      </c>
      <c r="E1129">
        <f t="shared" si="53"/>
        <v>2</v>
      </c>
      <c r="F1129">
        <f t="shared" si="54"/>
        <v>2015</v>
      </c>
      <c r="G1129" s="2">
        <f t="shared" si="55"/>
        <v>9649.2496006379661</v>
      </c>
    </row>
    <row r="1130" spans="1:7" x14ac:dyDescent="0.25">
      <c r="A1130">
        <v>1122</v>
      </c>
      <c r="B1130" s="1">
        <v>42094</v>
      </c>
      <c r="C1130" s="2">
        <v>152.5532350638496</v>
      </c>
      <c r="D1130" s="2">
        <v>0.5</v>
      </c>
      <c r="E1130">
        <f t="shared" si="53"/>
        <v>3</v>
      </c>
      <c r="F1130">
        <f t="shared" si="54"/>
        <v>2015</v>
      </c>
      <c r="G1130" s="2">
        <f t="shared" si="55"/>
        <v>9380.1328006201729</v>
      </c>
    </row>
    <row r="1131" spans="1:7" x14ac:dyDescent="0.25">
      <c r="A1131">
        <v>1123</v>
      </c>
      <c r="B1131" s="1">
        <v>42124</v>
      </c>
      <c r="C1131" s="2">
        <v>196.32088667964658</v>
      </c>
      <c r="D1131" s="2">
        <v>0.5</v>
      </c>
      <c r="E1131">
        <f t="shared" si="53"/>
        <v>4</v>
      </c>
      <c r="F1131">
        <f t="shared" si="54"/>
        <v>2015</v>
      </c>
      <c r="G1131" s="2">
        <f t="shared" si="55"/>
        <v>0</v>
      </c>
    </row>
    <row r="1132" spans="1:7" x14ac:dyDescent="0.25">
      <c r="A1132">
        <v>1124</v>
      </c>
      <c r="B1132" s="1">
        <v>42155</v>
      </c>
      <c r="C1132" s="2">
        <v>239.89165958575305</v>
      </c>
      <c r="D1132" s="2">
        <v>0.5</v>
      </c>
      <c r="E1132">
        <f t="shared" si="53"/>
        <v>5</v>
      </c>
      <c r="F1132">
        <f t="shared" si="54"/>
        <v>2015</v>
      </c>
      <c r="G1132" s="2">
        <f t="shared" si="55"/>
        <v>0</v>
      </c>
    </row>
    <row r="1133" spans="1:7" x14ac:dyDescent="0.25">
      <c r="A1133">
        <v>1125</v>
      </c>
      <c r="B1133" s="1">
        <v>42185</v>
      </c>
      <c r="C1133" s="2">
        <v>275.36306112931697</v>
      </c>
      <c r="D1133" s="2">
        <v>0.5</v>
      </c>
      <c r="E1133">
        <f t="shared" si="53"/>
        <v>6</v>
      </c>
      <c r="F1133">
        <f t="shared" si="54"/>
        <v>2015</v>
      </c>
      <c r="G1133" s="2">
        <f t="shared" si="55"/>
        <v>0</v>
      </c>
    </row>
    <row r="1134" spans="1:7" x14ac:dyDescent="0.25">
      <c r="A1134">
        <v>1126</v>
      </c>
      <c r="B1134" s="1">
        <v>42216</v>
      </c>
      <c r="C1134" s="2">
        <v>287.21574840608622</v>
      </c>
      <c r="D1134" s="2">
        <v>0.5</v>
      </c>
      <c r="E1134">
        <f t="shared" si="53"/>
        <v>7</v>
      </c>
      <c r="F1134">
        <f t="shared" si="54"/>
        <v>2015</v>
      </c>
      <c r="G1134" s="2">
        <f t="shared" si="55"/>
        <v>0</v>
      </c>
    </row>
    <row r="1135" spans="1:7" x14ac:dyDescent="0.25">
      <c r="A1135">
        <v>1127</v>
      </c>
      <c r="B1135" s="1">
        <v>42247</v>
      </c>
      <c r="C1135" s="2">
        <v>278.99732431952134</v>
      </c>
      <c r="D1135" s="2">
        <v>0.5</v>
      </c>
      <c r="E1135">
        <f t="shared" si="53"/>
        <v>8</v>
      </c>
      <c r="F1135">
        <f t="shared" si="54"/>
        <v>2015</v>
      </c>
      <c r="G1135" s="2">
        <f t="shared" si="55"/>
        <v>0</v>
      </c>
    </row>
    <row r="1136" spans="1:7" x14ac:dyDescent="0.25">
      <c r="A1136">
        <v>1128</v>
      </c>
      <c r="B1136" s="1">
        <v>42277</v>
      </c>
      <c r="C1136" s="2">
        <v>254.31992423903679</v>
      </c>
      <c r="D1136" s="2">
        <v>0.5</v>
      </c>
      <c r="E1136">
        <f t="shared" si="53"/>
        <v>9</v>
      </c>
      <c r="F1136">
        <f t="shared" si="54"/>
        <v>2015</v>
      </c>
      <c r="G1136" s="2">
        <f t="shared" si="55"/>
        <v>0</v>
      </c>
    </row>
    <row r="1137" spans="1:7" x14ac:dyDescent="0.25">
      <c r="A1137">
        <v>1129</v>
      </c>
      <c r="B1137" s="1">
        <v>42308</v>
      </c>
      <c r="C1137" s="2">
        <v>214.84262990667759</v>
      </c>
      <c r="D1137" s="2">
        <v>0.5</v>
      </c>
      <c r="E1137">
        <f t="shared" si="53"/>
        <v>10</v>
      </c>
      <c r="F1137">
        <f t="shared" si="54"/>
        <v>2015</v>
      </c>
      <c r="G1137" s="2">
        <f t="shared" si="55"/>
        <v>0</v>
      </c>
    </row>
    <row r="1138" spans="1:7" x14ac:dyDescent="0.25">
      <c r="A1138">
        <v>1130</v>
      </c>
      <c r="B1138" s="1">
        <v>42338</v>
      </c>
      <c r="C1138" s="2">
        <v>177.10611356726508</v>
      </c>
      <c r="D1138" s="2">
        <v>0.5</v>
      </c>
      <c r="E1138">
        <f t="shared" si="53"/>
        <v>11</v>
      </c>
      <c r="F1138">
        <f t="shared" si="54"/>
        <v>2015</v>
      </c>
      <c r="G1138" s="2">
        <f t="shared" si="55"/>
        <v>0</v>
      </c>
    </row>
    <row r="1139" spans="1:7" x14ac:dyDescent="0.25">
      <c r="A1139">
        <v>1131</v>
      </c>
      <c r="B1139" s="1">
        <v>42369</v>
      </c>
      <c r="C1139" s="2">
        <v>161.98826861286051</v>
      </c>
      <c r="D1139" s="2">
        <v>0.5</v>
      </c>
      <c r="E1139">
        <f t="shared" si="53"/>
        <v>12</v>
      </c>
      <c r="F1139">
        <f t="shared" si="54"/>
        <v>2015</v>
      </c>
      <c r="G1139" s="2">
        <f t="shared" si="55"/>
        <v>0</v>
      </c>
    </row>
    <row r="1140" spans="1:7" x14ac:dyDescent="0.25">
      <c r="A1140">
        <v>1132</v>
      </c>
      <c r="B1140" s="1">
        <v>42400</v>
      </c>
      <c r="C1140" s="2">
        <v>157.69227420397434</v>
      </c>
      <c r="D1140" s="2">
        <v>0.5</v>
      </c>
      <c r="E1140">
        <f t="shared" si="53"/>
        <v>1</v>
      </c>
      <c r="F1140">
        <f t="shared" si="54"/>
        <v>2016</v>
      </c>
      <c r="G1140" s="2">
        <f t="shared" si="55"/>
        <v>0</v>
      </c>
    </row>
    <row r="1141" spans="1:7" x14ac:dyDescent="0.25">
      <c r="A1141">
        <v>1133</v>
      </c>
      <c r="B1141" s="1">
        <v>42429</v>
      </c>
      <c r="C1141" s="2">
        <v>167.7527588616658</v>
      </c>
      <c r="D1141" s="2">
        <v>0.5</v>
      </c>
      <c r="E1141">
        <f t="shared" si="53"/>
        <v>2</v>
      </c>
      <c r="F1141">
        <f t="shared" si="54"/>
        <v>2016</v>
      </c>
      <c r="G1141" s="2">
        <f t="shared" si="55"/>
        <v>9316.5168557883808</v>
      </c>
    </row>
    <row r="1142" spans="1:7" x14ac:dyDescent="0.25">
      <c r="A1142">
        <v>1134</v>
      </c>
      <c r="B1142" s="1">
        <v>42460</v>
      </c>
      <c r="C1142" s="2">
        <v>123.59371307268762</v>
      </c>
      <c r="D1142" s="2">
        <v>0.49999999999999994</v>
      </c>
      <c r="E1142">
        <f t="shared" si="53"/>
        <v>3</v>
      </c>
      <c r="F1142">
        <f t="shared" si="54"/>
        <v>2016</v>
      </c>
      <c r="G1142" s="2">
        <f t="shared" si="55"/>
        <v>7599.481200502446</v>
      </c>
    </row>
    <row r="1143" spans="1:7" x14ac:dyDescent="0.25">
      <c r="A1143">
        <v>1135</v>
      </c>
      <c r="B1143" s="1">
        <v>42490</v>
      </c>
      <c r="C1143" s="2">
        <v>155.35965745471617</v>
      </c>
      <c r="D1143" s="2">
        <v>1</v>
      </c>
      <c r="E1143">
        <f t="shared" si="53"/>
        <v>4</v>
      </c>
      <c r="F1143">
        <f t="shared" si="54"/>
        <v>2016</v>
      </c>
      <c r="G1143" s="2">
        <f t="shared" si="55"/>
        <v>0</v>
      </c>
    </row>
    <row r="1144" spans="1:7" x14ac:dyDescent="0.25">
      <c r="A1144">
        <v>1136</v>
      </c>
      <c r="B1144" s="1">
        <v>42521</v>
      </c>
      <c r="C1144" s="2">
        <v>189.91672423298658</v>
      </c>
      <c r="D1144" s="2">
        <v>0.79471692193080246</v>
      </c>
      <c r="E1144">
        <f t="shared" si="53"/>
        <v>5</v>
      </c>
      <c r="F1144">
        <f t="shared" si="54"/>
        <v>2016</v>
      </c>
      <c r="G1144" s="2">
        <f t="shared" si="55"/>
        <v>0</v>
      </c>
    </row>
    <row r="1145" spans="1:7" x14ac:dyDescent="0.25">
      <c r="A1145">
        <v>1137</v>
      </c>
      <c r="B1145" s="1">
        <v>42551</v>
      </c>
      <c r="C1145" s="2">
        <v>249.94227532208066</v>
      </c>
      <c r="D1145" s="2">
        <v>0.79471692193080257</v>
      </c>
      <c r="E1145">
        <f t="shared" si="53"/>
        <v>6</v>
      </c>
      <c r="F1145">
        <f t="shared" si="54"/>
        <v>2016</v>
      </c>
      <c r="G1145" s="2">
        <f t="shared" si="55"/>
        <v>0</v>
      </c>
    </row>
    <row r="1146" spans="1:7" x14ac:dyDescent="0.25">
      <c r="A1146">
        <v>1138</v>
      </c>
      <c r="B1146" s="1">
        <v>42582</v>
      </c>
      <c r="C1146" s="2">
        <v>278.83348316359661</v>
      </c>
      <c r="D1146" s="2">
        <v>0.79471692193080257</v>
      </c>
      <c r="E1146">
        <f t="shared" si="53"/>
        <v>7</v>
      </c>
      <c r="F1146">
        <f t="shared" si="54"/>
        <v>2016</v>
      </c>
      <c r="G1146" s="2">
        <f t="shared" si="55"/>
        <v>0</v>
      </c>
    </row>
    <row r="1147" spans="1:7" x14ac:dyDescent="0.25">
      <c r="A1147">
        <v>1139</v>
      </c>
      <c r="B1147" s="1">
        <v>42613</v>
      </c>
      <c r="C1147" s="2">
        <v>281.64601106700837</v>
      </c>
      <c r="D1147" s="2">
        <v>0.79471692193080257</v>
      </c>
      <c r="E1147">
        <f t="shared" si="53"/>
        <v>8</v>
      </c>
      <c r="F1147">
        <f t="shared" si="54"/>
        <v>2016</v>
      </c>
      <c r="G1147" s="2">
        <f t="shared" si="55"/>
        <v>0</v>
      </c>
    </row>
    <row r="1148" spans="1:7" x14ac:dyDescent="0.25">
      <c r="A1148">
        <v>1140</v>
      </c>
      <c r="B1148" s="1">
        <v>42643</v>
      </c>
      <c r="C1148" s="2">
        <v>247.80503551638378</v>
      </c>
      <c r="D1148" s="2">
        <v>0.79471692193080257</v>
      </c>
      <c r="E1148">
        <f t="shared" si="53"/>
        <v>9</v>
      </c>
      <c r="F1148">
        <f t="shared" si="54"/>
        <v>2016</v>
      </c>
      <c r="G1148" s="2">
        <f t="shared" si="55"/>
        <v>0</v>
      </c>
    </row>
    <row r="1149" spans="1:7" x14ac:dyDescent="0.25">
      <c r="A1149">
        <v>1141</v>
      </c>
      <c r="B1149" s="1">
        <v>42674</v>
      </c>
      <c r="C1149" s="2">
        <v>213.68325149262247</v>
      </c>
      <c r="D1149" s="2">
        <v>0.79471692193080257</v>
      </c>
      <c r="E1149">
        <f t="shared" si="53"/>
        <v>10</v>
      </c>
      <c r="F1149">
        <f t="shared" si="54"/>
        <v>2016</v>
      </c>
      <c r="G1149" s="2">
        <f t="shared" si="55"/>
        <v>0</v>
      </c>
    </row>
    <row r="1150" spans="1:7" x14ac:dyDescent="0.25">
      <c r="A1150">
        <v>1142</v>
      </c>
      <c r="B1150" s="1">
        <v>42704</v>
      </c>
      <c r="C1150" s="2">
        <v>158.89264570494973</v>
      </c>
      <c r="D1150" s="2">
        <v>0.79471692193080257</v>
      </c>
      <c r="E1150">
        <f t="shared" si="53"/>
        <v>11</v>
      </c>
      <c r="F1150">
        <f t="shared" si="54"/>
        <v>2016</v>
      </c>
      <c r="G1150" s="2">
        <f t="shared" si="55"/>
        <v>0</v>
      </c>
    </row>
    <row r="1151" spans="1:7" x14ac:dyDescent="0.25">
      <c r="A1151">
        <v>1143</v>
      </c>
      <c r="B1151" s="1">
        <v>42735</v>
      </c>
      <c r="C1151" s="2">
        <v>140.7197017834973</v>
      </c>
      <c r="D1151" s="2">
        <v>0.79471692193080257</v>
      </c>
      <c r="E1151">
        <f t="shared" si="53"/>
        <v>12</v>
      </c>
      <c r="F1151">
        <f t="shared" si="54"/>
        <v>2016</v>
      </c>
      <c r="G1151" s="2">
        <f t="shared" si="55"/>
        <v>0</v>
      </c>
    </row>
    <row r="1152" spans="1:7" x14ac:dyDescent="0.25">
      <c r="A1152">
        <v>1144</v>
      </c>
      <c r="B1152" s="1">
        <v>42766</v>
      </c>
      <c r="C1152" s="2">
        <v>120.71654124454039</v>
      </c>
      <c r="D1152" s="2">
        <v>0.79471692193080257</v>
      </c>
      <c r="E1152">
        <f t="shared" si="53"/>
        <v>1</v>
      </c>
      <c r="F1152">
        <f t="shared" si="54"/>
        <v>2017</v>
      </c>
      <c r="G1152" s="2">
        <f t="shared" si="55"/>
        <v>0</v>
      </c>
    </row>
    <row r="1153" spans="1:7" x14ac:dyDescent="0.25">
      <c r="A1153">
        <v>1145</v>
      </c>
      <c r="B1153" s="1">
        <v>42794</v>
      </c>
      <c r="C1153" s="2">
        <v>114.45563578137684</v>
      </c>
      <c r="D1153" s="2">
        <v>0.79471692193080257</v>
      </c>
      <c r="E1153">
        <f t="shared" si="53"/>
        <v>2</v>
      </c>
      <c r="F1153">
        <f t="shared" si="54"/>
        <v>2017</v>
      </c>
      <c r="G1153" s="2">
        <f t="shared" si="55"/>
        <v>6356.5444004202673</v>
      </c>
    </row>
    <row r="1154" spans="1:7" x14ac:dyDescent="0.25">
      <c r="A1154">
        <v>1146</v>
      </c>
      <c r="B1154" s="1">
        <v>42825</v>
      </c>
      <c r="C1154" s="2">
        <v>95.988743796674527</v>
      </c>
      <c r="D1154" s="2">
        <v>1</v>
      </c>
      <c r="E1154">
        <f t="shared" si="53"/>
        <v>3</v>
      </c>
      <c r="F1154">
        <f t="shared" si="54"/>
        <v>2017</v>
      </c>
      <c r="G1154" s="2">
        <f t="shared" si="55"/>
        <v>5902.1178003905661</v>
      </c>
    </row>
    <row r="1155" spans="1:7" x14ac:dyDescent="0.25">
      <c r="A1155">
        <v>1147</v>
      </c>
      <c r="B1155" s="1">
        <v>42855</v>
      </c>
      <c r="C1155" s="2">
        <v>127.84175342511904</v>
      </c>
      <c r="D1155" s="2">
        <v>1</v>
      </c>
      <c r="E1155">
        <f t="shared" si="53"/>
        <v>4</v>
      </c>
      <c r="F1155">
        <f t="shared" si="54"/>
        <v>2017</v>
      </c>
      <c r="G1155" s="2">
        <f t="shared" si="55"/>
        <v>0</v>
      </c>
    </row>
    <row r="1156" spans="1:7" x14ac:dyDescent="0.25">
      <c r="A1156">
        <v>1148</v>
      </c>
      <c r="B1156" s="1">
        <v>42886</v>
      </c>
      <c r="C1156" s="2">
        <v>173.69722718890344</v>
      </c>
      <c r="D1156" s="2">
        <v>1</v>
      </c>
      <c r="E1156">
        <f t="shared" si="53"/>
        <v>5</v>
      </c>
      <c r="F1156">
        <f t="shared" si="54"/>
        <v>2017</v>
      </c>
      <c r="G1156" s="2">
        <f t="shared" si="55"/>
        <v>0</v>
      </c>
    </row>
    <row r="1157" spans="1:7" x14ac:dyDescent="0.25">
      <c r="A1157">
        <v>1149</v>
      </c>
      <c r="B1157" s="1">
        <v>42916</v>
      </c>
      <c r="C1157" s="2">
        <v>230.63820084858216</v>
      </c>
      <c r="D1157" s="2">
        <v>1</v>
      </c>
      <c r="E1157">
        <f t="shared" si="53"/>
        <v>6</v>
      </c>
      <c r="F1157">
        <f t="shared" si="54"/>
        <v>2017</v>
      </c>
      <c r="G1157" s="2">
        <f t="shared" si="55"/>
        <v>0</v>
      </c>
    </row>
    <row r="1158" spans="1:7" x14ac:dyDescent="0.25">
      <c r="A1158">
        <v>1150</v>
      </c>
      <c r="B1158" s="1">
        <v>42947</v>
      </c>
      <c r="C1158" s="2">
        <v>271.71188667119026</v>
      </c>
      <c r="D1158" s="2">
        <v>1</v>
      </c>
      <c r="E1158">
        <f t="shared" si="53"/>
        <v>7</v>
      </c>
      <c r="F1158">
        <f t="shared" si="54"/>
        <v>2017</v>
      </c>
      <c r="G1158" s="2">
        <f t="shared" si="55"/>
        <v>0</v>
      </c>
    </row>
    <row r="1159" spans="1:7" x14ac:dyDescent="0.25">
      <c r="A1159">
        <v>1151</v>
      </c>
      <c r="B1159" s="1">
        <v>42978</v>
      </c>
      <c r="C1159" s="2">
        <v>282.21761897027193</v>
      </c>
      <c r="D1159" s="2">
        <v>1</v>
      </c>
      <c r="E1159">
        <f t="shared" si="53"/>
        <v>8</v>
      </c>
      <c r="F1159">
        <f t="shared" si="54"/>
        <v>2017</v>
      </c>
      <c r="G1159" s="2">
        <f t="shared" si="55"/>
        <v>0</v>
      </c>
    </row>
    <row r="1160" spans="1:7" x14ac:dyDescent="0.25">
      <c r="A1160">
        <v>1152</v>
      </c>
      <c r="B1160" s="1">
        <v>43008</v>
      </c>
      <c r="C1160" s="2">
        <v>245.18670139121073</v>
      </c>
      <c r="D1160" s="2">
        <v>1</v>
      </c>
      <c r="E1160">
        <f t="shared" si="53"/>
        <v>9</v>
      </c>
      <c r="F1160">
        <f t="shared" si="54"/>
        <v>2017</v>
      </c>
      <c r="G1160" s="2">
        <f t="shared" si="55"/>
        <v>0</v>
      </c>
    </row>
    <row r="1161" spans="1:7" x14ac:dyDescent="0.25">
      <c r="A1161">
        <v>1153</v>
      </c>
      <c r="B1161" s="1">
        <v>43039</v>
      </c>
      <c r="C1161" s="2">
        <v>208.40764336055321</v>
      </c>
      <c r="D1161" s="2">
        <v>1</v>
      </c>
      <c r="E1161">
        <f t="shared" si="53"/>
        <v>10</v>
      </c>
      <c r="F1161">
        <f t="shared" si="54"/>
        <v>2017</v>
      </c>
      <c r="G1161" s="2">
        <f t="shared" si="55"/>
        <v>0</v>
      </c>
    </row>
    <row r="1162" spans="1:7" x14ac:dyDescent="0.25">
      <c r="A1162">
        <v>1154</v>
      </c>
      <c r="B1162" s="1">
        <v>43069</v>
      </c>
      <c r="C1162" s="2">
        <v>139.9081154259168</v>
      </c>
      <c r="D1162" s="2">
        <v>1</v>
      </c>
      <c r="E1162">
        <f t="shared" ref="E1162:E1208" si="56">MONTH(B1162)</f>
        <v>11</v>
      </c>
      <c r="F1162">
        <f t="shared" ref="F1162:F1208" si="57">YEAR(B1162)</f>
        <v>2017</v>
      </c>
      <c r="G1162" s="2">
        <f t="shared" ref="G1162:G1208" si="58">IF(E1162=2,C1162*$G$5*28,IF(E1162=3,C1162*$G$5*31,0))</f>
        <v>0</v>
      </c>
    </row>
    <row r="1163" spans="1:7" x14ac:dyDescent="0.25">
      <c r="A1163">
        <v>1155</v>
      </c>
      <c r="B1163" s="1">
        <v>43100</v>
      </c>
      <c r="C1163" s="2">
        <v>100.09781597435999</v>
      </c>
      <c r="D1163" s="2">
        <v>1</v>
      </c>
      <c r="E1163">
        <f t="shared" si="56"/>
        <v>12</v>
      </c>
      <c r="F1163">
        <f t="shared" si="57"/>
        <v>2017</v>
      </c>
      <c r="G1163" s="2">
        <f t="shared" si="58"/>
        <v>0</v>
      </c>
    </row>
    <row r="1164" spans="1:7" x14ac:dyDescent="0.25">
      <c r="A1164">
        <v>1156</v>
      </c>
      <c r="B1164" s="1">
        <v>43131</v>
      </c>
      <c r="C1164" s="2">
        <v>94.480039683665979</v>
      </c>
      <c r="D1164" s="2">
        <v>1</v>
      </c>
      <c r="E1164">
        <f t="shared" si="56"/>
        <v>1</v>
      </c>
      <c r="F1164">
        <f t="shared" si="57"/>
        <v>2018</v>
      </c>
      <c r="G1164" s="2">
        <f t="shared" si="58"/>
        <v>0</v>
      </c>
    </row>
    <row r="1165" spans="1:7" x14ac:dyDescent="0.25">
      <c r="A1165">
        <v>1157</v>
      </c>
      <c r="B1165" s="1">
        <v>43159</v>
      </c>
      <c r="C1165" s="2">
        <v>108.63618759646829</v>
      </c>
      <c r="D1165" s="2">
        <v>1</v>
      </c>
      <c r="E1165">
        <f t="shared" si="56"/>
        <v>2</v>
      </c>
      <c r="F1165">
        <f t="shared" si="57"/>
        <v>2018</v>
      </c>
      <c r="G1165" s="2">
        <f t="shared" si="58"/>
        <v>6033.3486003989001</v>
      </c>
    </row>
    <row r="1166" spans="1:7" x14ac:dyDescent="0.25">
      <c r="A1166">
        <v>1158</v>
      </c>
      <c r="B1166" s="1">
        <v>43190</v>
      </c>
      <c r="C1166" s="2">
        <v>106.88716825976086</v>
      </c>
      <c r="D1166" s="2">
        <v>0.59926903667890929</v>
      </c>
      <c r="E1166">
        <f t="shared" si="56"/>
        <v>3</v>
      </c>
      <c r="F1166">
        <f t="shared" si="57"/>
        <v>2018</v>
      </c>
      <c r="G1166" s="2">
        <f t="shared" si="58"/>
        <v>6572.2358004348825</v>
      </c>
    </row>
    <row r="1167" spans="1:7" x14ac:dyDescent="0.25">
      <c r="A1167">
        <v>1159</v>
      </c>
      <c r="B1167" s="1">
        <v>43220</v>
      </c>
      <c r="C1167" s="2">
        <v>155.3596574547162</v>
      </c>
      <c r="D1167" s="2">
        <v>0.78754426919829879</v>
      </c>
      <c r="E1167">
        <f t="shared" si="56"/>
        <v>4</v>
      </c>
      <c r="F1167">
        <f t="shared" si="57"/>
        <v>2018</v>
      </c>
      <c r="G1167" s="2">
        <f t="shared" si="58"/>
        <v>0</v>
      </c>
    </row>
    <row r="1168" spans="1:7" x14ac:dyDescent="0.25">
      <c r="A1168">
        <v>1160</v>
      </c>
      <c r="B1168" s="1">
        <v>43251</v>
      </c>
      <c r="C1168" s="2">
        <v>189.91672423298658</v>
      </c>
      <c r="D1168" s="2">
        <v>1</v>
      </c>
      <c r="E1168">
        <f t="shared" si="56"/>
        <v>5</v>
      </c>
      <c r="F1168">
        <f t="shared" si="57"/>
        <v>2018</v>
      </c>
      <c r="G1168" s="2">
        <f t="shared" si="58"/>
        <v>0</v>
      </c>
    </row>
    <row r="1169" spans="1:7" x14ac:dyDescent="0.25">
      <c r="A1169">
        <v>1161</v>
      </c>
      <c r="B1169" s="1">
        <v>43281</v>
      </c>
      <c r="C1169" s="2">
        <v>249.9422753220806</v>
      </c>
      <c r="D1169" s="2">
        <v>1</v>
      </c>
      <c r="E1169">
        <f t="shared" si="56"/>
        <v>6</v>
      </c>
      <c r="F1169">
        <f t="shared" si="57"/>
        <v>2018</v>
      </c>
      <c r="G1169" s="2">
        <f t="shared" si="58"/>
        <v>0</v>
      </c>
    </row>
    <row r="1170" spans="1:7" x14ac:dyDescent="0.25">
      <c r="A1170">
        <v>1162</v>
      </c>
      <c r="B1170" s="1">
        <v>43312</v>
      </c>
      <c r="C1170" s="2">
        <v>278.83348316359661</v>
      </c>
      <c r="D1170" s="2">
        <v>1</v>
      </c>
      <c r="E1170">
        <f t="shared" si="56"/>
        <v>7</v>
      </c>
      <c r="F1170">
        <f t="shared" si="57"/>
        <v>2018</v>
      </c>
      <c r="G1170" s="2">
        <f t="shared" si="58"/>
        <v>0</v>
      </c>
    </row>
    <row r="1171" spans="1:7" x14ac:dyDescent="0.25">
      <c r="A1171">
        <v>1163</v>
      </c>
      <c r="B1171" s="1">
        <v>43343</v>
      </c>
      <c r="C1171" s="2">
        <v>281.64601106700832</v>
      </c>
      <c r="D1171" s="2">
        <v>1</v>
      </c>
      <c r="E1171">
        <f t="shared" si="56"/>
        <v>8</v>
      </c>
      <c r="F1171">
        <f t="shared" si="57"/>
        <v>2018</v>
      </c>
      <c r="G1171" s="2">
        <f t="shared" si="58"/>
        <v>0</v>
      </c>
    </row>
    <row r="1172" spans="1:7" x14ac:dyDescent="0.25">
      <c r="A1172">
        <v>1164</v>
      </c>
      <c r="B1172" s="1">
        <v>43373</v>
      </c>
      <c r="C1172" s="2">
        <v>247.80503551638381</v>
      </c>
      <c r="D1172" s="2">
        <v>1</v>
      </c>
      <c r="E1172">
        <f t="shared" si="56"/>
        <v>9</v>
      </c>
      <c r="F1172">
        <f t="shared" si="57"/>
        <v>2018</v>
      </c>
      <c r="G1172" s="2">
        <f t="shared" si="58"/>
        <v>0</v>
      </c>
    </row>
    <row r="1173" spans="1:7" x14ac:dyDescent="0.25">
      <c r="A1173">
        <v>1165</v>
      </c>
      <c r="B1173" s="1">
        <v>43404</v>
      </c>
      <c r="C1173" s="2">
        <v>213.68325149262245</v>
      </c>
      <c r="D1173" s="2">
        <v>1</v>
      </c>
      <c r="E1173">
        <f t="shared" si="56"/>
        <v>10</v>
      </c>
      <c r="F1173">
        <f t="shared" si="57"/>
        <v>2018</v>
      </c>
      <c r="G1173" s="2">
        <f t="shared" si="58"/>
        <v>0</v>
      </c>
    </row>
    <row r="1174" spans="1:7" x14ac:dyDescent="0.25">
      <c r="A1174">
        <v>1166</v>
      </c>
      <c r="B1174" s="1">
        <v>43434</v>
      </c>
      <c r="C1174" s="2">
        <v>158.8926457049497</v>
      </c>
      <c r="D1174" s="2">
        <v>1</v>
      </c>
      <c r="E1174">
        <f t="shared" si="56"/>
        <v>11</v>
      </c>
      <c r="F1174">
        <f t="shared" si="57"/>
        <v>2018</v>
      </c>
      <c r="G1174" s="2">
        <f t="shared" si="58"/>
        <v>0</v>
      </c>
    </row>
    <row r="1175" spans="1:7" x14ac:dyDescent="0.25">
      <c r="A1175">
        <v>1167</v>
      </c>
      <c r="B1175" s="1">
        <v>43465</v>
      </c>
      <c r="C1175" s="2">
        <v>140.7197017834973</v>
      </c>
      <c r="D1175" s="2">
        <v>1</v>
      </c>
      <c r="E1175">
        <f t="shared" si="56"/>
        <v>12</v>
      </c>
      <c r="F1175">
        <f t="shared" si="57"/>
        <v>2018</v>
      </c>
      <c r="G1175" s="2">
        <f t="shared" si="58"/>
        <v>0</v>
      </c>
    </row>
    <row r="1176" spans="1:7" x14ac:dyDescent="0.25">
      <c r="A1176">
        <v>1168</v>
      </c>
      <c r="B1176" s="1">
        <v>43496</v>
      </c>
      <c r="C1176" s="2">
        <v>120.71654124454039</v>
      </c>
      <c r="D1176" s="2">
        <v>1</v>
      </c>
      <c r="E1176">
        <f t="shared" si="56"/>
        <v>1</v>
      </c>
      <c r="F1176">
        <f t="shared" si="57"/>
        <v>2019</v>
      </c>
      <c r="G1176" s="2">
        <f t="shared" si="58"/>
        <v>0</v>
      </c>
    </row>
    <row r="1177" spans="1:7" x14ac:dyDescent="0.25">
      <c r="A1177">
        <v>1169</v>
      </c>
      <c r="B1177" s="1">
        <v>43524</v>
      </c>
      <c r="C1177" s="2">
        <v>114.45563578137683</v>
      </c>
      <c r="D1177" s="2">
        <v>1</v>
      </c>
      <c r="E1177">
        <f t="shared" si="56"/>
        <v>2</v>
      </c>
      <c r="F1177">
        <f t="shared" si="57"/>
        <v>2019</v>
      </c>
      <c r="G1177" s="2">
        <f t="shared" si="58"/>
        <v>6356.5444004202664</v>
      </c>
    </row>
    <row r="1178" spans="1:7" x14ac:dyDescent="0.25">
      <c r="A1178">
        <v>1170</v>
      </c>
      <c r="B1178" s="1">
        <v>43555</v>
      </c>
      <c r="C1178" s="2">
        <v>96.914806888136866</v>
      </c>
      <c r="D1178" s="2">
        <v>1</v>
      </c>
      <c r="E1178">
        <f t="shared" si="56"/>
        <v>3</v>
      </c>
      <c r="F1178">
        <f t="shared" si="57"/>
        <v>2019</v>
      </c>
      <c r="G1178" s="2">
        <f t="shared" si="58"/>
        <v>5959.0592003945321</v>
      </c>
    </row>
    <row r="1179" spans="1:7" x14ac:dyDescent="0.25">
      <c r="A1179">
        <v>1171</v>
      </c>
      <c r="B1179" s="1">
        <v>43585</v>
      </c>
      <c r="C1179" s="2">
        <v>127.84175342511905</v>
      </c>
      <c r="D1179" s="2">
        <v>1</v>
      </c>
      <c r="E1179">
        <f t="shared" si="56"/>
        <v>4</v>
      </c>
      <c r="F1179">
        <f t="shared" si="57"/>
        <v>2019</v>
      </c>
      <c r="G1179" s="2">
        <f t="shared" si="58"/>
        <v>0</v>
      </c>
    </row>
    <row r="1180" spans="1:7" x14ac:dyDescent="0.25">
      <c r="A1180">
        <v>1172</v>
      </c>
      <c r="B1180" s="1">
        <v>43616</v>
      </c>
      <c r="C1180" s="2">
        <v>173.69722718890347</v>
      </c>
      <c r="D1180" s="2">
        <v>1</v>
      </c>
      <c r="E1180">
        <f t="shared" si="56"/>
        <v>5</v>
      </c>
      <c r="F1180">
        <f t="shared" si="57"/>
        <v>2019</v>
      </c>
      <c r="G1180" s="2">
        <f t="shared" si="58"/>
        <v>0</v>
      </c>
    </row>
    <row r="1181" spans="1:7" x14ac:dyDescent="0.25">
      <c r="A1181">
        <v>1173</v>
      </c>
      <c r="B1181" s="1">
        <v>43646</v>
      </c>
      <c r="C1181" s="2">
        <v>230.63820084858216</v>
      </c>
      <c r="D1181" s="2">
        <v>1</v>
      </c>
      <c r="E1181">
        <f t="shared" si="56"/>
        <v>6</v>
      </c>
      <c r="F1181">
        <f t="shared" si="57"/>
        <v>2019</v>
      </c>
      <c r="G1181" s="2">
        <f t="shared" si="58"/>
        <v>0</v>
      </c>
    </row>
    <row r="1182" spans="1:7" x14ac:dyDescent="0.25">
      <c r="A1182">
        <v>1174</v>
      </c>
      <c r="B1182" s="1">
        <v>43677</v>
      </c>
      <c r="C1182" s="2">
        <v>271.7118866711902</v>
      </c>
      <c r="D1182" s="2">
        <v>1</v>
      </c>
      <c r="E1182">
        <f t="shared" si="56"/>
        <v>7</v>
      </c>
      <c r="F1182">
        <f t="shared" si="57"/>
        <v>2019</v>
      </c>
      <c r="G1182" s="2">
        <f t="shared" si="58"/>
        <v>0</v>
      </c>
    </row>
    <row r="1183" spans="1:7" x14ac:dyDescent="0.25">
      <c r="A1183">
        <v>1175</v>
      </c>
      <c r="B1183" s="1">
        <v>43708</v>
      </c>
      <c r="C1183" s="2">
        <v>282.21761897027193</v>
      </c>
      <c r="D1183" s="2">
        <v>1</v>
      </c>
      <c r="E1183">
        <f t="shared" si="56"/>
        <v>8</v>
      </c>
      <c r="F1183">
        <f t="shared" si="57"/>
        <v>2019</v>
      </c>
      <c r="G1183" s="2">
        <f t="shared" si="58"/>
        <v>0</v>
      </c>
    </row>
    <row r="1184" spans="1:7" x14ac:dyDescent="0.25">
      <c r="A1184">
        <v>1176</v>
      </c>
      <c r="B1184" s="1">
        <v>43738</v>
      </c>
      <c r="C1184" s="2">
        <v>245.18670139121073</v>
      </c>
      <c r="D1184" s="2">
        <v>1</v>
      </c>
      <c r="E1184">
        <f t="shared" si="56"/>
        <v>9</v>
      </c>
      <c r="F1184">
        <f t="shared" si="57"/>
        <v>2019</v>
      </c>
      <c r="G1184" s="2">
        <f t="shared" si="58"/>
        <v>0</v>
      </c>
    </row>
    <row r="1185" spans="1:7" x14ac:dyDescent="0.25">
      <c r="A1185">
        <v>1177</v>
      </c>
      <c r="B1185" s="1">
        <v>43769</v>
      </c>
      <c r="C1185" s="2">
        <v>208.40764336055318</v>
      </c>
      <c r="D1185" s="2">
        <v>1</v>
      </c>
      <c r="E1185">
        <f t="shared" si="56"/>
        <v>10</v>
      </c>
      <c r="F1185">
        <f t="shared" si="57"/>
        <v>2019</v>
      </c>
      <c r="G1185" s="2">
        <f t="shared" si="58"/>
        <v>0</v>
      </c>
    </row>
    <row r="1186" spans="1:7" x14ac:dyDescent="0.25">
      <c r="A1186">
        <v>1178</v>
      </c>
      <c r="B1186" s="1">
        <v>43799</v>
      </c>
      <c r="C1186" s="2">
        <v>139.9081154259168</v>
      </c>
      <c r="D1186" s="2">
        <v>1</v>
      </c>
      <c r="E1186">
        <f t="shared" si="56"/>
        <v>11</v>
      </c>
      <c r="F1186">
        <f t="shared" si="57"/>
        <v>2019</v>
      </c>
      <c r="G1186" s="2">
        <f t="shared" si="58"/>
        <v>0</v>
      </c>
    </row>
    <row r="1187" spans="1:7" x14ac:dyDescent="0.25">
      <c r="A1187">
        <v>1179</v>
      </c>
      <c r="B1187" s="1">
        <v>43830</v>
      </c>
      <c r="C1187" s="2">
        <v>100.09781597435997</v>
      </c>
      <c r="D1187" s="2">
        <v>1</v>
      </c>
      <c r="E1187">
        <f t="shared" si="56"/>
        <v>12</v>
      </c>
      <c r="F1187">
        <f t="shared" si="57"/>
        <v>2019</v>
      </c>
      <c r="G1187" s="2">
        <f t="shared" si="58"/>
        <v>0</v>
      </c>
    </row>
    <row r="1188" spans="1:7" x14ac:dyDescent="0.25">
      <c r="A1188">
        <v>1180</v>
      </c>
      <c r="B1188" s="1">
        <v>43861</v>
      </c>
      <c r="C1188" s="2">
        <v>94.480039683665979</v>
      </c>
      <c r="D1188" s="2">
        <v>1</v>
      </c>
      <c r="E1188">
        <f t="shared" si="56"/>
        <v>1</v>
      </c>
      <c r="F1188">
        <f t="shared" si="57"/>
        <v>2020</v>
      </c>
      <c r="G1188" s="2">
        <f t="shared" si="58"/>
        <v>0</v>
      </c>
    </row>
    <row r="1189" spans="1:7" x14ac:dyDescent="0.25">
      <c r="A1189">
        <v>1181</v>
      </c>
      <c r="B1189" s="1">
        <v>43890</v>
      </c>
      <c r="C1189" s="2">
        <v>104.89011216210731</v>
      </c>
      <c r="D1189" s="2">
        <v>1</v>
      </c>
      <c r="E1189">
        <f t="shared" si="56"/>
        <v>2</v>
      </c>
      <c r="F1189">
        <f t="shared" si="57"/>
        <v>2020</v>
      </c>
      <c r="G1189" s="2">
        <f t="shared" si="58"/>
        <v>5825.302096936869</v>
      </c>
    </row>
    <row r="1190" spans="1:7" x14ac:dyDescent="0.25">
      <c r="A1190">
        <v>1182</v>
      </c>
      <c r="B1190" s="1">
        <v>43921</v>
      </c>
      <c r="C1190" s="2">
        <v>123.59371307269531</v>
      </c>
      <c r="D1190" s="2">
        <v>0.50554016069869134</v>
      </c>
      <c r="E1190">
        <f t="shared" si="56"/>
        <v>3</v>
      </c>
      <c r="F1190">
        <f t="shared" si="57"/>
        <v>2020</v>
      </c>
      <c r="G1190" s="2">
        <f t="shared" si="58"/>
        <v>7599.4812005029189</v>
      </c>
    </row>
    <row r="1191" spans="1:7" x14ac:dyDescent="0.25">
      <c r="A1191">
        <v>1183</v>
      </c>
      <c r="B1191" s="1">
        <v>43951</v>
      </c>
      <c r="C1191" s="2">
        <v>181.23525201198251</v>
      </c>
      <c r="D1191" s="2">
        <v>0.62762378798449181</v>
      </c>
      <c r="E1191">
        <f t="shared" si="56"/>
        <v>4</v>
      </c>
      <c r="F1191">
        <f t="shared" si="57"/>
        <v>2020</v>
      </c>
      <c r="G1191" s="2">
        <f t="shared" si="58"/>
        <v>0</v>
      </c>
    </row>
    <row r="1192" spans="1:7" x14ac:dyDescent="0.25">
      <c r="A1192">
        <v>1184</v>
      </c>
      <c r="B1192" s="1">
        <v>43982</v>
      </c>
      <c r="C1192" s="2">
        <v>220.07156033713082</v>
      </c>
      <c r="D1192" s="2">
        <v>0.75</v>
      </c>
      <c r="E1192">
        <f t="shared" si="56"/>
        <v>5</v>
      </c>
      <c r="F1192">
        <f t="shared" si="57"/>
        <v>2020</v>
      </c>
      <c r="G1192" s="2">
        <f t="shared" si="58"/>
        <v>0</v>
      </c>
    </row>
    <row r="1193" spans="1:7" x14ac:dyDescent="0.25">
      <c r="A1193">
        <v>1185</v>
      </c>
      <c r="B1193" s="1">
        <v>44012</v>
      </c>
      <c r="C1193" s="2">
        <v>257.70906701703859</v>
      </c>
      <c r="D1193" s="2">
        <v>0.75</v>
      </c>
      <c r="E1193">
        <f t="shared" si="56"/>
        <v>6</v>
      </c>
      <c r="F1193">
        <f t="shared" si="57"/>
        <v>2020</v>
      </c>
      <c r="G1193" s="2">
        <f t="shared" si="58"/>
        <v>0</v>
      </c>
    </row>
    <row r="1194" spans="1:7" x14ac:dyDescent="0.25">
      <c r="A1194">
        <v>1186</v>
      </c>
      <c r="B1194" s="1">
        <v>44043</v>
      </c>
      <c r="C1194" s="2">
        <v>288.24290179325095</v>
      </c>
      <c r="D1194" s="2">
        <v>0.75</v>
      </c>
      <c r="E1194">
        <f t="shared" si="56"/>
        <v>7</v>
      </c>
      <c r="F1194">
        <f t="shared" si="57"/>
        <v>2020</v>
      </c>
      <c r="G1194" s="2">
        <f t="shared" si="58"/>
        <v>0</v>
      </c>
    </row>
    <row r="1195" spans="1:7" x14ac:dyDescent="0.25">
      <c r="A1195">
        <v>1187</v>
      </c>
      <c r="B1195" s="1">
        <v>44074</v>
      </c>
      <c r="C1195" s="2">
        <v>279.99483921206041</v>
      </c>
      <c r="D1195" s="2">
        <v>0.75</v>
      </c>
      <c r="E1195">
        <f t="shared" si="56"/>
        <v>8</v>
      </c>
      <c r="F1195">
        <f t="shared" si="57"/>
        <v>2020</v>
      </c>
      <c r="G1195" s="2">
        <f t="shared" si="58"/>
        <v>0</v>
      </c>
    </row>
    <row r="1196" spans="1:7" x14ac:dyDescent="0.25">
      <c r="A1196">
        <v>1188</v>
      </c>
      <c r="B1196" s="1">
        <v>44104</v>
      </c>
      <c r="C1196" s="2">
        <v>253.56663201676474</v>
      </c>
      <c r="D1196" s="2">
        <v>0.75</v>
      </c>
      <c r="E1196">
        <f t="shared" si="56"/>
        <v>9</v>
      </c>
      <c r="F1196">
        <f t="shared" si="57"/>
        <v>2020</v>
      </c>
      <c r="G1196" s="2">
        <f t="shared" si="58"/>
        <v>0</v>
      </c>
    </row>
    <row r="1197" spans="1:7" x14ac:dyDescent="0.25">
      <c r="A1197">
        <v>1189</v>
      </c>
      <c r="B1197" s="1">
        <v>44135</v>
      </c>
      <c r="C1197" s="2">
        <v>216.07475469170529</v>
      </c>
      <c r="D1197" s="2">
        <v>0.75</v>
      </c>
      <c r="E1197">
        <f t="shared" si="56"/>
        <v>10</v>
      </c>
      <c r="F1197">
        <f t="shared" si="57"/>
        <v>2020</v>
      </c>
      <c r="G1197" s="2">
        <f t="shared" si="58"/>
        <v>0</v>
      </c>
    </row>
    <row r="1198" spans="1:7" x14ac:dyDescent="0.25">
      <c r="A1198">
        <v>1190</v>
      </c>
      <c r="B1198" s="1">
        <v>44165</v>
      </c>
      <c r="C1198" s="2">
        <v>174.85540601156069</v>
      </c>
      <c r="D1198" s="2">
        <v>0.74999999999999989</v>
      </c>
      <c r="E1198">
        <f t="shared" si="56"/>
        <v>11</v>
      </c>
      <c r="F1198">
        <f t="shared" si="57"/>
        <v>2020</v>
      </c>
      <c r="G1198" s="2">
        <f t="shared" si="58"/>
        <v>0</v>
      </c>
    </row>
    <row r="1199" spans="1:7" x14ac:dyDescent="0.25">
      <c r="A1199">
        <v>1191</v>
      </c>
      <c r="B1199" s="1">
        <v>44196</v>
      </c>
      <c r="C1199" s="2">
        <v>153.1868782359345</v>
      </c>
      <c r="D1199" s="2">
        <v>0.75</v>
      </c>
      <c r="E1199">
        <f t="shared" si="56"/>
        <v>12</v>
      </c>
      <c r="F1199">
        <f t="shared" si="57"/>
        <v>2020</v>
      </c>
      <c r="G1199" s="2">
        <f t="shared" si="58"/>
        <v>0</v>
      </c>
    </row>
    <row r="1200" spans="1:7" x14ac:dyDescent="0.25">
      <c r="A1200">
        <v>1192</v>
      </c>
      <c r="B1200" s="1">
        <v>44227</v>
      </c>
      <c r="C1200" s="2">
        <v>148.33069936464571</v>
      </c>
      <c r="D1200" s="2">
        <v>0.75</v>
      </c>
      <c r="E1200">
        <f t="shared" si="56"/>
        <v>1</v>
      </c>
      <c r="F1200">
        <f t="shared" si="57"/>
        <v>2021</v>
      </c>
      <c r="G1200" s="2">
        <f t="shared" si="58"/>
        <v>0</v>
      </c>
    </row>
    <row r="1201" spans="1:7" x14ac:dyDescent="0.25">
      <c r="A1201">
        <v>1193</v>
      </c>
      <c r="B1201" s="1">
        <v>44255</v>
      </c>
      <c r="C1201" s="2">
        <v>145.70191233106172</v>
      </c>
      <c r="D1201" s="2">
        <v>0.5</v>
      </c>
      <c r="E1201">
        <f t="shared" si="56"/>
        <v>2</v>
      </c>
      <c r="F1201">
        <f t="shared" si="57"/>
        <v>2021</v>
      </c>
      <c r="G1201" s="2">
        <f t="shared" si="58"/>
        <v>8091.8748005349971</v>
      </c>
    </row>
    <row r="1202" spans="1:7" x14ac:dyDescent="0.25">
      <c r="A1202">
        <v>1194</v>
      </c>
      <c r="B1202" s="1">
        <v>44286</v>
      </c>
      <c r="C1202" s="2">
        <v>152.55323506385784</v>
      </c>
      <c r="D1202" s="2">
        <v>0.5</v>
      </c>
      <c r="E1202">
        <f t="shared" si="56"/>
        <v>3</v>
      </c>
      <c r="F1202">
        <f t="shared" si="57"/>
        <v>2021</v>
      </c>
      <c r="G1202" s="2">
        <f t="shared" si="58"/>
        <v>9380.1328006206804</v>
      </c>
    </row>
    <row r="1203" spans="1:7" x14ac:dyDescent="0.25">
      <c r="A1203">
        <v>1195</v>
      </c>
      <c r="B1203" s="1">
        <v>44316</v>
      </c>
      <c r="C1203" s="2">
        <v>196.32088667964655</v>
      </c>
      <c r="D1203" s="2">
        <v>0.5</v>
      </c>
      <c r="E1203">
        <f t="shared" si="56"/>
        <v>4</v>
      </c>
      <c r="F1203">
        <f t="shared" si="57"/>
        <v>2021</v>
      </c>
      <c r="G1203" s="2">
        <f t="shared" si="58"/>
        <v>0</v>
      </c>
    </row>
    <row r="1204" spans="1:7" x14ac:dyDescent="0.25">
      <c r="A1204">
        <v>1196</v>
      </c>
      <c r="B1204" s="1">
        <v>44347</v>
      </c>
      <c r="C1204" s="2">
        <v>239.89165958575308</v>
      </c>
      <c r="D1204" s="2">
        <v>0.25</v>
      </c>
      <c r="E1204">
        <f t="shared" si="56"/>
        <v>5</v>
      </c>
      <c r="F1204">
        <f t="shared" si="57"/>
        <v>2021</v>
      </c>
      <c r="G1204" s="2">
        <f t="shared" si="58"/>
        <v>0</v>
      </c>
    </row>
    <row r="1205" spans="1:7" x14ac:dyDescent="0.25">
      <c r="A1205">
        <v>1197</v>
      </c>
      <c r="B1205" s="1">
        <v>44377</v>
      </c>
      <c r="C1205" s="2">
        <v>275.36306112931697</v>
      </c>
      <c r="D1205" s="2">
        <v>0.25</v>
      </c>
      <c r="E1205">
        <f t="shared" si="56"/>
        <v>6</v>
      </c>
      <c r="F1205">
        <f t="shared" si="57"/>
        <v>2021</v>
      </c>
      <c r="G1205" s="2">
        <f t="shared" si="58"/>
        <v>0</v>
      </c>
    </row>
    <row r="1206" spans="1:7" x14ac:dyDescent="0.25">
      <c r="A1206">
        <v>1198</v>
      </c>
      <c r="B1206" s="1">
        <v>44408</v>
      </c>
      <c r="C1206" s="2">
        <v>287.21574840608628</v>
      </c>
      <c r="D1206" s="2">
        <v>0.24999999999999997</v>
      </c>
      <c r="E1206">
        <f t="shared" si="56"/>
        <v>7</v>
      </c>
      <c r="F1206">
        <f t="shared" si="57"/>
        <v>2021</v>
      </c>
      <c r="G1206" s="2">
        <f t="shared" si="58"/>
        <v>0</v>
      </c>
    </row>
    <row r="1207" spans="1:7" x14ac:dyDescent="0.25">
      <c r="A1207">
        <v>1199</v>
      </c>
      <c r="B1207" s="1">
        <v>44439</v>
      </c>
      <c r="C1207" s="2">
        <v>278.99732431952128</v>
      </c>
      <c r="D1207" s="2">
        <v>0.25</v>
      </c>
      <c r="E1207">
        <f t="shared" si="56"/>
        <v>8</v>
      </c>
      <c r="F1207">
        <f t="shared" si="57"/>
        <v>2021</v>
      </c>
      <c r="G1207" s="2">
        <f t="shared" si="58"/>
        <v>0</v>
      </c>
    </row>
    <row r="1208" spans="1:7" x14ac:dyDescent="0.25">
      <c r="A1208">
        <v>1200</v>
      </c>
      <c r="B1208" s="1">
        <v>44469</v>
      </c>
      <c r="C1208" s="2">
        <v>254.31992423903677</v>
      </c>
      <c r="D1208" s="2">
        <v>0.25</v>
      </c>
      <c r="E1208">
        <f t="shared" si="56"/>
        <v>9</v>
      </c>
      <c r="F1208">
        <f t="shared" si="57"/>
        <v>2021</v>
      </c>
      <c r="G1208" s="2">
        <f t="shared" si="58"/>
        <v>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Daly, Kensey</cp:lastModifiedBy>
  <dcterms:created xsi:type="dcterms:W3CDTF">2026-04-22T19:37:25Z</dcterms:created>
  <dcterms:modified xsi:type="dcterms:W3CDTF">2026-04-22T21:32:34Z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fbc029f1-7b6e-4e10-8282-fc5331153e31_Enabled">
    <vt:lpwstr>true</vt:lpwstr>
  </property>
  <property fmtid="{D5CDD505-2E9C-101B-9397-08002B2CF9AE}" pid="3" name="MSIP_Label_fbc029f1-7b6e-4e10-8282-fc5331153e31_SetDate">
    <vt:lpwstr>2026-04-22T19:38:01Z</vt:lpwstr>
  </property>
  <property fmtid="{D5CDD505-2E9C-101B-9397-08002B2CF9AE}" pid="4" name="MSIP_Label_fbc029f1-7b6e-4e10-8282-fc5331153e31_Method">
    <vt:lpwstr>Privileged</vt:lpwstr>
  </property>
  <property fmtid="{D5CDD505-2E9C-101B-9397-08002B2CF9AE}" pid="5" name="MSIP_Label_fbc029f1-7b6e-4e10-8282-fc5331153e31_Name">
    <vt:lpwstr>fbc029f1-7b6e-4e10-8282-fc5331153e31</vt:lpwstr>
  </property>
  <property fmtid="{D5CDD505-2E9C-101B-9397-08002B2CF9AE}" pid="6" name="MSIP_Label_fbc029f1-7b6e-4e10-8282-fc5331153e31_SiteId">
    <vt:lpwstr>37247798-f42c-42fd-8a37-d49c7128d36b</vt:lpwstr>
  </property>
  <property fmtid="{D5CDD505-2E9C-101B-9397-08002B2CF9AE}" pid="7" name="MSIP_Label_fbc029f1-7b6e-4e10-8282-fc5331153e31_ActionId">
    <vt:lpwstr>294131db-0f69-4e7a-b11b-0cad42072344</vt:lpwstr>
  </property>
  <property fmtid="{D5CDD505-2E9C-101B-9397-08002B2CF9AE}" pid="8" name="MSIP_Label_fbc029f1-7b6e-4e10-8282-fc5331153e31_ContentBits">
    <vt:lpwstr>0</vt:lpwstr>
  </property>
  <property fmtid="{D5CDD505-2E9C-101B-9397-08002B2CF9AE}" pid="9" name="MSIP_Label_fbc029f1-7b6e-4e10-8282-fc5331153e31_Tag">
    <vt:lpwstr>10, 0, 1, 1</vt:lpwstr>
  </property>
</Properties>
</file>